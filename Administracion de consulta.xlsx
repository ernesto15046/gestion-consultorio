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9F7318D-F287-42B1-BBE0-99492C83FC4A}" xr6:coauthVersionLast="47" xr6:coauthVersionMax="47" xr10:uidLastSave="{00000000-0000-0000-0000-000000000000}"/>
  <workbookProtection workbookAlgorithmName="SHA-512" workbookHashValue="JEm35VDrL9eByqsI/azpqZISr8V2kJkqwfW73MLzZZVNN0vXoEbRbkJ3Yj3QYOe9PxO5roejpjCUUpO4xgJciA==" workbookSaltValue="hLg1qDAo3QYBsKmSztb0tw==" workbookSpinCount="100000" lockStructure="1"/>
  <bookViews>
    <workbookView xWindow="-120" yWindow="-120" windowWidth="19440" windowHeight="15000" xr2:uid="{CC17B683-8D03-4128-B3D6-76AD19E93698}"/>
  </bookViews>
  <sheets>
    <sheet name="Consulto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2" i="1"/>
</calcChain>
</file>

<file path=xl/sharedStrings.xml><?xml version="1.0" encoding="utf-8"?>
<sst xmlns="http://schemas.openxmlformats.org/spreadsheetml/2006/main" count="73" uniqueCount="61">
  <si>
    <t>Nombre</t>
  </si>
  <si>
    <t>Edad</t>
  </si>
  <si>
    <t>Sexo</t>
  </si>
  <si>
    <t>Diagnostico</t>
  </si>
  <si>
    <t>ARS</t>
  </si>
  <si>
    <t>Pago ARS</t>
  </si>
  <si>
    <t>Pago Diferencia</t>
  </si>
  <si>
    <t>Pago a la Secretaria</t>
  </si>
  <si>
    <t>Comentario</t>
  </si>
  <si>
    <t>Padres/Tutor</t>
  </si>
  <si>
    <t>Telefono</t>
  </si>
  <si>
    <t>Fecha</t>
  </si>
  <si>
    <t>Fecha de Cirugia</t>
  </si>
  <si>
    <t>Marcus Jared Garcia Hernandez</t>
  </si>
  <si>
    <t>10 M</t>
  </si>
  <si>
    <t>M</t>
  </si>
  <si>
    <t>Marislaidy Hernandez</t>
  </si>
  <si>
    <t>849-354-1344</t>
  </si>
  <si>
    <t xml:space="preserve">senasa </t>
  </si>
  <si>
    <t>XAVIER ELIAN FRANCO GARCIA</t>
  </si>
  <si>
    <t>P/B HERNIA UMBILICAL</t>
  </si>
  <si>
    <t>ELICEO FRANCO</t>
  </si>
  <si>
    <t>809-608-1917</t>
  </si>
  <si>
    <t>PACIENTE REFIERE DOLOR RECURRENTE EN ABDOMEN, SE INDICA COPROLOGICO SEREADO, SONOGRAFIA DE PARTES BLANDA PARA DESCARTAR HERNIA UMBILICAL</t>
  </si>
  <si>
    <t>FIMOSIS</t>
  </si>
  <si>
    <t>Estatus Secretaria</t>
  </si>
  <si>
    <t>pago</t>
  </si>
  <si>
    <t>pendiente</t>
  </si>
  <si>
    <t>se indica pre-operatorio, paciente tiene vesicula peri-labiar, esperar mejoria, para proceder a la cirugia</t>
  </si>
  <si>
    <t>Dia de la semana</t>
  </si>
  <si>
    <t>TIPO</t>
  </si>
  <si>
    <t>NUEVO</t>
  </si>
  <si>
    <t>LIAM CORNIEL MONTERO</t>
  </si>
  <si>
    <t>LAURA PAOLA MONERO</t>
  </si>
  <si>
    <t>209-345-3311</t>
  </si>
  <si>
    <t>SE INDICA PREOPERATORIO</t>
  </si>
  <si>
    <t>HERNIA INGUINAL DERECHA/FIMOSIS</t>
  </si>
  <si>
    <t>MES</t>
  </si>
  <si>
    <t>primera de humano</t>
  </si>
  <si>
    <t>2m</t>
  </si>
  <si>
    <t>Ethan Francisco Restituyo</t>
  </si>
  <si>
    <t>m</t>
  </si>
  <si>
    <t>anquiloglosia</t>
  </si>
  <si>
    <t>Ruth Esther Emiliano</t>
  </si>
  <si>
    <t>829-758-1371</t>
  </si>
  <si>
    <t xml:space="preserve">se orienta a la madre, se le habla de la circuncision </t>
  </si>
  <si>
    <t>Alexis Peña Abreu</t>
  </si>
  <si>
    <t>tumor en region dorsal mano izquierda</t>
  </si>
  <si>
    <t>mildred Abreu</t>
  </si>
  <si>
    <t>809-841-9054</t>
  </si>
  <si>
    <t>Mapfre salud</t>
  </si>
  <si>
    <t>Mila Arlet Payano Roa</t>
  </si>
  <si>
    <t>F</t>
  </si>
  <si>
    <t>Anquiogrocia</t>
  </si>
  <si>
    <t>Juana Luisa Roa Marrero</t>
  </si>
  <si>
    <t>829-335-4910</t>
  </si>
  <si>
    <t>Privada</t>
  </si>
  <si>
    <t>pacieente se orienta , y se reevaluara en 8  meses</t>
  </si>
  <si>
    <t>referidor</t>
  </si>
  <si>
    <t>Dra. Zoraida AriasLopez</t>
  </si>
  <si>
    <t>se indica pre-operatorio, fimosis, quiste mano izquierda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</si>
</sst>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8" fontId="0" fillId="0" borderId="0" xfId="1" applyNumberFormat="1" applyFont="1"/>
    <xf numFmtId="16" fontId="0" fillId="0" borderId="0" xfId="0" applyNumberFormat="1"/>
  </cellXfs>
  <cellStyles count="2">
    <cellStyle name="Moneda" xfId="1" builtinId="4"/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9F5EA-DD10-4CDB-ADD3-26ED13A68430}" name="Tabla1" displayName="Tabla1" ref="B1:S94" totalsRowShown="0">
  <autoFilter ref="B1:S94" xr:uid="{3579F5EA-DD10-4CDB-ADD3-26ED13A68430}"/>
  <tableColumns count="18">
    <tableColumn id="1" xr3:uid="{C6A9E489-8FC8-4597-AE05-2494018E998B}" name="Fecha"/>
    <tableColumn id="17" xr3:uid="{7D15DC4A-C400-415D-9793-ECCD638002E5}" name="MES" dataDxfId="1">
      <calculatedColumnFormula>+TEXT(Tabla1[[#This Row],[Fecha]],"MMMM")</calculatedColumnFormula>
    </tableColumn>
    <tableColumn id="16" xr3:uid="{0EED89D3-1AB1-4372-900B-2EE768C5DFFF}" name="Dia de la semana" dataDxfId="0">
      <calculatedColumnFormula array="1">+Tabla1[[#This Row],[Fecha]]/MM</calculatedColumnFormula>
    </tableColumn>
    <tableColumn id="2" xr3:uid="{CA95B635-6A60-4384-9E6F-8A9A974B1C50}" name="Nombre"/>
    <tableColumn id="3" xr3:uid="{8B25BEEE-42EC-4883-97D1-B3832B1C6994}" name="Edad"/>
    <tableColumn id="4" xr3:uid="{5EC13EFF-FEBD-4756-8823-B8F6233B64FA}" name="Sexo"/>
    <tableColumn id="12" xr3:uid="{E37BF41F-AB3E-437E-85FB-5BC83435C9F2}" name="Diagnostico"/>
    <tableColumn id="13" xr3:uid="{F7C0FBEF-D6F2-4D64-9004-D9F6D65039DE}" name="Padres/Tutor"/>
    <tableColumn id="5" xr3:uid="{94B75083-F8D0-411B-8409-0D758E277D67}" name="Telefono"/>
    <tableColumn id="6" xr3:uid="{D33B2574-5D3E-4EC1-AF87-E8869C3A3CCD}" name="ARS"/>
    <tableColumn id="7" xr3:uid="{4FC13124-E2D6-41FA-8E55-D26AF9DD5A3F}" name="Pago ARS"/>
    <tableColumn id="8" xr3:uid="{2C16B9DD-1B0E-4300-9B48-39CDFA3A212F}" name="Pago Diferencia"/>
    <tableColumn id="9" xr3:uid="{451CE51D-2B0F-4A95-B443-4F1FFE528C10}" name="Pago a la Secretaria"/>
    <tableColumn id="10" xr3:uid="{9EAEA4FA-696D-487C-9F34-DDDBDBDB145C}" name="Estatus Secretaria"/>
    <tableColumn id="15" xr3:uid="{39EB1C3F-FBFB-4D5C-BCFC-8EBE9D286DC2}" name="TIPO"/>
    <tableColumn id="11" xr3:uid="{97A64749-BFD0-49D4-B0CA-97B458D3C02F}" name="Comentario"/>
    <tableColumn id="14" xr3:uid="{41DCBF96-DC8C-4207-A04C-8857E7CFDE7C}" name="Fecha de Cirugia"/>
    <tableColumn id="18" xr3:uid="{A8465AFE-2495-412D-8388-2F333CE632CD}" name="referido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6DE1-BFB7-4B41-AD3D-9BB262D55789}">
  <dimension ref="B1:S94"/>
  <sheetViews>
    <sheetView tabSelected="1" workbookViewId="0">
      <selection activeCell="Q15" sqref="Q15"/>
    </sheetView>
  </sheetViews>
  <sheetFormatPr baseColWidth="10" defaultRowHeight="15" x14ac:dyDescent="0.25"/>
  <cols>
    <col min="1" max="1" width="2.7109375" customWidth="1"/>
    <col min="2" max="2" width="10.42578125" bestFit="1" customWidth="1"/>
    <col min="3" max="3" width="18.28515625" customWidth="1"/>
    <col min="4" max="4" width="17.5703125" customWidth="1"/>
    <col min="5" max="5" width="10.5703125" bestFit="1" customWidth="1"/>
    <col min="6" max="7" width="7.7109375" bestFit="1" customWidth="1"/>
    <col min="8" max="8" width="14" bestFit="1" customWidth="1"/>
    <col min="9" max="9" width="14.85546875" bestFit="1" customWidth="1"/>
    <col min="10" max="10" width="11.28515625" bestFit="1" customWidth="1"/>
    <col min="11" max="11" width="6.85546875" bestFit="1" customWidth="1"/>
    <col min="12" max="12" width="11.5703125" bestFit="1" customWidth="1"/>
    <col min="13" max="13" width="17.42578125" bestFit="1" customWidth="1"/>
    <col min="14" max="14" width="20.7109375" bestFit="1" customWidth="1"/>
    <col min="15" max="15" width="10" bestFit="1" customWidth="1"/>
    <col min="16" max="16" width="10" customWidth="1"/>
    <col min="17" max="17" width="14" bestFit="1" customWidth="1"/>
    <col min="18" max="18" width="18.140625" bestFit="1" customWidth="1"/>
  </cols>
  <sheetData>
    <row r="1" spans="2:19" x14ac:dyDescent="0.25">
      <c r="B1" t="s">
        <v>11</v>
      </c>
      <c r="C1" t="s">
        <v>37</v>
      </c>
      <c r="D1" t="s">
        <v>29</v>
      </c>
      <c r="E1" t="s">
        <v>0</v>
      </c>
      <c r="F1" t="s">
        <v>1</v>
      </c>
      <c r="G1" t="s">
        <v>2</v>
      </c>
      <c r="H1" t="s">
        <v>3</v>
      </c>
      <c r="I1" t="s">
        <v>9</v>
      </c>
      <c r="J1" t="s">
        <v>10</v>
      </c>
      <c r="K1" t="s">
        <v>4</v>
      </c>
      <c r="L1" t="s">
        <v>5</v>
      </c>
      <c r="M1" t="s">
        <v>6</v>
      </c>
      <c r="N1" t="s">
        <v>7</v>
      </c>
      <c r="O1" t="s">
        <v>25</v>
      </c>
      <c r="P1" t="s">
        <v>30</v>
      </c>
      <c r="Q1" t="s">
        <v>8</v>
      </c>
      <c r="R1" t="s">
        <v>12</v>
      </c>
      <c r="S1" t="s">
        <v>58</v>
      </c>
    </row>
    <row r="2" spans="2:19" x14ac:dyDescent="0.25">
      <c r="B2" s="1">
        <v>46055</v>
      </c>
      <c r="C2" s="1" t="str">
        <f>+TEXT(Tabla1[[#This Row],[Fecha]],"MMMM")</f>
        <v>febrero</v>
      </c>
      <c r="D2" s="1" t="str">
        <f>TEXT(Tabla1[[#This Row],[Fecha]],"dddd")</f>
        <v>lunes</v>
      </c>
      <c r="E2" t="s">
        <v>13</v>
      </c>
      <c r="F2" t="s">
        <v>14</v>
      </c>
      <c r="G2" t="s">
        <v>15</v>
      </c>
      <c r="H2" t="s">
        <v>24</v>
      </c>
      <c r="I2" t="s">
        <v>16</v>
      </c>
      <c r="J2" t="s">
        <v>17</v>
      </c>
      <c r="K2" t="s">
        <v>18</v>
      </c>
      <c r="L2" s="3">
        <v>750</v>
      </c>
      <c r="M2" s="3">
        <v>2000</v>
      </c>
      <c r="N2" s="3">
        <v>250</v>
      </c>
      <c r="O2" t="s">
        <v>26</v>
      </c>
      <c r="P2" t="s">
        <v>31</v>
      </c>
      <c r="Q2" t="s">
        <v>28</v>
      </c>
      <c r="R2" s="1">
        <v>46064</v>
      </c>
    </row>
    <row r="3" spans="2:19" x14ac:dyDescent="0.25">
      <c r="B3" s="1">
        <v>46057</v>
      </c>
      <c r="C3" s="1" t="str">
        <f>+TEXT(Tabla1[[#This Row],[Fecha]],"MMMM")</f>
        <v>febrero</v>
      </c>
      <c r="D3" s="1" t="str">
        <f>TEXT(Tabla1[[#This Row],[Fecha]],"dddd")</f>
        <v>miércoles</v>
      </c>
      <c r="E3" t="s">
        <v>19</v>
      </c>
      <c r="F3">
        <v>12</v>
      </c>
      <c r="G3" t="s">
        <v>15</v>
      </c>
      <c r="H3" t="s">
        <v>20</v>
      </c>
      <c r="I3" t="s">
        <v>21</v>
      </c>
      <c r="J3" t="s">
        <v>22</v>
      </c>
      <c r="K3" t="s">
        <v>18</v>
      </c>
      <c r="L3" s="2">
        <v>750</v>
      </c>
      <c r="M3" s="2">
        <v>2000</v>
      </c>
      <c r="N3" s="2">
        <v>250</v>
      </c>
      <c r="O3" t="s">
        <v>27</v>
      </c>
      <c r="P3" t="s">
        <v>31</v>
      </c>
      <c r="Q3" t="s">
        <v>23</v>
      </c>
    </row>
    <row r="4" spans="2:19" x14ac:dyDescent="0.25">
      <c r="B4" s="1">
        <v>46062</v>
      </c>
      <c r="C4" s="4" t="str">
        <f>+TEXT(Tabla1[[#This Row],[Fecha]],"MMMM")</f>
        <v>febrero</v>
      </c>
      <c r="D4" s="1" t="str">
        <f>TEXT(Tabla1[[#This Row],[Fecha]],"dddd")</f>
        <v>lunes</v>
      </c>
      <c r="E4" t="s">
        <v>32</v>
      </c>
      <c r="F4">
        <v>8</v>
      </c>
      <c r="G4" t="s">
        <v>15</v>
      </c>
      <c r="H4" t="s">
        <v>36</v>
      </c>
      <c r="I4" t="s">
        <v>33</v>
      </c>
      <c r="J4" t="s">
        <v>34</v>
      </c>
      <c r="K4" t="s">
        <v>38</v>
      </c>
      <c r="L4" s="2">
        <v>750</v>
      </c>
      <c r="M4" s="2">
        <v>2000</v>
      </c>
      <c r="N4" s="2">
        <v>250</v>
      </c>
      <c r="O4" s="2" t="s">
        <v>27</v>
      </c>
      <c r="P4" t="s">
        <v>31</v>
      </c>
      <c r="Q4" t="s">
        <v>35</v>
      </c>
    </row>
    <row r="5" spans="2:19" x14ac:dyDescent="0.25">
      <c r="B5" s="1">
        <v>46153</v>
      </c>
      <c r="C5" s="1" t="str">
        <f>+TEXT(Tabla1[[#This Row],[Fecha]],"MMMM")</f>
        <v>mayo</v>
      </c>
      <c r="D5" s="1" t="str">
        <f>TEXT(Tabla1[[#This Row],[Fecha]],"dddd")</f>
        <v>lunes</v>
      </c>
      <c r="E5" t="s">
        <v>40</v>
      </c>
      <c r="F5" t="s">
        <v>39</v>
      </c>
      <c r="G5" t="s">
        <v>41</v>
      </c>
      <c r="H5" t="s">
        <v>42</v>
      </c>
      <c r="I5" t="s">
        <v>43</v>
      </c>
      <c r="J5" t="s">
        <v>44</v>
      </c>
      <c r="K5" t="s">
        <v>18</v>
      </c>
      <c r="L5" s="2">
        <v>750</v>
      </c>
      <c r="M5" s="2">
        <v>2000</v>
      </c>
      <c r="N5" s="2">
        <v>250</v>
      </c>
      <c r="P5" t="s">
        <v>31</v>
      </c>
      <c r="Q5" t="s">
        <v>45</v>
      </c>
    </row>
    <row r="6" spans="2:19" x14ac:dyDescent="0.25">
      <c r="B6" s="1">
        <v>46160</v>
      </c>
      <c r="C6" s="1" t="str">
        <f>+TEXT(Tabla1[[#This Row],[Fecha]],"MMMM")</f>
        <v>mayo</v>
      </c>
      <c r="D6" s="1" t="str">
        <f>TEXT(Tabla1[[#This Row],[Fecha]],"dddd")</f>
        <v>lunes</v>
      </c>
      <c r="E6" t="s">
        <v>46</v>
      </c>
      <c r="F6">
        <v>14</v>
      </c>
      <c r="G6" t="s">
        <v>41</v>
      </c>
      <c r="H6" t="s">
        <v>47</v>
      </c>
      <c r="I6" t="s">
        <v>48</v>
      </c>
      <c r="J6" t="s">
        <v>49</v>
      </c>
      <c r="K6" t="s">
        <v>50</v>
      </c>
      <c r="L6" s="2">
        <v>750</v>
      </c>
      <c r="M6" s="2">
        <v>2000</v>
      </c>
      <c r="N6" s="2">
        <v>250</v>
      </c>
      <c r="P6" t="s">
        <v>31</v>
      </c>
      <c r="Q6" t="s">
        <v>60</v>
      </c>
    </row>
    <row r="7" spans="2:19" x14ac:dyDescent="0.25">
      <c r="B7" s="1">
        <v>46160</v>
      </c>
      <c r="C7" s="1" t="str">
        <f>+TEXT(Tabla1[[#This Row],[Fecha]],"MMMM")</f>
        <v>mayo</v>
      </c>
      <c r="D7" s="1" t="str">
        <f>TEXT(Tabla1[[#This Row],[Fecha]],"dddd")</f>
        <v>lunes</v>
      </c>
      <c r="E7" t="s">
        <v>51</v>
      </c>
      <c r="F7" t="s">
        <v>39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s="2">
        <v>0</v>
      </c>
      <c r="M7" s="2">
        <v>3000</v>
      </c>
      <c r="N7" s="2">
        <v>250</v>
      </c>
      <c r="P7" t="s">
        <v>31</v>
      </c>
      <c r="Q7" t="s">
        <v>57</v>
      </c>
      <c r="S7" t="s">
        <v>59</v>
      </c>
    </row>
    <row r="8" spans="2:19" x14ac:dyDescent="0.25">
      <c r="C8" s="1" t="str">
        <f>+TEXT(Tabla1[[#This Row],[Fecha]],"MMMM")</f>
        <v>enero</v>
      </c>
      <c r="D8" s="1" t="str">
        <f>TEXT(Tabla1[[#This Row],[Fecha]],"dddd")</f>
        <v>sábado</v>
      </c>
    </row>
    <row r="9" spans="2:19" x14ac:dyDescent="0.25">
      <c r="C9" s="1" t="str">
        <f>+TEXT(Tabla1[[#This Row],[Fecha]],"MMMM")</f>
        <v>enero</v>
      </c>
      <c r="D9" s="1" t="str">
        <f>TEXT(Tabla1[[#This Row],[Fecha]],"dddd")</f>
        <v>sábado</v>
      </c>
    </row>
    <row r="10" spans="2:19" x14ac:dyDescent="0.25">
      <c r="C10" s="1" t="str">
        <f>+TEXT(Tabla1[[#This Row],[Fecha]],"MMMM")</f>
        <v>enero</v>
      </c>
      <c r="D10" s="1" t="str">
        <f>TEXT(Tabla1[[#This Row],[Fecha]],"dddd")</f>
        <v>sábado</v>
      </c>
    </row>
    <row r="11" spans="2:19" x14ac:dyDescent="0.25">
      <c r="C11" s="1" t="str">
        <f>+TEXT(Tabla1[[#This Row],[Fecha]],"MMMM")</f>
        <v>enero</v>
      </c>
      <c r="D11" s="1" t="str">
        <f>TEXT(Tabla1[[#This Row],[Fecha]],"dddd")</f>
        <v>sábado</v>
      </c>
    </row>
    <row r="12" spans="2:19" x14ac:dyDescent="0.25">
      <c r="C12" s="1" t="str">
        <f>+TEXT(Tabla1[[#This Row],[Fecha]],"MMMM")</f>
        <v>enero</v>
      </c>
      <c r="D12" s="1" t="str">
        <f>TEXT(Tabla1[[#This Row],[Fecha]],"dddd")</f>
        <v>sábado</v>
      </c>
    </row>
    <row r="13" spans="2:19" x14ac:dyDescent="0.25">
      <c r="C13" s="1" t="str">
        <f>+TEXT(Tabla1[[#This Row],[Fecha]],"MMMM")</f>
        <v>enero</v>
      </c>
      <c r="D13" s="1" t="str">
        <f>TEXT(Tabla1[[#This Row],[Fecha]],"dddd")</f>
        <v>sábado</v>
      </c>
    </row>
    <row r="14" spans="2:19" x14ac:dyDescent="0.25">
      <c r="C14" s="1" t="str">
        <f>+TEXT(Tabla1[[#This Row],[Fecha]],"MMMM")</f>
        <v>enero</v>
      </c>
      <c r="D14" s="1" t="str">
        <f>TEXT(Tabla1[[#This Row],[Fecha]],"dddd")</f>
        <v>sábado</v>
      </c>
    </row>
    <row r="15" spans="2:19" x14ac:dyDescent="0.25">
      <c r="C15" s="1" t="str">
        <f>+TEXT(Tabla1[[#This Row],[Fecha]],"MMMM")</f>
        <v>enero</v>
      </c>
      <c r="D15" s="1" t="str">
        <f>TEXT(Tabla1[[#This Row],[Fecha]],"dddd")</f>
        <v>sábado</v>
      </c>
    </row>
    <row r="16" spans="2:19" x14ac:dyDescent="0.25">
      <c r="C16" s="1" t="str">
        <f>+TEXT(Tabla1[[#This Row],[Fecha]],"MMMM")</f>
        <v>enero</v>
      </c>
      <c r="D16" s="1" t="str">
        <f>TEXT(Tabla1[[#This Row],[Fecha]],"dddd")</f>
        <v>sábado</v>
      </c>
    </row>
    <row r="17" spans="3:4" x14ac:dyDescent="0.25">
      <c r="C17" s="1" t="str">
        <f>+TEXT(Tabla1[[#This Row],[Fecha]],"MMMM")</f>
        <v>enero</v>
      </c>
      <c r="D17" s="1" t="str">
        <f>TEXT(Tabla1[[#This Row],[Fecha]],"dddd")</f>
        <v>sábado</v>
      </c>
    </row>
    <row r="18" spans="3:4" x14ac:dyDescent="0.25">
      <c r="C18" s="1" t="str">
        <f>+TEXT(Tabla1[[#This Row],[Fecha]],"MMMM")</f>
        <v>enero</v>
      </c>
      <c r="D18" s="1" t="str">
        <f>TEXT(Tabla1[[#This Row],[Fecha]],"dddd")</f>
        <v>sábado</v>
      </c>
    </row>
    <row r="19" spans="3:4" x14ac:dyDescent="0.25">
      <c r="C19" s="1" t="str">
        <f>+TEXT(Tabla1[[#This Row],[Fecha]],"MMMM")</f>
        <v>enero</v>
      </c>
      <c r="D19" s="1" t="str">
        <f>TEXT(Tabla1[[#This Row],[Fecha]],"dddd")</f>
        <v>sábado</v>
      </c>
    </row>
    <row r="20" spans="3:4" x14ac:dyDescent="0.25">
      <c r="C20" s="1" t="str">
        <f>+TEXT(Tabla1[[#This Row],[Fecha]],"MMMM")</f>
        <v>enero</v>
      </c>
      <c r="D20" s="1" t="str">
        <f>TEXT(Tabla1[[#This Row],[Fecha]],"dddd")</f>
        <v>sábado</v>
      </c>
    </row>
    <row r="21" spans="3:4" x14ac:dyDescent="0.25">
      <c r="C21" s="1" t="str">
        <f>+TEXT(Tabla1[[#This Row],[Fecha]],"MMMM")</f>
        <v>enero</v>
      </c>
      <c r="D21" s="1" t="str">
        <f>TEXT(Tabla1[[#This Row],[Fecha]],"dddd")</f>
        <v>sábado</v>
      </c>
    </row>
    <row r="22" spans="3:4" x14ac:dyDescent="0.25">
      <c r="C22" s="1" t="str">
        <f>+TEXT(Tabla1[[#This Row],[Fecha]],"MMMM")</f>
        <v>enero</v>
      </c>
      <c r="D22" s="1" t="str">
        <f>TEXT(Tabla1[[#This Row],[Fecha]],"dddd")</f>
        <v>sábado</v>
      </c>
    </row>
    <row r="23" spans="3:4" x14ac:dyDescent="0.25">
      <c r="C23" s="1" t="str">
        <f>+TEXT(Tabla1[[#This Row],[Fecha]],"MMMM")</f>
        <v>enero</v>
      </c>
      <c r="D23" s="1" t="str">
        <f>TEXT(Tabla1[[#This Row],[Fecha]],"dddd")</f>
        <v>sábado</v>
      </c>
    </row>
    <row r="24" spans="3:4" x14ac:dyDescent="0.25">
      <c r="C24" s="1" t="str">
        <f>+TEXT(Tabla1[[#This Row],[Fecha]],"MMMM")</f>
        <v>enero</v>
      </c>
      <c r="D24" s="1" t="str">
        <f>TEXT(Tabla1[[#This Row],[Fecha]],"dddd")</f>
        <v>sábado</v>
      </c>
    </row>
    <row r="25" spans="3:4" x14ac:dyDescent="0.25">
      <c r="C25" s="1" t="str">
        <f>+TEXT(Tabla1[[#This Row],[Fecha]],"MMMM")</f>
        <v>enero</v>
      </c>
      <c r="D25" s="1" t="str">
        <f>TEXT(Tabla1[[#This Row],[Fecha]],"dddd")</f>
        <v>sábado</v>
      </c>
    </row>
    <row r="26" spans="3:4" x14ac:dyDescent="0.25">
      <c r="C26" s="1" t="str">
        <f>+TEXT(Tabla1[[#This Row],[Fecha]],"MMMM")</f>
        <v>enero</v>
      </c>
      <c r="D26" s="1" t="str">
        <f>TEXT(Tabla1[[#This Row],[Fecha]],"dddd")</f>
        <v>sábado</v>
      </c>
    </row>
    <row r="27" spans="3:4" x14ac:dyDescent="0.25">
      <c r="C27" s="1" t="str">
        <f>+TEXT(Tabla1[[#This Row],[Fecha]],"MMMM")</f>
        <v>enero</v>
      </c>
      <c r="D27" s="1" t="str">
        <f>TEXT(Tabla1[[#This Row],[Fecha]],"dddd")</f>
        <v>sábado</v>
      </c>
    </row>
    <row r="28" spans="3:4" x14ac:dyDescent="0.25">
      <c r="C28" s="1" t="str">
        <f>+TEXT(Tabla1[[#This Row],[Fecha]],"MMMM")</f>
        <v>enero</v>
      </c>
      <c r="D28" s="1" t="str">
        <f>TEXT(Tabla1[[#This Row],[Fecha]],"dddd")</f>
        <v>sábado</v>
      </c>
    </row>
    <row r="29" spans="3:4" x14ac:dyDescent="0.25">
      <c r="C29" s="1" t="str">
        <f>+TEXT(Tabla1[[#This Row],[Fecha]],"MMMM")</f>
        <v>enero</v>
      </c>
      <c r="D29" s="1" t="str">
        <f>TEXT(Tabla1[[#This Row],[Fecha]],"dddd")</f>
        <v>sábado</v>
      </c>
    </row>
    <row r="30" spans="3:4" x14ac:dyDescent="0.25">
      <c r="C30" s="1" t="str">
        <f>+TEXT(Tabla1[[#This Row],[Fecha]],"MMMM")</f>
        <v>enero</v>
      </c>
      <c r="D30" s="1" t="str">
        <f>TEXT(Tabla1[[#This Row],[Fecha]],"dddd")</f>
        <v>sábado</v>
      </c>
    </row>
    <row r="31" spans="3:4" x14ac:dyDescent="0.25">
      <c r="C31" s="1" t="str">
        <f>+TEXT(Tabla1[[#This Row],[Fecha]],"MMMM")</f>
        <v>enero</v>
      </c>
      <c r="D31" s="1" t="str">
        <f>TEXT(Tabla1[[#This Row],[Fecha]],"dddd")</f>
        <v>sábado</v>
      </c>
    </row>
    <row r="32" spans="3:4" x14ac:dyDescent="0.25">
      <c r="C32" s="1" t="str">
        <f>+TEXT(Tabla1[[#This Row],[Fecha]],"MMMM")</f>
        <v>enero</v>
      </c>
      <c r="D32" s="1" t="str">
        <f>TEXT(Tabla1[[#This Row],[Fecha]],"dddd")</f>
        <v>sábado</v>
      </c>
    </row>
    <row r="33" spans="3:4" x14ac:dyDescent="0.25">
      <c r="C33" s="1" t="str">
        <f>+TEXT(Tabla1[[#This Row],[Fecha]],"MMMM")</f>
        <v>enero</v>
      </c>
      <c r="D33" s="1" t="str">
        <f>TEXT(Tabla1[[#This Row],[Fecha]],"dddd")</f>
        <v>sábado</v>
      </c>
    </row>
    <row r="34" spans="3:4" x14ac:dyDescent="0.25">
      <c r="C34" s="1" t="str">
        <f>+TEXT(Tabla1[[#This Row],[Fecha]],"MMMM")</f>
        <v>enero</v>
      </c>
      <c r="D34" s="1" t="str">
        <f>TEXT(Tabla1[[#This Row],[Fecha]],"dddd")</f>
        <v>sábado</v>
      </c>
    </row>
    <row r="35" spans="3:4" x14ac:dyDescent="0.25">
      <c r="C35" s="1" t="str">
        <f>+TEXT(Tabla1[[#This Row],[Fecha]],"MMMM")</f>
        <v>enero</v>
      </c>
      <c r="D35" s="1" t="str">
        <f>TEXT(Tabla1[[#This Row],[Fecha]],"dddd")</f>
        <v>sábado</v>
      </c>
    </row>
    <row r="36" spans="3:4" x14ac:dyDescent="0.25">
      <c r="C36" s="1" t="str">
        <f>+TEXT(Tabla1[[#This Row],[Fecha]],"MMMM")</f>
        <v>enero</v>
      </c>
      <c r="D36" s="1" t="str">
        <f>TEXT(Tabla1[[#This Row],[Fecha]],"dddd")</f>
        <v>sábado</v>
      </c>
    </row>
    <row r="37" spans="3:4" x14ac:dyDescent="0.25">
      <c r="C37" s="1" t="str">
        <f>+TEXT(Tabla1[[#This Row],[Fecha]],"MMMM")</f>
        <v>enero</v>
      </c>
      <c r="D37" s="1" t="str">
        <f>TEXT(Tabla1[[#This Row],[Fecha]],"dddd")</f>
        <v>sábado</v>
      </c>
    </row>
    <row r="38" spans="3:4" x14ac:dyDescent="0.25">
      <c r="C38" s="1" t="str">
        <f>+TEXT(Tabla1[[#This Row],[Fecha]],"MMMM")</f>
        <v>enero</v>
      </c>
      <c r="D38" s="1" t="str">
        <f>TEXT(Tabla1[[#This Row],[Fecha]],"dddd")</f>
        <v>sábado</v>
      </c>
    </row>
    <row r="39" spans="3:4" x14ac:dyDescent="0.25">
      <c r="C39" s="1" t="str">
        <f>+TEXT(Tabla1[[#This Row],[Fecha]],"MMMM")</f>
        <v>enero</v>
      </c>
      <c r="D39" s="1" t="str">
        <f>TEXT(Tabla1[[#This Row],[Fecha]],"dddd")</f>
        <v>sábado</v>
      </c>
    </row>
    <row r="40" spans="3:4" x14ac:dyDescent="0.25">
      <c r="C40" s="1" t="str">
        <f>+TEXT(Tabla1[[#This Row],[Fecha]],"MMMM")</f>
        <v>enero</v>
      </c>
      <c r="D40" s="1" t="str">
        <f>TEXT(Tabla1[[#This Row],[Fecha]],"dddd")</f>
        <v>sábado</v>
      </c>
    </row>
    <row r="41" spans="3:4" x14ac:dyDescent="0.25">
      <c r="C41" s="1" t="str">
        <f>+TEXT(Tabla1[[#This Row],[Fecha]],"MMMM")</f>
        <v>enero</v>
      </c>
      <c r="D41" s="1" t="str">
        <f>TEXT(Tabla1[[#This Row],[Fecha]],"dddd")</f>
        <v>sábado</v>
      </c>
    </row>
    <row r="42" spans="3:4" x14ac:dyDescent="0.25">
      <c r="C42" s="1" t="str">
        <f>+TEXT(Tabla1[[#This Row],[Fecha]],"MMMM")</f>
        <v>enero</v>
      </c>
      <c r="D42" s="1" t="str">
        <f>TEXT(Tabla1[[#This Row],[Fecha]],"dddd")</f>
        <v>sábado</v>
      </c>
    </row>
    <row r="43" spans="3:4" x14ac:dyDescent="0.25">
      <c r="C43" s="1" t="str">
        <f>+TEXT(Tabla1[[#This Row],[Fecha]],"MMMM")</f>
        <v>enero</v>
      </c>
      <c r="D43" s="1" t="str">
        <f>TEXT(Tabla1[[#This Row],[Fecha]],"dddd")</f>
        <v>sábado</v>
      </c>
    </row>
    <row r="44" spans="3:4" x14ac:dyDescent="0.25">
      <c r="C44" s="1" t="str">
        <f>+TEXT(Tabla1[[#This Row],[Fecha]],"MMMM")</f>
        <v>enero</v>
      </c>
      <c r="D44" s="1" t="str">
        <f>TEXT(Tabla1[[#This Row],[Fecha]],"dddd")</f>
        <v>sábado</v>
      </c>
    </row>
    <row r="45" spans="3:4" x14ac:dyDescent="0.25">
      <c r="C45" s="1" t="str">
        <f>+TEXT(Tabla1[[#This Row],[Fecha]],"MMMM")</f>
        <v>enero</v>
      </c>
      <c r="D45" s="1" t="str">
        <f>TEXT(Tabla1[[#This Row],[Fecha]],"dddd")</f>
        <v>sábado</v>
      </c>
    </row>
    <row r="46" spans="3:4" x14ac:dyDescent="0.25">
      <c r="C46" s="1" t="str">
        <f>+TEXT(Tabla1[[#This Row],[Fecha]],"MMMM")</f>
        <v>enero</v>
      </c>
      <c r="D46" s="1" t="str">
        <f>TEXT(Tabla1[[#This Row],[Fecha]],"dddd")</f>
        <v>sábado</v>
      </c>
    </row>
    <row r="47" spans="3:4" x14ac:dyDescent="0.25">
      <c r="C47" s="1" t="str">
        <f>+TEXT(Tabla1[[#This Row],[Fecha]],"MMMM")</f>
        <v>enero</v>
      </c>
      <c r="D47" s="1" t="str">
        <f>TEXT(Tabla1[[#This Row],[Fecha]],"dddd")</f>
        <v>sábado</v>
      </c>
    </row>
    <row r="48" spans="3:4" x14ac:dyDescent="0.25">
      <c r="C48" s="1" t="str">
        <f>+TEXT(Tabla1[[#This Row],[Fecha]],"MMMM")</f>
        <v>enero</v>
      </c>
      <c r="D48" s="1" t="str">
        <f>TEXT(Tabla1[[#This Row],[Fecha]],"dddd")</f>
        <v>sábado</v>
      </c>
    </row>
    <row r="49" spans="3:4" x14ac:dyDescent="0.25">
      <c r="C49" s="1" t="str">
        <f>+TEXT(Tabla1[[#This Row],[Fecha]],"MMMM")</f>
        <v>enero</v>
      </c>
      <c r="D49" s="1" t="str">
        <f>TEXT(Tabla1[[#This Row],[Fecha]],"dddd")</f>
        <v>sábado</v>
      </c>
    </row>
    <row r="50" spans="3:4" x14ac:dyDescent="0.25">
      <c r="C50" s="1" t="str">
        <f>+TEXT(Tabla1[[#This Row],[Fecha]],"MMMM")</f>
        <v>enero</v>
      </c>
      <c r="D50" s="1" t="str">
        <f>TEXT(Tabla1[[#This Row],[Fecha]],"dddd")</f>
        <v>sábado</v>
      </c>
    </row>
    <row r="51" spans="3:4" x14ac:dyDescent="0.25">
      <c r="C51" s="1" t="str">
        <f>+TEXT(Tabla1[[#This Row],[Fecha]],"MMMM")</f>
        <v>enero</v>
      </c>
      <c r="D51" s="1" t="str">
        <f>TEXT(Tabla1[[#This Row],[Fecha]],"dddd")</f>
        <v>sábado</v>
      </c>
    </row>
    <row r="52" spans="3:4" x14ac:dyDescent="0.25">
      <c r="C52" s="1" t="str">
        <f>+TEXT(Tabla1[[#This Row],[Fecha]],"MMMM")</f>
        <v>enero</v>
      </c>
      <c r="D52" s="1" t="str">
        <f>TEXT(Tabla1[[#This Row],[Fecha]],"dddd")</f>
        <v>sábado</v>
      </c>
    </row>
    <row r="53" spans="3:4" x14ac:dyDescent="0.25">
      <c r="C53" s="1" t="str">
        <f>+TEXT(Tabla1[[#This Row],[Fecha]],"MMMM")</f>
        <v>enero</v>
      </c>
      <c r="D53" s="1" t="str">
        <f>TEXT(Tabla1[[#This Row],[Fecha]],"dddd")</f>
        <v>sábado</v>
      </c>
    </row>
    <row r="54" spans="3:4" x14ac:dyDescent="0.25">
      <c r="C54" s="1" t="str">
        <f>+TEXT(Tabla1[[#This Row],[Fecha]],"MMMM")</f>
        <v>enero</v>
      </c>
      <c r="D54" s="1" t="str">
        <f>TEXT(Tabla1[[#This Row],[Fecha]],"dddd")</f>
        <v>sábado</v>
      </c>
    </row>
    <row r="55" spans="3:4" x14ac:dyDescent="0.25">
      <c r="C55" s="1" t="str">
        <f>+TEXT(Tabla1[[#This Row],[Fecha]],"MMMM")</f>
        <v>enero</v>
      </c>
      <c r="D55" s="1" t="str">
        <f>TEXT(Tabla1[[#This Row],[Fecha]],"dddd")</f>
        <v>sábado</v>
      </c>
    </row>
    <row r="56" spans="3:4" x14ac:dyDescent="0.25">
      <c r="C56" s="1" t="str">
        <f>+TEXT(Tabla1[[#This Row],[Fecha]],"MMMM")</f>
        <v>enero</v>
      </c>
      <c r="D56" s="1" t="str">
        <f>TEXT(Tabla1[[#This Row],[Fecha]],"dddd")</f>
        <v>sábado</v>
      </c>
    </row>
    <row r="57" spans="3:4" x14ac:dyDescent="0.25">
      <c r="C57" s="1" t="str">
        <f>+TEXT(Tabla1[[#This Row],[Fecha]],"MMMM")</f>
        <v>enero</v>
      </c>
      <c r="D57" s="1" t="str">
        <f>TEXT(Tabla1[[#This Row],[Fecha]],"dddd")</f>
        <v>sábado</v>
      </c>
    </row>
    <row r="58" spans="3:4" x14ac:dyDescent="0.25">
      <c r="C58" s="1" t="str">
        <f>+TEXT(Tabla1[[#This Row],[Fecha]],"MMMM")</f>
        <v>enero</v>
      </c>
      <c r="D58" s="1" t="str">
        <f>TEXT(Tabla1[[#This Row],[Fecha]],"dddd")</f>
        <v>sábado</v>
      </c>
    </row>
    <row r="59" spans="3:4" x14ac:dyDescent="0.25">
      <c r="C59" s="1" t="str">
        <f>+TEXT(Tabla1[[#This Row],[Fecha]],"MMMM")</f>
        <v>enero</v>
      </c>
      <c r="D59" s="1" t="str">
        <f>TEXT(Tabla1[[#This Row],[Fecha]],"dddd")</f>
        <v>sábado</v>
      </c>
    </row>
    <row r="60" spans="3:4" x14ac:dyDescent="0.25">
      <c r="C60" s="1" t="str">
        <f>+TEXT(Tabla1[[#This Row],[Fecha]],"MMMM")</f>
        <v>enero</v>
      </c>
      <c r="D60" s="1" t="str">
        <f>TEXT(Tabla1[[#This Row],[Fecha]],"dddd")</f>
        <v>sábado</v>
      </c>
    </row>
    <row r="61" spans="3:4" x14ac:dyDescent="0.25">
      <c r="C61" s="1" t="str">
        <f>+TEXT(Tabla1[[#This Row],[Fecha]],"MMMM")</f>
        <v>enero</v>
      </c>
      <c r="D61" s="1" t="str">
        <f>TEXT(Tabla1[[#This Row],[Fecha]],"dddd")</f>
        <v>sábado</v>
      </c>
    </row>
    <row r="62" spans="3:4" x14ac:dyDescent="0.25">
      <c r="C62" s="1" t="str">
        <f>+TEXT(Tabla1[[#This Row],[Fecha]],"MMMM")</f>
        <v>enero</v>
      </c>
      <c r="D62" s="1" t="str">
        <f>TEXT(Tabla1[[#This Row],[Fecha]],"dddd")</f>
        <v>sábado</v>
      </c>
    </row>
    <row r="63" spans="3:4" x14ac:dyDescent="0.25">
      <c r="C63" s="1" t="str">
        <f>+TEXT(Tabla1[[#This Row],[Fecha]],"MMMM")</f>
        <v>enero</v>
      </c>
      <c r="D63" s="1" t="str">
        <f>TEXT(Tabla1[[#This Row],[Fecha]],"dddd")</f>
        <v>sábado</v>
      </c>
    </row>
    <row r="64" spans="3:4" x14ac:dyDescent="0.25">
      <c r="C64" s="1" t="str">
        <f>+TEXT(Tabla1[[#This Row],[Fecha]],"MMMM")</f>
        <v>enero</v>
      </c>
      <c r="D64" s="1" t="str">
        <f>TEXT(Tabla1[[#This Row],[Fecha]],"dddd")</f>
        <v>sábado</v>
      </c>
    </row>
    <row r="65" spans="3:4" x14ac:dyDescent="0.25">
      <c r="C65" s="1" t="str">
        <f>+TEXT(Tabla1[[#This Row],[Fecha]],"MMMM")</f>
        <v>enero</v>
      </c>
      <c r="D65" s="1" t="str">
        <f>TEXT(Tabla1[[#This Row],[Fecha]],"dddd")</f>
        <v>sábado</v>
      </c>
    </row>
    <row r="66" spans="3:4" x14ac:dyDescent="0.25">
      <c r="C66" s="1" t="str">
        <f>+TEXT(Tabla1[[#This Row],[Fecha]],"MMMM")</f>
        <v>enero</v>
      </c>
      <c r="D66" s="1" t="str">
        <f>TEXT(Tabla1[[#This Row],[Fecha]],"dddd")</f>
        <v>sábado</v>
      </c>
    </row>
    <row r="67" spans="3:4" x14ac:dyDescent="0.25">
      <c r="C67" s="1" t="str">
        <f>+TEXT(Tabla1[[#This Row],[Fecha]],"MMMM")</f>
        <v>enero</v>
      </c>
      <c r="D67" s="1" t="str">
        <f>TEXT(Tabla1[[#This Row],[Fecha]],"dddd")</f>
        <v>sábado</v>
      </c>
    </row>
    <row r="68" spans="3:4" x14ac:dyDescent="0.25">
      <c r="C68" s="1" t="str">
        <f>+TEXT(Tabla1[[#This Row],[Fecha]],"MMMM")</f>
        <v>enero</v>
      </c>
      <c r="D68" s="1" t="str">
        <f>TEXT(Tabla1[[#This Row],[Fecha]],"dddd")</f>
        <v>sábado</v>
      </c>
    </row>
    <row r="69" spans="3:4" x14ac:dyDescent="0.25">
      <c r="C69" s="1" t="str">
        <f>+TEXT(Tabla1[[#This Row],[Fecha]],"MMMM")</f>
        <v>enero</v>
      </c>
      <c r="D69" s="1" t="str">
        <f>TEXT(Tabla1[[#This Row],[Fecha]],"dddd")</f>
        <v>sábado</v>
      </c>
    </row>
    <row r="70" spans="3:4" x14ac:dyDescent="0.25">
      <c r="C70" s="1" t="str">
        <f>+TEXT(Tabla1[[#This Row],[Fecha]],"MMMM")</f>
        <v>enero</v>
      </c>
      <c r="D70" s="1" t="str">
        <f>TEXT(Tabla1[[#This Row],[Fecha]],"dddd")</f>
        <v>sábado</v>
      </c>
    </row>
    <row r="71" spans="3:4" x14ac:dyDescent="0.25">
      <c r="C71" s="1" t="str">
        <f>+TEXT(Tabla1[[#This Row],[Fecha]],"MMMM")</f>
        <v>enero</v>
      </c>
      <c r="D71" s="1" t="str">
        <f>TEXT(Tabla1[[#This Row],[Fecha]],"dddd")</f>
        <v>sábado</v>
      </c>
    </row>
    <row r="72" spans="3:4" x14ac:dyDescent="0.25">
      <c r="C72" s="1" t="str">
        <f>+TEXT(Tabla1[[#This Row],[Fecha]],"MMMM")</f>
        <v>enero</v>
      </c>
      <c r="D72" s="1" t="str">
        <f>TEXT(Tabla1[[#This Row],[Fecha]],"dddd")</f>
        <v>sábado</v>
      </c>
    </row>
    <row r="73" spans="3:4" x14ac:dyDescent="0.25">
      <c r="C73" s="1" t="str">
        <f>+TEXT(Tabla1[[#This Row],[Fecha]],"MMMM")</f>
        <v>enero</v>
      </c>
      <c r="D73" s="1" t="str">
        <f>TEXT(Tabla1[[#This Row],[Fecha]],"dddd")</f>
        <v>sábado</v>
      </c>
    </row>
    <row r="74" spans="3:4" x14ac:dyDescent="0.25">
      <c r="C74" s="1" t="str">
        <f>+TEXT(Tabla1[[#This Row],[Fecha]],"MMMM")</f>
        <v>enero</v>
      </c>
      <c r="D74" s="1" t="str">
        <f>TEXT(Tabla1[[#This Row],[Fecha]],"dddd")</f>
        <v>sábado</v>
      </c>
    </row>
    <row r="75" spans="3:4" x14ac:dyDescent="0.25">
      <c r="C75" s="1" t="str">
        <f>+TEXT(Tabla1[[#This Row],[Fecha]],"MMMM")</f>
        <v>enero</v>
      </c>
      <c r="D75" s="1" t="str">
        <f>TEXT(Tabla1[[#This Row],[Fecha]],"dddd")</f>
        <v>sábado</v>
      </c>
    </row>
    <row r="76" spans="3:4" x14ac:dyDescent="0.25">
      <c r="C76" s="1" t="str">
        <f>+TEXT(Tabla1[[#This Row],[Fecha]],"MMMM")</f>
        <v>enero</v>
      </c>
      <c r="D76" s="1" t="str">
        <f>TEXT(Tabla1[[#This Row],[Fecha]],"dddd")</f>
        <v>sábado</v>
      </c>
    </row>
    <row r="77" spans="3:4" x14ac:dyDescent="0.25">
      <c r="C77" s="1" t="str">
        <f>+TEXT(Tabla1[[#This Row],[Fecha]],"MMMM")</f>
        <v>enero</v>
      </c>
      <c r="D77" s="1" t="str">
        <f>TEXT(Tabla1[[#This Row],[Fecha]],"dddd")</f>
        <v>sábado</v>
      </c>
    </row>
    <row r="78" spans="3:4" x14ac:dyDescent="0.25">
      <c r="C78" s="1" t="str">
        <f>+TEXT(Tabla1[[#This Row],[Fecha]],"MMMM")</f>
        <v>enero</v>
      </c>
      <c r="D78" s="1" t="str">
        <f>TEXT(Tabla1[[#This Row],[Fecha]],"dddd")</f>
        <v>sábado</v>
      </c>
    </row>
    <row r="79" spans="3:4" x14ac:dyDescent="0.25">
      <c r="C79" s="1" t="str">
        <f>+TEXT(Tabla1[[#This Row],[Fecha]],"MMMM")</f>
        <v>enero</v>
      </c>
      <c r="D79" s="1" t="str">
        <f>TEXT(Tabla1[[#This Row],[Fecha]],"dddd")</f>
        <v>sábado</v>
      </c>
    </row>
    <row r="80" spans="3:4" x14ac:dyDescent="0.25">
      <c r="C80" s="1" t="str">
        <f>+TEXT(Tabla1[[#This Row],[Fecha]],"MMMM")</f>
        <v>enero</v>
      </c>
      <c r="D80" s="1" t="str">
        <f>TEXT(Tabla1[[#This Row],[Fecha]],"dddd")</f>
        <v>sábado</v>
      </c>
    </row>
    <row r="81" spans="3:4" x14ac:dyDescent="0.25">
      <c r="C81" s="1" t="str">
        <f>+TEXT(Tabla1[[#This Row],[Fecha]],"MMMM")</f>
        <v>enero</v>
      </c>
      <c r="D81" s="1" t="str">
        <f>TEXT(Tabla1[[#This Row],[Fecha]],"dddd")</f>
        <v>sábado</v>
      </c>
    </row>
    <row r="82" spans="3:4" x14ac:dyDescent="0.25">
      <c r="C82" s="1" t="str">
        <f>+TEXT(Tabla1[[#This Row],[Fecha]],"MMMM")</f>
        <v>enero</v>
      </c>
      <c r="D82" s="1" t="str">
        <f>TEXT(Tabla1[[#This Row],[Fecha]],"dddd")</f>
        <v>sábado</v>
      </c>
    </row>
    <row r="83" spans="3:4" x14ac:dyDescent="0.25">
      <c r="C83" s="1" t="str">
        <f>+TEXT(Tabla1[[#This Row],[Fecha]],"MMMM")</f>
        <v>enero</v>
      </c>
      <c r="D83" s="1" t="str">
        <f>TEXT(Tabla1[[#This Row],[Fecha]],"dddd")</f>
        <v>sábado</v>
      </c>
    </row>
    <row r="84" spans="3:4" x14ac:dyDescent="0.25">
      <c r="C84" s="1" t="str">
        <f>+TEXT(Tabla1[[#This Row],[Fecha]],"MMMM")</f>
        <v>enero</v>
      </c>
      <c r="D84" s="1" t="str">
        <f>TEXT(Tabla1[[#This Row],[Fecha]],"dddd")</f>
        <v>sábado</v>
      </c>
    </row>
    <row r="85" spans="3:4" x14ac:dyDescent="0.25">
      <c r="C85" s="1" t="str">
        <f>+TEXT(Tabla1[[#This Row],[Fecha]],"MMMM")</f>
        <v>enero</v>
      </c>
      <c r="D85" s="1" t="str">
        <f>TEXT(Tabla1[[#This Row],[Fecha]],"dddd")</f>
        <v>sábado</v>
      </c>
    </row>
    <row r="86" spans="3:4" x14ac:dyDescent="0.25">
      <c r="C86" s="1" t="str">
        <f>+TEXT(Tabla1[[#This Row],[Fecha]],"MMMM")</f>
        <v>enero</v>
      </c>
      <c r="D86" s="1" t="str">
        <f>TEXT(Tabla1[[#This Row],[Fecha]],"dddd")</f>
        <v>sábado</v>
      </c>
    </row>
    <row r="87" spans="3:4" x14ac:dyDescent="0.25">
      <c r="C87" s="1" t="str">
        <f>+TEXT(Tabla1[[#This Row],[Fecha]],"MMMM")</f>
        <v>enero</v>
      </c>
      <c r="D87" s="1" t="str">
        <f>TEXT(Tabla1[[#This Row],[Fecha]],"dddd")</f>
        <v>sábado</v>
      </c>
    </row>
    <row r="88" spans="3:4" x14ac:dyDescent="0.25">
      <c r="C88" s="1" t="str">
        <f>+TEXT(Tabla1[[#This Row],[Fecha]],"MMMM")</f>
        <v>enero</v>
      </c>
      <c r="D88" s="1" t="str">
        <f>TEXT(Tabla1[[#This Row],[Fecha]],"dddd")</f>
        <v>sábado</v>
      </c>
    </row>
    <row r="89" spans="3:4" x14ac:dyDescent="0.25">
      <c r="C89" s="1" t="str">
        <f>+TEXT(Tabla1[[#This Row],[Fecha]],"MMMM")</f>
        <v>enero</v>
      </c>
      <c r="D89" s="1" t="str">
        <f>TEXT(Tabla1[[#This Row],[Fecha]],"dddd")</f>
        <v>sábado</v>
      </c>
    </row>
    <row r="90" spans="3:4" x14ac:dyDescent="0.25">
      <c r="C90" s="1" t="str">
        <f>+TEXT(Tabla1[[#This Row],[Fecha]],"MMMM")</f>
        <v>enero</v>
      </c>
      <c r="D90" s="1" t="str">
        <f>TEXT(Tabla1[[#This Row],[Fecha]],"dddd")</f>
        <v>sábado</v>
      </c>
    </row>
    <row r="91" spans="3:4" x14ac:dyDescent="0.25">
      <c r="C91" s="1" t="str">
        <f>+TEXT(Tabla1[[#This Row],[Fecha]],"MMMM")</f>
        <v>enero</v>
      </c>
      <c r="D91" s="1" t="str">
        <f>TEXT(Tabla1[[#This Row],[Fecha]],"dddd")</f>
        <v>sábado</v>
      </c>
    </row>
    <row r="92" spans="3:4" x14ac:dyDescent="0.25">
      <c r="C92" s="1" t="str">
        <f>+TEXT(Tabla1[[#This Row],[Fecha]],"MMMM")</f>
        <v>enero</v>
      </c>
      <c r="D92" s="1" t="str">
        <f>TEXT(Tabla1[[#This Row],[Fecha]],"dddd")</f>
        <v>sábado</v>
      </c>
    </row>
    <row r="93" spans="3:4" x14ac:dyDescent="0.25">
      <c r="C93" s="1" t="str">
        <f>+TEXT(Tabla1[[#This Row],[Fecha]],"MMMM")</f>
        <v>enero</v>
      </c>
      <c r="D93" s="1" t="str">
        <f>TEXT(Tabla1[[#This Row],[Fecha]],"dddd")</f>
        <v>sábado</v>
      </c>
    </row>
    <row r="94" spans="3:4" x14ac:dyDescent="0.25">
      <c r="C94" s="1" t="str">
        <f>+TEXT(Tabla1[[#This Row],[Fecha]],"MMMM")</f>
        <v>enero</v>
      </c>
      <c r="D94" s="1" t="str">
        <f>TEXT(Tabla1[[#This Row],[Fecha]],"dddd")</f>
        <v>sábado</v>
      </c>
    </row>
  </sheetData>
  <sheetProtection selectLockedCells="1" selectUnlockedCell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Otaño</dc:creator>
  <cp:lastModifiedBy>Joel Espinosa</cp:lastModifiedBy>
  <dcterms:created xsi:type="dcterms:W3CDTF">2026-01-30T13:19:14Z</dcterms:created>
  <dcterms:modified xsi:type="dcterms:W3CDTF">2026-05-18T16:52:30Z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068e9361-f96a-4d69-84c6-d00eb7858963</vt:lpwstr>
  </property>
</Properties>
</file>