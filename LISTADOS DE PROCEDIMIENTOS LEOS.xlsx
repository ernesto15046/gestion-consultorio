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bb8f8d851f7487d5/Escritorio/base de datos para consultorio/Gestion de Consultorio/"/>
    </mc:Choice>
  </mc:AlternateContent>
  <xr:revisionPtr revIDLastSave="10106" documentId="8_{DDC90D56-2123-4EBF-A4F2-B9E9B1AA6065}" xr6:coauthVersionLast="47" xr6:coauthVersionMax="47" xr10:uidLastSave="{90A405EC-E75C-4293-A7AB-E7490E903F2E}"/>
  <bookViews>
    <workbookView xWindow="-28920" yWindow="-120" windowWidth="29040" windowHeight="15840" firstSheet="1" activeTab="2" xr2:uid="{00000000-000D-0000-FFFF-FFFF00000000}"/>
  </bookViews>
  <sheets>
    <sheet name="HORARIOS DE CONSULTAS Y CX" sheetId="3" r:id="rId1"/>
    <sheet name="consolidacion de pago bien " sheetId="7" r:id="rId2"/>
    <sheet name="CONSOLIDADOS DE PAGOS" sheetId="4" r:id="rId3"/>
    <sheet name="SUELDOS" sheetId="5" r:id="rId4"/>
    <sheet name="Dashboard Sueldos" sheetId="19" r:id="rId5"/>
    <sheet name="Leyenda" sheetId="10" r:id="rId6"/>
    <sheet name="Gastos2024" sheetId="8" r:id="rId7"/>
    <sheet name="Detalles2025" sheetId="12" r:id="rId8"/>
    <sheet name="Presupuesto" sheetId="17" r:id="rId9"/>
    <sheet name="Ingreso_Egreso" sheetId="14" r:id="rId10"/>
    <sheet name="Hoja1" sheetId="16" r:id="rId11"/>
    <sheet name="Listas de validacion" sheetId="15" r:id="rId12"/>
    <sheet name="Tablas" sheetId="11" r:id="rId13"/>
    <sheet name="Dashboard Pagos ARS" sheetId="18" r:id="rId14"/>
    <sheet name="Dashboard" sheetId="13" r:id="rId15"/>
  </sheets>
  <externalReferences>
    <externalReference r:id="rId16"/>
  </externalReferences>
  <definedNames>
    <definedName name="_xlnm._FilterDatabase" localSheetId="2" hidden="1">'CONSOLIDADOS DE PAGOS'!$G$3:$G$8</definedName>
    <definedName name="_meses">OFFSET(SUELDOS!XER1048551,SUELDOS!$K$28,0,SUELDOS!$K$29,1)</definedName>
    <definedName name="_sueldo">OFFSET(SUELDOS!$H$3,[1]DOS!$K$28,0,SUELDOS!$K$29,1)</definedName>
  </definedNames>
  <calcPr calcId="191029"/>
  <pivotCaches>
    <pivotCache cacheId="0" r:id="rId17"/>
    <pivotCache cacheId="1" r:id="rId18"/>
    <pivotCache cacheId="2" r:id="rId19"/>
    <pivotCache cacheId="3" r:id="rId20"/>
    <pivotCache cacheId="4" r:id="rId21"/>
    <pivotCache cacheId="5"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02" i="4" l="1"/>
  <c r="D602" i="4"/>
  <c r="C602" i="4"/>
  <c r="D601" i="4"/>
  <c r="D600" i="4"/>
  <c r="E600" i="4" s="1"/>
  <c r="I600" i="4" s="1"/>
  <c r="J600" i="4" s="1"/>
  <c r="D599" i="4"/>
  <c r="E599" i="4" s="1"/>
  <c r="I599" i="4" s="1"/>
  <c r="J599" i="4" s="1"/>
  <c r="D598" i="4"/>
  <c r="C592" i="4"/>
  <c r="D591" i="4"/>
  <c r="E591" i="4" s="1"/>
  <c r="I591" i="4" s="1"/>
  <c r="J591" i="4" s="1"/>
  <c r="D590" i="4"/>
  <c r="D589" i="4"/>
  <c r="E589" i="4" s="1"/>
  <c r="I589" i="4" s="1"/>
  <c r="J589" i="4" s="1"/>
  <c r="D582" i="4"/>
  <c r="E582" i="4" s="1"/>
  <c r="I582" i="4" s="1"/>
  <c r="J582" i="4" s="1"/>
  <c r="C583" i="4"/>
  <c r="D581" i="4"/>
  <c r="E581" i="4" s="1"/>
  <c r="I581" i="4" s="1"/>
  <c r="J581" i="4" s="1"/>
  <c r="D580" i="4"/>
  <c r="E580" i="4" s="1"/>
  <c r="I580" i="4" s="1"/>
  <c r="J580" i="4" s="1"/>
  <c r="D579" i="4"/>
  <c r="E579" i="4" s="1"/>
  <c r="I579" i="4" s="1"/>
  <c r="J579" i="4" s="1"/>
  <c r="D578" i="4"/>
  <c r="E578" i="4" s="1"/>
  <c r="I578" i="4" s="1"/>
  <c r="J578" i="4" s="1"/>
  <c r="D577" i="4"/>
  <c r="D583" i="4" s="1"/>
  <c r="K22" i="19"/>
  <c r="L20" i="19" a="1"/>
  <c r="L20" i="19" s="1"/>
  <c r="K20" i="19" a="1"/>
  <c r="K20" i="19"/>
  <c r="L18" i="19" a="1"/>
  <c r="L18" i="19" s="1"/>
  <c r="K18" i="19" a="1"/>
  <c r="K18" i="19" s="1"/>
  <c r="T14" i="19"/>
  <c r="S14" i="19"/>
  <c r="R14" i="19"/>
  <c r="Q14" i="19"/>
  <c r="T13" i="19"/>
  <c r="S13" i="19"/>
  <c r="R13" i="19"/>
  <c r="Q13" i="19"/>
  <c r="T12" i="19"/>
  <c r="S12" i="19"/>
  <c r="R12" i="19"/>
  <c r="Q12" i="19"/>
  <c r="T11" i="19"/>
  <c r="S11" i="19"/>
  <c r="R11" i="19"/>
  <c r="Q11" i="19"/>
  <c r="T10" i="19"/>
  <c r="S10" i="19"/>
  <c r="R10" i="19"/>
  <c r="Q10" i="19"/>
  <c r="T9" i="19"/>
  <c r="S9" i="19"/>
  <c r="R9" i="19"/>
  <c r="Q9" i="19"/>
  <c r="O22" i="19"/>
  <c r="N22" i="19"/>
  <c r="N21" i="19"/>
  <c r="O20" i="19"/>
  <c r="N20" i="19"/>
  <c r="O19" i="19"/>
  <c r="N19" i="19"/>
  <c r="O18" i="19"/>
  <c r="N18" i="19"/>
  <c r="N14" i="19"/>
  <c r="N13" i="19"/>
  <c r="N12" i="19"/>
  <c r="N11" i="19"/>
  <c r="N10" i="19"/>
  <c r="N9" i="19"/>
  <c r="I5" i="19"/>
  <c r="E83" i="19"/>
  <c r="D83" i="19"/>
  <c r="C83" i="19"/>
  <c r="B83" i="19"/>
  <c r="A83" i="19"/>
  <c r="E82" i="19"/>
  <c r="D82" i="19"/>
  <c r="C82" i="19"/>
  <c r="B82" i="19"/>
  <c r="A82" i="19"/>
  <c r="E81" i="19"/>
  <c r="D81" i="19"/>
  <c r="C81" i="19"/>
  <c r="B81" i="19"/>
  <c r="A81" i="19"/>
  <c r="E71" i="19"/>
  <c r="D71" i="19"/>
  <c r="C71" i="19"/>
  <c r="B71" i="19"/>
  <c r="A71" i="19"/>
  <c r="E70" i="19"/>
  <c r="D70" i="19"/>
  <c r="C70" i="19"/>
  <c r="B70" i="19"/>
  <c r="A70" i="19"/>
  <c r="D69" i="19"/>
  <c r="B69" i="19"/>
  <c r="A69" i="19"/>
  <c r="D68" i="19"/>
  <c r="B68" i="19"/>
  <c r="A68" i="19"/>
  <c r="D67" i="19"/>
  <c r="B67" i="19"/>
  <c r="A67" i="19"/>
  <c r="D66" i="19"/>
  <c r="B66" i="19"/>
  <c r="A66" i="19"/>
  <c r="D65" i="19"/>
  <c r="B65" i="19"/>
  <c r="A65" i="19"/>
  <c r="E64" i="19"/>
  <c r="D64" i="19"/>
  <c r="C64" i="19"/>
  <c r="B64" i="19"/>
  <c r="A64" i="19"/>
  <c r="D63" i="19"/>
  <c r="B63" i="19"/>
  <c r="A63" i="19"/>
  <c r="D62" i="19"/>
  <c r="B62" i="19"/>
  <c r="A62" i="19"/>
  <c r="D61" i="19"/>
  <c r="B61" i="19"/>
  <c r="A61" i="19"/>
  <c r="E60" i="19"/>
  <c r="D60" i="19"/>
  <c r="C60" i="19"/>
  <c r="B60" i="19"/>
  <c r="A60" i="19"/>
  <c r="D59" i="19"/>
  <c r="B59" i="19"/>
  <c r="A59" i="19"/>
  <c r="D58" i="19"/>
  <c r="B58" i="19"/>
  <c r="A58" i="19"/>
  <c r="D57" i="19"/>
  <c r="B57" i="19"/>
  <c r="A57" i="19"/>
  <c r="D56" i="19"/>
  <c r="B56" i="19"/>
  <c r="A56" i="19"/>
  <c r="D55" i="19"/>
  <c r="B55" i="19"/>
  <c r="A55" i="19"/>
  <c r="D54" i="19"/>
  <c r="B54" i="19"/>
  <c r="A54" i="19"/>
  <c r="D53" i="19"/>
  <c r="B53" i="19"/>
  <c r="A53" i="19"/>
  <c r="D52" i="19"/>
  <c r="B52" i="19"/>
  <c r="A52" i="19"/>
  <c r="D51" i="19"/>
  <c r="B51" i="19"/>
  <c r="A51" i="19"/>
  <c r="E50" i="19"/>
  <c r="D50" i="19"/>
  <c r="C50" i="19"/>
  <c r="B50" i="19"/>
  <c r="A50" i="19"/>
  <c r="D49" i="19"/>
  <c r="B49" i="19"/>
  <c r="A49" i="19"/>
  <c r="D48" i="19"/>
  <c r="B48" i="19"/>
  <c r="A48" i="19"/>
  <c r="D47" i="19"/>
  <c r="B47" i="19"/>
  <c r="A47" i="19"/>
  <c r="D46" i="19"/>
  <c r="B46" i="19"/>
  <c r="A46" i="19"/>
  <c r="D45" i="19"/>
  <c r="B45" i="19"/>
  <c r="A45" i="19"/>
  <c r="D44" i="19"/>
  <c r="B44" i="19"/>
  <c r="A44" i="19"/>
  <c r="D43" i="19"/>
  <c r="B43" i="19"/>
  <c r="A43" i="19"/>
  <c r="D42" i="19"/>
  <c r="B42" i="19"/>
  <c r="A42" i="19"/>
  <c r="D41" i="19"/>
  <c r="B41" i="19"/>
  <c r="A41" i="19"/>
  <c r="D40" i="19"/>
  <c r="B40" i="19"/>
  <c r="A40" i="19"/>
  <c r="D39" i="19"/>
  <c r="B39" i="19"/>
  <c r="A39" i="19"/>
  <c r="D38" i="19"/>
  <c r="B38" i="19"/>
  <c r="A38" i="19"/>
  <c r="D37" i="19"/>
  <c r="B37" i="19"/>
  <c r="A37" i="19"/>
  <c r="E36" i="19"/>
  <c r="D36" i="19"/>
  <c r="C36" i="19"/>
  <c r="B36" i="19"/>
  <c r="A36" i="19"/>
  <c r="D35" i="19"/>
  <c r="B35" i="19"/>
  <c r="A35" i="19"/>
  <c r="D34" i="19"/>
  <c r="B34" i="19"/>
  <c r="A34" i="19"/>
  <c r="D33" i="19"/>
  <c r="B33" i="19"/>
  <c r="A33" i="19"/>
  <c r="D32" i="19"/>
  <c r="B32" i="19"/>
  <c r="A32" i="19"/>
  <c r="D31" i="19"/>
  <c r="B31" i="19"/>
  <c r="A31" i="19"/>
  <c r="D30" i="19"/>
  <c r="B30" i="19"/>
  <c r="A30" i="19"/>
  <c r="E29" i="19"/>
  <c r="D29" i="19"/>
  <c r="C29" i="19"/>
  <c r="B29" i="19"/>
  <c r="A29" i="19"/>
  <c r="E28" i="19"/>
  <c r="D28" i="19"/>
  <c r="C28" i="19"/>
  <c r="B28" i="19"/>
  <c r="A28" i="19"/>
  <c r="E27" i="19"/>
  <c r="D27" i="19"/>
  <c r="C27" i="19"/>
  <c r="B27" i="19"/>
  <c r="A27" i="19"/>
  <c r="E26" i="19"/>
  <c r="D26" i="19"/>
  <c r="C26" i="19"/>
  <c r="B26" i="19"/>
  <c r="A26" i="19"/>
  <c r="D25" i="19"/>
  <c r="B25" i="19"/>
  <c r="A25" i="19"/>
  <c r="D24" i="19"/>
  <c r="B24" i="19"/>
  <c r="A24" i="19"/>
  <c r="D23" i="19"/>
  <c r="B23" i="19"/>
  <c r="A23" i="19"/>
  <c r="D22" i="19"/>
  <c r="B22" i="19"/>
  <c r="A22" i="19"/>
  <c r="D21" i="19"/>
  <c r="B21" i="19"/>
  <c r="A21" i="19"/>
  <c r="E20" i="19"/>
  <c r="D20" i="19"/>
  <c r="C20" i="19"/>
  <c r="B20" i="19"/>
  <c r="A20" i="19"/>
  <c r="D19" i="19"/>
  <c r="B19" i="19"/>
  <c r="A19" i="19"/>
  <c r="E18" i="19"/>
  <c r="D18" i="19"/>
  <c r="C18" i="19"/>
  <c r="B18" i="19"/>
  <c r="A18" i="19"/>
  <c r="K13" i="19"/>
  <c r="K11" i="19"/>
  <c r="K10" i="19"/>
  <c r="K9" i="19"/>
  <c r="F14" i="19" a="1"/>
  <c r="F14" i="19" s="1"/>
  <c r="D14" i="19" a="1"/>
  <c r="D14" i="19" s="1"/>
  <c r="C14" i="19" a="1"/>
  <c r="C14" i="19" s="1"/>
  <c r="B14" i="19" a="1"/>
  <c r="B14" i="19" s="1"/>
  <c r="F13" i="19" a="1"/>
  <c r="F13" i="19" s="1"/>
  <c r="D13" i="19" a="1"/>
  <c r="D13" i="19"/>
  <c r="C13" i="19" a="1"/>
  <c r="C13" i="19" s="1"/>
  <c r="B13" i="19" a="1"/>
  <c r="B13" i="19" s="1"/>
  <c r="F12" i="19" a="1"/>
  <c r="F12" i="19" s="1"/>
  <c r="D12" i="19" a="1"/>
  <c r="D12" i="19"/>
  <c r="C12" i="19" a="1"/>
  <c r="C12" i="19" s="1"/>
  <c r="B12" i="19" a="1"/>
  <c r="B12" i="19"/>
  <c r="F11" i="19" a="1"/>
  <c r="F11" i="19" s="1"/>
  <c r="D11" i="19" a="1"/>
  <c r="D11" i="19" s="1"/>
  <c r="C11" i="19" a="1"/>
  <c r="C11" i="19" s="1"/>
  <c r="B11" i="19" a="1"/>
  <c r="B11" i="19" s="1"/>
  <c r="F10" i="19" a="1"/>
  <c r="F10" i="19" s="1"/>
  <c r="D10" i="19" a="1"/>
  <c r="D10" i="19" s="1"/>
  <c r="C10" i="19" a="1"/>
  <c r="C10" i="19"/>
  <c r="B10" i="19" a="1"/>
  <c r="B10" i="19" s="1"/>
  <c r="F9" i="19" a="1"/>
  <c r="F9" i="19" s="1"/>
  <c r="D9" i="19" a="1"/>
  <c r="D9" i="19" s="1"/>
  <c r="C9" i="19" a="1"/>
  <c r="C9" i="19"/>
  <c r="B9" i="19" a="1"/>
  <c r="B9" i="19" s="1"/>
  <c r="C572" i="4"/>
  <c r="D571" i="4"/>
  <c r="E601" i="4" l="1"/>
  <c r="I601" i="4" s="1"/>
  <c r="J601" i="4" s="1"/>
  <c r="E598" i="4"/>
  <c r="E590" i="4"/>
  <c r="D588" i="4"/>
  <c r="D592" i="4" s="1"/>
  <c r="E577" i="4"/>
  <c r="E583" i="4" s="1"/>
  <c r="F60" i="5" s="1"/>
  <c r="D572" i="4"/>
  <c r="E571" i="4"/>
  <c r="E572" i="4" s="1"/>
  <c r="F59" i="5" s="1"/>
  <c r="I598" i="4" l="1"/>
  <c r="F62" i="5"/>
  <c r="H62" i="5" s="1"/>
  <c r="I590" i="4"/>
  <c r="J590" i="4" s="1"/>
  <c r="E588" i="4"/>
  <c r="I571" i="4"/>
  <c r="I572" i="4" s="1"/>
  <c r="J572" i="4" s="1"/>
  <c r="I577" i="4"/>
  <c r="I583" i="4" s="1"/>
  <c r="J583" i="4" s="1"/>
  <c r="H70" i="5"/>
  <c r="C57" i="5"/>
  <c r="H57" i="5" s="1"/>
  <c r="C68" i="5"/>
  <c r="H68" i="5" s="1"/>
  <c r="C69" i="5"/>
  <c r="H69" i="5" s="1"/>
  <c r="C60" i="5"/>
  <c r="C61" i="5"/>
  <c r="C62" i="5"/>
  <c r="C63" i="5"/>
  <c r="C64" i="5"/>
  <c r="C65" i="5"/>
  <c r="C66" i="5"/>
  <c r="C67" i="5"/>
  <c r="H60" i="5"/>
  <c r="H63" i="5"/>
  <c r="H64" i="5"/>
  <c r="H65" i="5"/>
  <c r="H66" i="5"/>
  <c r="H67" i="5"/>
  <c r="C58" i="5"/>
  <c r="C59" i="5"/>
  <c r="H59" i="5" s="1"/>
  <c r="C566" i="4"/>
  <c r="D563" i="4"/>
  <c r="E563" i="4" s="1"/>
  <c r="I563" i="4" s="1"/>
  <c r="J563" i="4" s="1"/>
  <c r="D565" i="4"/>
  <c r="E565" i="4" s="1"/>
  <c r="I565" i="4" s="1"/>
  <c r="J565" i="4" s="1"/>
  <c r="D564" i="4"/>
  <c r="E564" i="4" s="1"/>
  <c r="I564" i="4" s="1"/>
  <c r="J564" i="4" s="1"/>
  <c r="D562" i="4"/>
  <c r="E562" i="4" s="1"/>
  <c r="I562" i="4" s="1"/>
  <c r="J562" i="4" s="1"/>
  <c r="D561" i="4"/>
  <c r="E561" i="4" s="1"/>
  <c r="C555" i="4"/>
  <c r="D554" i="4"/>
  <c r="E554" i="4" s="1"/>
  <c r="I554" i="4" s="1"/>
  <c r="J554" i="4" s="1"/>
  <c r="D553" i="4"/>
  <c r="E553" i="4" s="1"/>
  <c r="I553" i="4" s="1"/>
  <c r="J553" i="4" s="1"/>
  <c r="D552" i="4"/>
  <c r="E552" i="4" s="1"/>
  <c r="I552" i="4" s="1"/>
  <c r="J552" i="4" s="1"/>
  <c r="D551" i="4"/>
  <c r="E551" i="4" s="1"/>
  <c r="I551" i="4" s="1"/>
  <c r="J551" i="4" s="1"/>
  <c r="D550" i="4"/>
  <c r="E550" i="4" s="1"/>
  <c r="I588" i="4" l="1"/>
  <c r="E592" i="4"/>
  <c r="F61" i="5" s="1"/>
  <c r="H61" i="5" s="1"/>
  <c r="J598" i="4"/>
  <c r="I602" i="4"/>
  <c r="J602" i="4" s="1"/>
  <c r="J571" i="4"/>
  <c r="J577" i="4"/>
  <c r="D566" i="4"/>
  <c r="E566" i="4"/>
  <c r="F58" i="5" s="1"/>
  <c r="H58" i="5" s="1"/>
  <c r="I561" i="4"/>
  <c r="E555" i="4"/>
  <c r="F54" i="5" s="1"/>
  <c r="C69" i="19" s="1"/>
  <c r="D555" i="4"/>
  <c r="I550" i="4"/>
  <c r="J588" i="4" l="1"/>
  <c r="I592" i="4"/>
  <c r="J592" i="4" s="1"/>
  <c r="I566" i="4"/>
  <c r="J566" i="4" s="1"/>
  <c r="J561" i="4"/>
  <c r="I555" i="4"/>
  <c r="J555" i="4" s="1"/>
  <c r="J550" i="4"/>
  <c r="D544" i="4" l="1"/>
  <c r="E544" i="4" s="1"/>
  <c r="I544" i="4" s="1"/>
  <c r="J544" i="4" s="1"/>
  <c r="D541" i="4"/>
  <c r="E541" i="4" s="1"/>
  <c r="I541" i="4" s="1"/>
  <c r="J541" i="4" s="1"/>
  <c r="D543" i="4"/>
  <c r="E543" i="4" s="1"/>
  <c r="I543" i="4" s="1"/>
  <c r="J543" i="4" s="1"/>
  <c r="D542" i="4"/>
  <c r="E542" i="4" s="1"/>
  <c r="I542" i="4" s="1"/>
  <c r="J542" i="4" s="1"/>
  <c r="D540" i="4"/>
  <c r="C545" i="4" l="1"/>
  <c r="D545" i="4"/>
  <c r="E540" i="4"/>
  <c r="E545" i="4" l="1"/>
  <c r="F53" i="5" s="1"/>
  <c r="C68" i="19" s="1"/>
  <c r="I540" i="4"/>
  <c r="I545" i="4" l="1"/>
  <c r="J545" i="4" s="1"/>
  <c r="J540" i="4"/>
  <c r="C535" i="4" l="1"/>
  <c r="D533" i="4"/>
  <c r="E533" i="4" s="1"/>
  <c r="I533" i="4" s="1"/>
  <c r="J533" i="4" s="1"/>
  <c r="D532" i="4"/>
  <c r="E532" i="4" s="1"/>
  <c r="I532" i="4" s="1"/>
  <c r="J532" i="4" s="1"/>
  <c r="D531" i="4"/>
  <c r="E531" i="4" s="1"/>
  <c r="I531" i="4" s="1"/>
  <c r="J531" i="4" s="1"/>
  <c r="D530" i="4"/>
  <c r="E530" i="4" s="1"/>
  <c r="I530" i="4" s="1"/>
  <c r="J530" i="4" s="1"/>
  <c r="D529" i="4"/>
  <c r="D535" i="4" l="1"/>
  <c r="E529" i="4"/>
  <c r="E535" i="4" s="1"/>
  <c r="F52" i="5" s="1"/>
  <c r="C67" i="19" s="1"/>
  <c r="C524" i="4"/>
  <c r="D523" i="4"/>
  <c r="E523" i="4" s="1"/>
  <c r="I523" i="4" s="1"/>
  <c r="J523" i="4" s="1"/>
  <c r="D522" i="4"/>
  <c r="E522" i="4" s="1"/>
  <c r="I522" i="4" s="1"/>
  <c r="J522" i="4" s="1"/>
  <c r="D521" i="4"/>
  <c r="E521" i="4" s="1"/>
  <c r="I521" i="4" s="1"/>
  <c r="J521" i="4" s="1"/>
  <c r="D520" i="4"/>
  <c r="E520" i="4" s="1"/>
  <c r="I520" i="4" s="1"/>
  <c r="J520" i="4" s="1"/>
  <c r="I529" i="4" l="1"/>
  <c r="I535" i="4" s="1"/>
  <c r="J535" i="4" s="1"/>
  <c r="D519" i="4"/>
  <c r="D524" i="4" s="1"/>
  <c r="J529" i="4" l="1"/>
  <c r="E519" i="4"/>
  <c r="I519" i="4" s="1"/>
  <c r="E524" i="4" l="1"/>
  <c r="F51" i="5" s="1"/>
  <c r="C66" i="19" s="1"/>
  <c r="I524" i="4"/>
  <c r="J524" i="4" s="1"/>
  <c r="J519" i="4"/>
  <c r="C514" i="4" l="1"/>
  <c r="D513" i="4"/>
  <c r="E513" i="4" s="1"/>
  <c r="I513" i="4" s="1"/>
  <c r="J513" i="4" s="1"/>
  <c r="O29" i="5" a="1"/>
  <c r="O29" i="5" s="1"/>
  <c r="J26" i="14"/>
  <c r="I514" i="4" l="1"/>
  <c r="D514" i="4"/>
  <c r="K7" i="16"/>
  <c r="M5" i="16"/>
  <c r="M6" i="16" s="1"/>
  <c r="J5" i="16"/>
  <c r="N5" i="16" s="1"/>
  <c r="N4" i="16"/>
  <c r="L4" i="16"/>
  <c r="O4" i="16" s="1"/>
  <c r="C22" i="16"/>
  <c r="E19" i="16"/>
  <c r="C15" i="16"/>
  <c r="E13" i="16"/>
  <c r="E14" i="16" s="1"/>
  <c r="E15" i="16" s="1"/>
  <c r="D13" i="16"/>
  <c r="B13" i="16"/>
  <c r="B14" i="16" s="1"/>
  <c r="F12" i="16"/>
  <c r="D12" i="16"/>
  <c r="C6" i="16"/>
  <c r="E4" i="16"/>
  <c r="E5" i="16" s="1"/>
  <c r="B4" i="16"/>
  <c r="F3" i="16"/>
  <c r="D3" i="16"/>
  <c r="AH178" i="12"/>
  <c r="P177" i="12"/>
  <c r="Q177" i="12" s="1"/>
  <c r="AD177" i="12" s="1"/>
  <c r="H177" i="12"/>
  <c r="A177" i="12"/>
  <c r="AF177" i="12"/>
  <c r="Q176" i="12"/>
  <c r="AD176" i="12" s="1"/>
  <c r="H176" i="12"/>
  <c r="A176" i="12"/>
  <c r="AF176" i="12"/>
  <c r="AF175" i="12"/>
  <c r="Q175" i="12"/>
  <c r="AD175" i="12" s="1"/>
  <c r="H175" i="12"/>
  <c r="A175" i="12"/>
  <c r="D175" i="12" s="1"/>
  <c r="E514" i="4" l="1"/>
  <c r="F50" i="5" s="1"/>
  <c r="C65" i="19" s="1"/>
  <c r="F4" i="16"/>
  <c r="L5" i="16"/>
  <c r="J6" i="16"/>
  <c r="M7" i="16"/>
  <c r="F13" i="16"/>
  <c r="J7" i="16"/>
  <c r="B19" i="16" s="1"/>
  <c r="G3" i="16"/>
  <c r="G13" i="16"/>
  <c r="F14" i="16"/>
  <c r="F15" i="16" s="1"/>
  <c r="E21" i="16"/>
  <c r="D4" i="16"/>
  <c r="B5" i="16"/>
  <c r="E6" i="16"/>
  <c r="D14" i="16"/>
  <c r="B15" i="16"/>
  <c r="B6" i="16"/>
  <c r="G12" i="16"/>
  <c r="E20" i="16"/>
  <c r="E22" i="16" s="1"/>
  <c r="C177" i="12"/>
  <c r="D177" i="12"/>
  <c r="B177" i="12"/>
  <c r="B176" i="12"/>
  <c r="C176" i="12"/>
  <c r="D176" i="12"/>
  <c r="B175" i="12"/>
  <c r="C175" i="12"/>
  <c r="Q174" i="12"/>
  <c r="P174" i="12"/>
  <c r="H174" i="12"/>
  <c r="A174" i="12"/>
  <c r="AD174" i="12"/>
  <c r="AF174" i="12"/>
  <c r="P173" i="12"/>
  <c r="Q173" i="12" s="1"/>
  <c r="AD173" i="12" s="1"/>
  <c r="H173" i="12"/>
  <c r="A173" i="12"/>
  <c r="AF173" i="12"/>
  <c r="P172" i="12"/>
  <c r="Q172" i="12" s="1"/>
  <c r="AD172" i="12" s="1"/>
  <c r="H172" i="12"/>
  <c r="A172" i="12"/>
  <c r="AF172" i="12"/>
  <c r="P171" i="12"/>
  <c r="Q171" i="12" s="1"/>
  <c r="AD171" i="12" s="1"/>
  <c r="H171" i="12"/>
  <c r="A171" i="12"/>
  <c r="B171" i="12" s="1"/>
  <c r="AF171" i="12"/>
  <c r="F19" i="11"/>
  <c r="D13" i="11" s="1"/>
  <c r="J514" i="4" l="1"/>
  <c r="O5" i="16"/>
  <c r="L7" i="16"/>
  <c r="L6" i="16"/>
  <c r="N6" i="16"/>
  <c r="N7" i="16" s="1"/>
  <c r="D19" i="16"/>
  <c r="F19" i="16"/>
  <c r="B20" i="16"/>
  <c r="G14" i="16"/>
  <c r="G15" i="16" s="1"/>
  <c r="D15" i="16"/>
  <c r="G4" i="16"/>
  <c r="D5" i="16"/>
  <c r="D6" i="16" s="1"/>
  <c r="F5" i="16"/>
  <c r="F6" i="16" s="1"/>
  <c r="B174" i="12"/>
  <c r="C174" i="12"/>
  <c r="D174" i="12"/>
  <c r="D173" i="12"/>
  <c r="B173" i="12"/>
  <c r="C173" i="12"/>
  <c r="B172" i="12"/>
  <c r="C172" i="12"/>
  <c r="D172" i="12"/>
  <c r="D171" i="12"/>
  <c r="C171" i="12"/>
  <c r="O6" i="16" l="1"/>
  <c r="O7" i="16"/>
  <c r="F20" i="16"/>
  <c r="B21" i="16"/>
  <c r="B22" i="16" s="1"/>
  <c r="D20" i="16"/>
  <c r="G5" i="16"/>
  <c r="G6" i="16" s="1"/>
  <c r="G19" i="16"/>
  <c r="Q170" i="12"/>
  <c r="AD170" i="12" s="1"/>
  <c r="H170" i="12"/>
  <c r="A170" i="12"/>
  <c r="AF170" i="12"/>
  <c r="AF169" i="12"/>
  <c r="Q169" i="12"/>
  <c r="AD169" i="12" s="1"/>
  <c r="H169" i="12"/>
  <c r="A169" i="12"/>
  <c r="D169" i="12" s="1"/>
  <c r="AF168" i="12"/>
  <c r="Q168" i="12"/>
  <c r="AD168" i="12" s="1"/>
  <c r="H168" i="12"/>
  <c r="A168" i="12"/>
  <c r="D168" i="12" s="1"/>
  <c r="AF167" i="12"/>
  <c r="Q167" i="12"/>
  <c r="AD167" i="12" s="1"/>
  <c r="A167" i="12"/>
  <c r="H167" i="12"/>
  <c r="AF166" i="12"/>
  <c r="Q166" i="12"/>
  <c r="AD166" i="12" s="1"/>
  <c r="A166" i="12"/>
  <c r="H166" i="12"/>
  <c r="Q165" i="12"/>
  <c r="AD165" i="12" s="1"/>
  <c r="H165" i="12"/>
  <c r="A165" i="12"/>
  <c r="AF165" i="12"/>
  <c r="Q164" i="12"/>
  <c r="P164" i="12"/>
  <c r="H164" i="12"/>
  <c r="A164" i="12"/>
  <c r="AD164" i="12"/>
  <c r="AF164" i="12"/>
  <c r="P163" i="12"/>
  <c r="Q163" i="12" s="1"/>
  <c r="AD163" i="12" s="1"/>
  <c r="H163" i="12"/>
  <c r="A163" i="12"/>
  <c r="AF163" i="12"/>
  <c r="Q162" i="12"/>
  <c r="AD162" i="12" s="1"/>
  <c r="H162" i="12"/>
  <c r="A162" i="12"/>
  <c r="AF162" i="12"/>
  <c r="Q161" i="12"/>
  <c r="AD161" i="12" s="1"/>
  <c r="H161" i="12"/>
  <c r="A161" i="12"/>
  <c r="AF161" i="12"/>
  <c r="Q160" i="12"/>
  <c r="AD160" i="12" s="1"/>
  <c r="H160" i="12"/>
  <c r="A160" i="12"/>
  <c r="AF160" i="12"/>
  <c r="Q159" i="12"/>
  <c r="AD159" i="12" s="1"/>
  <c r="H159" i="12"/>
  <c r="A159" i="12"/>
  <c r="AF159" i="12"/>
  <c r="Q158" i="12"/>
  <c r="P158" i="12"/>
  <c r="H158" i="12"/>
  <c r="A158" i="12"/>
  <c r="AD158" i="12"/>
  <c r="AF158" i="12"/>
  <c r="P157" i="12"/>
  <c r="Q157" i="12" s="1"/>
  <c r="AD157" i="12" s="1"/>
  <c r="H157" i="12"/>
  <c r="A157" i="12"/>
  <c r="AF157" i="12"/>
  <c r="Q156" i="12"/>
  <c r="AD156" i="12" s="1"/>
  <c r="H156" i="12"/>
  <c r="A156" i="12"/>
  <c r="AF156" i="12"/>
  <c r="Q155" i="12"/>
  <c r="AD155" i="12" s="1"/>
  <c r="H155" i="12"/>
  <c r="A155" i="12"/>
  <c r="AF155" i="12"/>
  <c r="Q154" i="12"/>
  <c r="AD154" i="12" s="1"/>
  <c r="H154" i="12"/>
  <c r="A154" i="12"/>
  <c r="AF154" i="12"/>
  <c r="Q153" i="12"/>
  <c r="AD153" i="12" s="1"/>
  <c r="H153" i="12"/>
  <c r="A153" i="12"/>
  <c r="AF153" i="12"/>
  <c r="Q152" i="12"/>
  <c r="AD152" i="12" s="1"/>
  <c r="H152" i="12"/>
  <c r="A152" i="12"/>
  <c r="AF152" i="12"/>
  <c r="Q151" i="12"/>
  <c r="AD151" i="12" s="1"/>
  <c r="H151" i="12"/>
  <c r="A151" i="12"/>
  <c r="AF151" i="12"/>
  <c r="Q145" i="12"/>
  <c r="AD145" i="12" s="1"/>
  <c r="AF150" i="12"/>
  <c r="Q150" i="12"/>
  <c r="AD150" i="12" s="1"/>
  <c r="H150" i="12"/>
  <c r="A150" i="12"/>
  <c r="D150" i="12" s="1"/>
  <c r="AF149" i="12"/>
  <c r="Q149" i="12"/>
  <c r="AD149" i="12" s="1"/>
  <c r="H149" i="12"/>
  <c r="A149" i="12"/>
  <c r="D149" i="12" s="1"/>
  <c r="AF148" i="12"/>
  <c r="Q148" i="12"/>
  <c r="AD148" i="12" s="1"/>
  <c r="H148" i="12"/>
  <c r="A148" i="12"/>
  <c r="D148" i="12" s="1"/>
  <c r="AF147" i="12"/>
  <c r="Q147" i="12"/>
  <c r="AD147" i="12" s="1"/>
  <c r="H147" i="12"/>
  <c r="A147" i="12"/>
  <c r="D147" i="12" s="1"/>
  <c r="AF146" i="12"/>
  <c r="Q146" i="12"/>
  <c r="AD146" i="12" s="1"/>
  <c r="H146" i="12"/>
  <c r="A146" i="12"/>
  <c r="D146" i="12" s="1"/>
  <c r="A145" i="12"/>
  <c r="B145" i="12" s="1"/>
  <c r="H145" i="12"/>
  <c r="AF145" i="12"/>
  <c r="AF112" i="12"/>
  <c r="Q112" i="12"/>
  <c r="AD112" i="12" s="1"/>
  <c r="A112" i="12"/>
  <c r="H112" i="12"/>
  <c r="AF111" i="12"/>
  <c r="Q111" i="12"/>
  <c r="AD111" i="12" s="1"/>
  <c r="A111" i="12"/>
  <c r="H111" i="12"/>
  <c r="AF110" i="12"/>
  <c r="Q110" i="12"/>
  <c r="AD110" i="12" s="1"/>
  <c r="A110" i="12"/>
  <c r="H110" i="12"/>
  <c r="AF109" i="12"/>
  <c r="Q109" i="12"/>
  <c r="AD109" i="12" s="1"/>
  <c r="H109" i="12"/>
  <c r="A109" i="12"/>
  <c r="D109" i="12" s="1"/>
  <c r="AF108" i="12"/>
  <c r="Q108" i="12"/>
  <c r="AD108" i="12" s="1"/>
  <c r="A108" i="12"/>
  <c r="H108" i="12"/>
  <c r="K56" i="12"/>
  <c r="K57" i="12"/>
  <c r="K58" i="12"/>
  <c r="K59" i="12"/>
  <c r="K60" i="12"/>
  <c r="AF60" i="12"/>
  <c r="Q60" i="12"/>
  <c r="AD60" i="12" s="1"/>
  <c r="H60" i="12"/>
  <c r="AF59" i="12"/>
  <c r="Q59" i="12"/>
  <c r="AD59" i="12" s="1"/>
  <c r="H59" i="12"/>
  <c r="AF58" i="12"/>
  <c r="Q58" i="12"/>
  <c r="AD58" i="12" s="1"/>
  <c r="H58" i="12"/>
  <c r="AF57" i="12"/>
  <c r="Q57" i="12"/>
  <c r="AD57" i="12" s="1"/>
  <c r="H57" i="12"/>
  <c r="AF56" i="12"/>
  <c r="Q56" i="12"/>
  <c r="AD56" i="12" s="1"/>
  <c r="H56" i="12"/>
  <c r="Q10" i="12"/>
  <c r="AD10" i="12" s="1"/>
  <c r="Q9" i="12"/>
  <c r="AD9" i="12" s="1"/>
  <c r="Q8" i="12"/>
  <c r="AD8" i="12" s="1"/>
  <c r="Q7" i="12"/>
  <c r="AD7" i="12" s="1"/>
  <c r="Q6" i="12"/>
  <c r="AD6" i="12" s="1"/>
  <c r="H6" i="12"/>
  <c r="AF6" i="12"/>
  <c r="H7" i="12"/>
  <c r="AF7" i="12"/>
  <c r="H8" i="12"/>
  <c r="AF8" i="12"/>
  <c r="H9" i="12"/>
  <c r="AF9" i="12"/>
  <c r="H10" i="12"/>
  <c r="AF10" i="12"/>
  <c r="A144" i="12"/>
  <c r="C144" i="12" s="1"/>
  <c r="AF144" i="12"/>
  <c r="Q144" i="12"/>
  <c r="AD144" i="12" s="1"/>
  <c r="H144" i="12"/>
  <c r="A143" i="12"/>
  <c r="D143" i="12" s="1"/>
  <c r="AF143" i="12"/>
  <c r="Q143" i="12"/>
  <c r="AD143" i="12" s="1"/>
  <c r="H143" i="12"/>
  <c r="A141" i="12"/>
  <c r="A142" i="12"/>
  <c r="AF142" i="12"/>
  <c r="Q142" i="12"/>
  <c r="AD142" i="12" s="1"/>
  <c r="H142" i="12"/>
  <c r="AF141" i="12"/>
  <c r="Q141" i="12"/>
  <c r="AD141" i="12" s="1"/>
  <c r="H141" i="12"/>
  <c r="A134" i="12"/>
  <c r="B134" i="12" s="1"/>
  <c r="A135" i="12"/>
  <c r="C135" i="12" s="1"/>
  <c r="A136" i="12"/>
  <c r="C136" i="12" s="1"/>
  <c r="A137" i="12"/>
  <c r="B137" i="12" s="1"/>
  <c r="A138" i="12"/>
  <c r="B138" i="12" s="1"/>
  <c r="A139" i="12"/>
  <c r="B139" i="12" s="1"/>
  <c r="A140" i="12"/>
  <c r="AF140" i="12"/>
  <c r="AF139" i="12"/>
  <c r="Q139" i="12"/>
  <c r="AD139" i="12" s="1"/>
  <c r="H139" i="12"/>
  <c r="AF138" i="12"/>
  <c r="Q138" i="12"/>
  <c r="AD138" i="12" s="1"/>
  <c r="H138" i="12"/>
  <c r="AF137" i="12"/>
  <c r="Q137" i="12"/>
  <c r="AD137" i="12" s="1"/>
  <c r="H137" i="12"/>
  <c r="AF136" i="12"/>
  <c r="Q136" i="12"/>
  <c r="AD136" i="12" s="1"/>
  <c r="H136" i="12"/>
  <c r="AF135" i="12"/>
  <c r="Q135" i="12"/>
  <c r="AD135" i="12" s="1"/>
  <c r="H135" i="12"/>
  <c r="AF134" i="12"/>
  <c r="Q134" i="12"/>
  <c r="AD134" i="12" s="1"/>
  <c r="H134" i="12"/>
  <c r="AF133" i="12"/>
  <c r="Q133" i="12"/>
  <c r="AD133" i="12" s="1"/>
  <c r="H133" i="12"/>
  <c r="A133" i="12"/>
  <c r="D133" i="12" s="1"/>
  <c r="AF132" i="12"/>
  <c r="Q132" i="12"/>
  <c r="AD132" i="12" s="1"/>
  <c r="H132" i="12"/>
  <c r="A132" i="12"/>
  <c r="D132" i="12" s="1"/>
  <c r="A130" i="12"/>
  <c r="C130" i="12" s="1"/>
  <c r="A131" i="12"/>
  <c r="C131" i="12" s="1"/>
  <c r="AF131" i="12"/>
  <c r="Q131" i="12"/>
  <c r="AD131" i="12" s="1"/>
  <c r="H131" i="12"/>
  <c r="AF130" i="12"/>
  <c r="Q130" i="12"/>
  <c r="AD130" i="12" s="1"/>
  <c r="H130" i="12"/>
  <c r="P129" i="12"/>
  <c r="Q129" i="12" s="1"/>
  <c r="AD129" i="12" s="1"/>
  <c r="H129" i="12"/>
  <c r="A129" i="12"/>
  <c r="AF129" i="12"/>
  <c r="P128" i="12"/>
  <c r="Q128" i="12" s="1"/>
  <c r="AD128" i="12" s="1"/>
  <c r="H128" i="12"/>
  <c r="A128" i="12"/>
  <c r="AF128" i="12"/>
  <c r="P127" i="12"/>
  <c r="Q127" i="12" s="1"/>
  <c r="AD127" i="12" s="1"/>
  <c r="H127" i="12"/>
  <c r="A127" i="12"/>
  <c r="AF127" i="12"/>
  <c r="P123" i="12"/>
  <c r="Q123" i="12" s="1"/>
  <c r="AD123" i="12" s="1"/>
  <c r="P122" i="12"/>
  <c r="Q122" i="12" s="1"/>
  <c r="AD122" i="12" s="1"/>
  <c r="P121" i="12"/>
  <c r="Q121" i="12" s="1"/>
  <c r="AD121" i="12" s="1"/>
  <c r="P120" i="12"/>
  <c r="Q120" i="12" s="1"/>
  <c r="AD120" i="12" s="1"/>
  <c r="P119" i="12"/>
  <c r="P118" i="12"/>
  <c r="Q118" i="12" s="1"/>
  <c r="AD118" i="12" s="1"/>
  <c r="P117" i="12"/>
  <c r="Q117" i="12" s="1"/>
  <c r="AD117" i="12" s="1"/>
  <c r="A105" i="12"/>
  <c r="B105" i="12" s="1"/>
  <c r="A106" i="12"/>
  <c r="B106" i="12" s="1"/>
  <c r="A107" i="12"/>
  <c r="B107" i="12" s="1"/>
  <c r="A113" i="12"/>
  <c r="B113" i="12" s="1"/>
  <c r="A114" i="12"/>
  <c r="B114" i="12" s="1"/>
  <c r="A115" i="12"/>
  <c r="B115" i="12" s="1"/>
  <c r="A116" i="12"/>
  <c r="B116" i="12" s="1"/>
  <c r="A117" i="12"/>
  <c r="B117" i="12" s="1"/>
  <c r="A118" i="12"/>
  <c r="B118" i="12" s="1"/>
  <c r="A119" i="12"/>
  <c r="B119" i="12" s="1"/>
  <c r="A120" i="12"/>
  <c r="B120" i="12" s="1"/>
  <c r="A121" i="12"/>
  <c r="B121" i="12" s="1"/>
  <c r="A122" i="12"/>
  <c r="B122" i="12" s="1"/>
  <c r="A123" i="12"/>
  <c r="B123" i="12" s="1"/>
  <c r="A124" i="12"/>
  <c r="B124" i="12" s="1"/>
  <c r="A125" i="12"/>
  <c r="B125" i="12" s="1"/>
  <c r="A126" i="12"/>
  <c r="B126" i="12" s="1"/>
  <c r="AF105" i="12"/>
  <c r="AF106" i="12"/>
  <c r="AF107" i="12"/>
  <c r="AF113" i="12"/>
  <c r="AF114" i="12"/>
  <c r="AF115" i="12"/>
  <c r="AF116" i="12"/>
  <c r="AF117" i="12"/>
  <c r="AF118" i="12"/>
  <c r="AF119" i="12"/>
  <c r="AF120" i="12"/>
  <c r="AF121" i="12"/>
  <c r="AF122" i="12"/>
  <c r="AF123" i="12"/>
  <c r="AF124" i="12"/>
  <c r="AF125" i="12"/>
  <c r="AF126" i="12"/>
  <c r="Q105" i="12"/>
  <c r="AD105" i="12" s="1"/>
  <c r="Q106" i="12"/>
  <c r="AD106" i="12" s="1"/>
  <c r="Q107" i="12"/>
  <c r="AD107" i="12" s="1"/>
  <c r="Q113" i="12"/>
  <c r="AD113" i="12" s="1"/>
  <c r="Q114" i="12"/>
  <c r="AD114" i="12" s="1"/>
  <c r="Q115" i="12"/>
  <c r="AD115" i="12" s="1"/>
  <c r="Q116" i="12"/>
  <c r="AD116" i="12" s="1"/>
  <c r="Q119" i="12"/>
  <c r="AD119" i="12" s="1"/>
  <c r="Q124" i="12"/>
  <c r="AD124" i="12" s="1"/>
  <c r="Q125" i="12"/>
  <c r="AD125" i="12" s="1"/>
  <c r="Q126" i="12"/>
  <c r="AD126" i="12" s="1"/>
  <c r="H107" i="12"/>
  <c r="H113" i="12"/>
  <c r="H114" i="12"/>
  <c r="H115" i="12"/>
  <c r="H116" i="12"/>
  <c r="H117" i="12"/>
  <c r="H118" i="12"/>
  <c r="H119" i="12"/>
  <c r="H120" i="12"/>
  <c r="H121" i="12"/>
  <c r="H122" i="12"/>
  <c r="H123" i="12"/>
  <c r="H124" i="12"/>
  <c r="H125" i="12"/>
  <c r="H126" i="12"/>
  <c r="H105" i="12"/>
  <c r="H106" i="12"/>
  <c r="A104" i="12"/>
  <c r="B104" i="12" s="1"/>
  <c r="Q104" i="12"/>
  <c r="AD104" i="12" s="1"/>
  <c r="H104" i="12"/>
  <c r="AF104" i="12"/>
  <c r="A100" i="12"/>
  <c r="D100" i="12" s="1"/>
  <c r="A102" i="12"/>
  <c r="D102" i="12" s="1"/>
  <c r="A103" i="12"/>
  <c r="C103" i="12" s="1"/>
  <c r="AF103" i="12"/>
  <c r="Q103" i="12"/>
  <c r="AD103" i="12" s="1"/>
  <c r="H103" i="12"/>
  <c r="D103" i="12"/>
  <c r="AF102" i="12"/>
  <c r="Q102" i="12"/>
  <c r="AD102" i="12" s="1"/>
  <c r="H102" i="12"/>
  <c r="AF101" i="12"/>
  <c r="Q101" i="12"/>
  <c r="AD101" i="12" s="1"/>
  <c r="H101" i="12"/>
  <c r="A101" i="12"/>
  <c r="D101" i="12" s="1"/>
  <c r="AF100" i="12"/>
  <c r="Q100" i="12"/>
  <c r="AD100" i="12" s="1"/>
  <c r="H100" i="12"/>
  <c r="AF99" i="12"/>
  <c r="Q99" i="12"/>
  <c r="AD99" i="12" s="1"/>
  <c r="A99" i="12"/>
  <c r="H99" i="12"/>
  <c r="AF98" i="12"/>
  <c r="Q98" i="12"/>
  <c r="AD98" i="12" s="1"/>
  <c r="A98" i="12"/>
  <c r="H98" i="12"/>
  <c r="A96" i="12"/>
  <c r="AF97" i="12"/>
  <c r="Q97" i="12"/>
  <c r="AD97" i="12" s="1"/>
  <c r="A97" i="12"/>
  <c r="H97" i="12"/>
  <c r="AF96" i="12"/>
  <c r="Q96" i="12"/>
  <c r="AD96" i="12" s="1"/>
  <c r="H96" i="12"/>
  <c r="G20" i="16" l="1"/>
  <c r="D21" i="16"/>
  <c r="F21" i="16"/>
  <c r="F22" i="16" s="1"/>
  <c r="C134" i="12"/>
  <c r="C170" i="12"/>
  <c r="D170" i="12"/>
  <c r="B170" i="12"/>
  <c r="B168" i="12"/>
  <c r="B169" i="12"/>
  <c r="C168" i="12"/>
  <c r="C169" i="12"/>
  <c r="D167" i="12"/>
  <c r="C167" i="12"/>
  <c r="B167" i="12"/>
  <c r="B166" i="12"/>
  <c r="D166" i="12"/>
  <c r="C166" i="12"/>
  <c r="D165" i="12"/>
  <c r="B165" i="12"/>
  <c r="C165" i="12"/>
  <c r="B164" i="12"/>
  <c r="C164" i="12"/>
  <c r="D164" i="12"/>
  <c r="B163" i="12"/>
  <c r="D163" i="12"/>
  <c r="C163" i="12"/>
  <c r="B162" i="12"/>
  <c r="C162" i="12"/>
  <c r="D162" i="12"/>
  <c r="B161" i="12"/>
  <c r="C161" i="12"/>
  <c r="D161" i="12"/>
  <c r="B160" i="12"/>
  <c r="C160" i="12"/>
  <c r="D160" i="12"/>
  <c r="B159" i="12"/>
  <c r="C159" i="12"/>
  <c r="D159" i="12"/>
  <c r="B158" i="12"/>
  <c r="C158" i="12"/>
  <c r="D158" i="12"/>
  <c r="B157" i="12"/>
  <c r="C157" i="12"/>
  <c r="D157" i="12"/>
  <c r="B156" i="12"/>
  <c r="C156" i="12"/>
  <c r="D156" i="12"/>
  <c r="D155" i="12"/>
  <c r="B155" i="12"/>
  <c r="C155" i="12"/>
  <c r="D154" i="12"/>
  <c r="B154" i="12"/>
  <c r="C154" i="12"/>
  <c r="B153" i="12"/>
  <c r="D153" i="12"/>
  <c r="C153" i="12"/>
  <c r="B152" i="12"/>
  <c r="C152" i="12"/>
  <c r="D152" i="12"/>
  <c r="B151" i="12"/>
  <c r="C151" i="12"/>
  <c r="D151" i="12"/>
  <c r="D145" i="12"/>
  <c r="B146" i="12"/>
  <c r="B147" i="12"/>
  <c r="B148" i="12"/>
  <c r="B149" i="12"/>
  <c r="B150" i="12"/>
  <c r="C146" i="12"/>
  <c r="C147" i="12"/>
  <c r="C148" i="12"/>
  <c r="C149" i="12"/>
  <c r="C150" i="12"/>
  <c r="C145" i="12"/>
  <c r="D108" i="12"/>
  <c r="C108" i="12"/>
  <c r="B108" i="12"/>
  <c r="B111" i="12"/>
  <c r="D111" i="12"/>
  <c r="C111" i="12"/>
  <c r="D112" i="12"/>
  <c r="C112" i="12"/>
  <c r="B112" i="12"/>
  <c r="C110" i="12"/>
  <c r="B110" i="12"/>
  <c r="D110" i="12"/>
  <c r="B100" i="12"/>
  <c r="B109" i="12"/>
  <c r="C109" i="12"/>
  <c r="C138" i="12"/>
  <c r="D134" i="12"/>
  <c r="C143" i="12"/>
  <c r="D117" i="12"/>
  <c r="C100" i="12"/>
  <c r="D135" i="12"/>
  <c r="D115" i="12"/>
  <c r="B102" i="12"/>
  <c r="B130" i="12"/>
  <c r="C139" i="12"/>
  <c r="D131" i="12"/>
  <c r="C102" i="12"/>
  <c r="D130" i="12"/>
  <c r="B131" i="12"/>
  <c r="D139" i="12"/>
  <c r="B103" i="12"/>
  <c r="B135" i="12"/>
  <c r="D138" i="12"/>
  <c r="D105" i="12"/>
  <c r="B143" i="12"/>
  <c r="D144" i="12"/>
  <c r="B144" i="12"/>
  <c r="B141" i="12"/>
  <c r="C141" i="12"/>
  <c r="D141" i="12"/>
  <c r="D142" i="12"/>
  <c r="B142" i="12"/>
  <c r="C142" i="12"/>
  <c r="C137" i="12"/>
  <c r="D136" i="12"/>
  <c r="B136" i="12"/>
  <c r="D137" i="12"/>
  <c r="B132" i="12"/>
  <c r="B133" i="12"/>
  <c r="C132" i="12"/>
  <c r="C133" i="12"/>
  <c r="B129" i="12"/>
  <c r="C129" i="12"/>
  <c r="D129" i="12"/>
  <c r="C128" i="12"/>
  <c r="D128" i="12"/>
  <c r="B128" i="12"/>
  <c r="D127" i="12"/>
  <c r="B127" i="12"/>
  <c r="C127" i="12"/>
  <c r="D119" i="12"/>
  <c r="D113" i="12"/>
  <c r="D106" i="12"/>
  <c r="D118" i="12"/>
  <c r="D116" i="12"/>
  <c r="D114" i="12"/>
  <c r="D107" i="12"/>
  <c r="D126" i="12"/>
  <c r="D125" i="12"/>
  <c r="D124" i="12"/>
  <c r="D123" i="12"/>
  <c r="D122" i="12"/>
  <c r="D121" i="12"/>
  <c r="D120" i="12"/>
  <c r="C126" i="12"/>
  <c r="C125" i="12"/>
  <c r="C124" i="12"/>
  <c r="C123" i="12"/>
  <c r="C122" i="12"/>
  <c r="C121" i="12"/>
  <c r="C120" i="12"/>
  <c r="C119" i="12"/>
  <c r="C118" i="12"/>
  <c r="C117" i="12"/>
  <c r="C116" i="12"/>
  <c r="C115" i="12"/>
  <c r="C114" i="12"/>
  <c r="C113" i="12"/>
  <c r="C107" i="12"/>
  <c r="C106" i="12"/>
  <c r="C105" i="12"/>
  <c r="D104" i="12"/>
  <c r="C104" i="12"/>
  <c r="B101" i="12"/>
  <c r="C101" i="12"/>
  <c r="B98" i="12"/>
  <c r="D98" i="12"/>
  <c r="C98" i="12"/>
  <c r="D99" i="12"/>
  <c r="C99" i="12"/>
  <c r="B99" i="12"/>
  <c r="C97" i="12"/>
  <c r="B97" i="12"/>
  <c r="D97" i="12"/>
  <c r="G21" i="16" l="1"/>
  <c r="G22" i="16" s="1"/>
  <c r="D22" i="16"/>
  <c r="K69" i="12"/>
  <c r="A69" i="12" s="1"/>
  <c r="AF69" i="12"/>
  <c r="Q69" i="12"/>
  <c r="AD69" i="12" s="1"/>
  <c r="H69" i="12"/>
  <c r="Q13" i="12"/>
  <c r="AD13" i="12" s="1"/>
  <c r="H13" i="12"/>
  <c r="AF13" i="12"/>
  <c r="K75" i="12"/>
  <c r="K74" i="12"/>
  <c r="A74" i="12" s="1"/>
  <c r="AF75" i="12"/>
  <c r="Q75" i="12"/>
  <c r="AD75" i="12" s="1"/>
  <c r="A75" i="12"/>
  <c r="H75" i="12"/>
  <c r="AF74" i="12"/>
  <c r="Q74" i="12"/>
  <c r="AD74" i="12" s="1"/>
  <c r="H74" i="12"/>
  <c r="Q14" i="12"/>
  <c r="AD14" i="12" s="1"/>
  <c r="Q12" i="12"/>
  <c r="AD12" i="12" s="1"/>
  <c r="H12" i="12"/>
  <c r="AF12" i="12"/>
  <c r="H14" i="12"/>
  <c r="AF14" i="12"/>
  <c r="K68" i="12"/>
  <c r="A68" i="12" s="1"/>
  <c r="AF68" i="12"/>
  <c r="Q68" i="12"/>
  <c r="AD68" i="12" s="1"/>
  <c r="H68" i="12"/>
  <c r="Q11" i="12"/>
  <c r="AD11" i="12" s="1"/>
  <c r="H11" i="12"/>
  <c r="AF11" i="12"/>
  <c r="K95" i="12"/>
  <c r="AF95" i="12"/>
  <c r="Q95" i="12"/>
  <c r="AD95" i="12" s="1"/>
  <c r="H95" i="12"/>
  <c r="D95" i="12"/>
  <c r="C95" i="12"/>
  <c r="B95" i="12"/>
  <c r="Q52" i="12"/>
  <c r="AD52" i="12" s="1"/>
  <c r="K52" i="12"/>
  <c r="H52" i="12"/>
  <c r="AF52" i="12"/>
  <c r="K93" i="12"/>
  <c r="K94" i="12"/>
  <c r="AF94" i="12"/>
  <c r="Q94" i="12"/>
  <c r="AD94" i="12" s="1"/>
  <c r="H94" i="12"/>
  <c r="D94" i="12"/>
  <c r="C94" i="12"/>
  <c r="B94" i="12"/>
  <c r="AF93" i="12"/>
  <c r="Q93" i="12"/>
  <c r="AD93" i="12" s="1"/>
  <c r="H93" i="12"/>
  <c r="D93" i="12"/>
  <c r="C93" i="12"/>
  <c r="B93" i="12"/>
  <c r="K41" i="12"/>
  <c r="Q42" i="12"/>
  <c r="AD42" i="12" s="1"/>
  <c r="Q43" i="12"/>
  <c r="AD43" i="12" s="1"/>
  <c r="Q44" i="12"/>
  <c r="AD44" i="12" s="1"/>
  <c r="Q45" i="12"/>
  <c r="AD45" i="12" s="1"/>
  <c r="Q46" i="12"/>
  <c r="AD46" i="12" s="1"/>
  <c r="Q47" i="12"/>
  <c r="AD47" i="12" s="1"/>
  <c r="Q48" i="12"/>
  <c r="AD48" i="12" s="1"/>
  <c r="Q49" i="12"/>
  <c r="AD49" i="12" s="1"/>
  <c r="Q50" i="12"/>
  <c r="AD50" i="12" s="1"/>
  <c r="Q51" i="12"/>
  <c r="Q53" i="12"/>
  <c r="AD53" i="12" s="1"/>
  <c r="Q54" i="12"/>
  <c r="AD54" i="12" s="1"/>
  <c r="Q55" i="12"/>
  <c r="AD55" i="12" s="1"/>
  <c r="Q61" i="12"/>
  <c r="AD61" i="12" s="1"/>
  <c r="Q62" i="12"/>
  <c r="AD62" i="12" s="1"/>
  <c r="Q63" i="12"/>
  <c r="AD63" i="12" s="1"/>
  <c r="Q64" i="12"/>
  <c r="AD64" i="12" s="1"/>
  <c r="Q65" i="12"/>
  <c r="AD65" i="12" s="1"/>
  <c r="Q66" i="12"/>
  <c r="AD66" i="12" s="1"/>
  <c r="Q67" i="12"/>
  <c r="AD67" i="12" s="1"/>
  <c r="Q70" i="12"/>
  <c r="AD70" i="12" s="1"/>
  <c r="Q71" i="12"/>
  <c r="AD71" i="12" s="1"/>
  <c r="Q79" i="12"/>
  <c r="AD79" i="12" s="1"/>
  <c r="Q84" i="12"/>
  <c r="AD84" i="12" s="1"/>
  <c r="Q85" i="12"/>
  <c r="AD85" i="12" s="1"/>
  <c r="Q86" i="12"/>
  <c r="AD86" i="12" s="1"/>
  <c r="Q87" i="12"/>
  <c r="AD87" i="12" s="1"/>
  <c r="Q88" i="12"/>
  <c r="AD88" i="12" s="1"/>
  <c r="Q89" i="12"/>
  <c r="AD89" i="12" s="1"/>
  <c r="Q90" i="12"/>
  <c r="AD90" i="12" s="1"/>
  <c r="Q91" i="12"/>
  <c r="AD91" i="12" s="1"/>
  <c r="Q92" i="12"/>
  <c r="AD92" i="12" s="1"/>
  <c r="AF41" i="12"/>
  <c r="A54" i="12"/>
  <c r="AF92" i="12"/>
  <c r="AF50" i="12"/>
  <c r="H50" i="12"/>
  <c r="K92" i="12"/>
  <c r="A92" i="12" s="1"/>
  <c r="D92" i="12" s="1"/>
  <c r="H92" i="12"/>
  <c r="P83" i="12"/>
  <c r="Q83" i="12" s="1"/>
  <c r="AD83" i="12" s="1"/>
  <c r="P82" i="12"/>
  <c r="Q82" i="12" s="1"/>
  <c r="P81" i="12"/>
  <c r="Q81" i="12" s="1"/>
  <c r="AD81" i="12" s="1"/>
  <c r="P80" i="12"/>
  <c r="P78" i="12"/>
  <c r="Q78" i="12" s="1"/>
  <c r="AD78" i="12" s="1"/>
  <c r="P77" i="12"/>
  <c r="Q77" i="12" s="1"/>
  <c r="P76" i="12"/>
  <c r="P73" i="12"/>
  <c r="P72" i="12"/>
  <c r="Q72" i="12" s="1"/>
  <c r="AD72" i="12" s="1"/>
  <c r="K64" i="12"/>
  <c r="A64" i="12" s="1"/>
  <c r="K65" i="12"/>
  <c r="A65" i="12" s="1"/>
  <c r="K66" i="12"/>
  <c r="A66" i="12" s="1"/>
  <c r="B66" i="12" s="1"/>
  <c r="K67" i="12"/>
  <c r="A67" i="12" s="1"/>
  <c r="B67" i="12" s="1"/>
  <c r="K70" i="12"/>
  <c r="A70" i="12" s="1"/>
  <c r="K71" i="12"/>
  <c r="A71" i="12" s="1"/>
  <c r="K72" i="12"/>
  <c r="A72" i="12" s="1"/>
  <c r="K73" i="12"/>
  <c r="A73" i="12" s="1"/>
  <c r="K76" i="12"/>
  <c r="A76" i="12" s="1"/>
  <c r="K77" i="12"/>
  <c r="A77" i="12" s="1"/>
  <c r="K78" i="12"/>
  <c r="A78" i="12" s="1"/>
  <c r="B78" i="12" s="1"/>
  <c r="K79" i="12"/>
  <c r="A79" i="12" s="1"/>
  <c r="B79" i="12" s="1"/>
  <c r="K80" i="12"/>
  <c r="A80" i="12" s="1"/>
  <c r="K81" i="12"/>
  <c r="A81" i="12" s="1"/>
  <c r="K82" i="12"/>
  <c r="A82" i="12" s="1"/>
  <c r="K83" i="12"/>
  <c r="A83" i="12" s="1"/>
  <c r="K84" i="12"/>
  <c r="A84" i="12" s="1"/>
  <c r="K85" i="12"/>
  <c r="A85" i="12" s="1"/>
  <c r="K86" i="12"/>
  <c r="A86" i="12" s="1"/>
  <c r="B86" i="12" s="1"/>
  <c r="K87" i="12"/>
  <c r="A87" i="12" s="1"/>
  <c r="B87" i="12" s="1"/>
  <c r="K88" i="12"/>
  <c r="A88" i="12" s="1"/>
  <c r="K89" i="12"/>
  <c r="A89" i="12" s="1"/>
  <c r="K90" i="12"/>
  <c r="A90" i="12" s="1"/>
  <c r="K91" i="12"/>
  <c r="A91" i="12" s="1"/>
  <c r="H64" i="12"/>
  <c r="H65" i="12"/>
  <c r="H66" i="12"/>
  <c r="H67" i="12"/>
  <c r="H70" i="12"/>
  <c r="H71" i="12"/>
  <c r="H72" i="12"/>
  <c r="H73" i="12"/>
  <c r="H76" i="12"/>
  <c r="H77" i="12"/>
  <c r="H78" i="12"/>
  <c r="H79" i="12"/>
  <c r="H80" i="12"/>
  <c r="H81" i="12"/>
  <c r="H82" i="12"/>
  <c r="H83" i="12"/>
  <c r="H84" i="12"/>
  <c r="H85" i="12"/>
  <c r="H86" i="12"/>
  <c r="H87" i="12"/>
  <c r="H88" i="12"/>
  <c r="H89" i="12"/>
  <c r="H90" i="12"/>
  <c r="H91" i="12"/>
  <c r="AF64" i="12"/>
  <c r="AF65" i="12"/>
  <c r="AF66" i="12"/>
  <c r="AF67" i="12"/>
  <c r="AF70" i="12"/>
  <c r="AF71" i="12"/>
  <c r="AF72" i="12"/>
  <c r="AF73" i="12"/>
  <c r="AF76" i="12"/>
  <c r="AF77" i="12"/>
  <c r="AF78" i="12"/>
  <c r="AF79" i="12"/>
  <c r="AF80" i="12"/>
  <c r="AF81" i="12"/>
  <c r="AF82" i="12"/>
  <c r="AF83" i="12"/>
  <c r="AF84" i="12"/>
  <c r="AF85" i="12"/>
  <c r="AF86" i="12"/>
  <c r="AF87" i="12"/>
  <c r="AF88" i="12"/>
  <c r="AF89" i="12"/>
  <c r="AF90" i="12"/>
  <c r="AF91" i="12"/>
  <c r="K63" i="12"/>
  <c r="A63" i="12" s="1"/>
  <c r="B63" i="12" s="1"/>
  <c r="H63" i="12"/>
  <c r="AF63" i="12"/>
  <c r="K62" i="12"/>
  <c r="A62" i="12" s="1"/>
  <c r="H62" i="12"/>
  <c r="AF62" i="12"/>
  <c r="K61" i="12"/>
  <c r="A61" i="12" s="1"/>
  <c r="H61" i="12"/>
  <c r="AF61" i="12"/>
  <c r="K55" i="12"/>
  <c r="A55" i="12" s="1"/>
  <c r="H55" i="12"/>
  <c r="AF55" i="12"/>
  <c r="H54" i="12"/>
  <c r="AF54" i="12"/>
  <c r="H53" i="12"/>
  <c r="K53" i="12"/>
  <c r="B53" i="12" s="1"/>
  <c r="AF53" i="12"/>
  <c r="AD51" i="12"/>
  <c r="H51" i="12"/>
  <c r="K51" i="12"/>
  <c r="B51" i="12" s="1"/>
  <c r="AF51" i="12"/>
  <c r="H49" i="12"/>
  <c r="AF49" i="12"/>
  <c r="K49" i="12"/>
  <c r="D49" i="12" s="1"/>
  <c r="AF48" i="12"/>
  <c r="H48" i="12"/>
  <c r="K48" i="12"/>
  <c r="C48" i="12" s="1"/>
  <c r="AF3" i="12"/>
  <c r="AF4" i="12"/>
  <c r="AF5"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2" i="12"/>
  <c r="AF43" i="12"/>
  <c r="AF44" i="12"/>
  <c r="AF45" i="12"/>
  <c r="AF46" i="12"/>
  <c r="AF47" i="12"/>
  <c r="AF2" i="12"/>
  <c r="H3" i="12"/>
  <c r="H4" i="12"/>
  <c r="H5"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2" i="12"/>
  <c r="H43" i="12"/>
  <c r="H44" i="12"/>
  <c r="H45" i="12"/>
  <c r="H46" i="12"/>
  <c r="H47" i="12"/>
  <c r="H2" i="12"/>
  <c r="K47" i="12"/>
  <c r="B47" i="12" s="1"/>
  <c r="B15" i="12"/>
  <c r="C2" i="12"/>
  <c r="K46" i="12"/>
  <c r="B46" i="12" s="1"/>
  <c r="K45" i="12"/>
  <c r="B45" i="12" s="1"/>
  <c r="K44" i="12"/>
  <c r="C44" i="12" s="1"/>
  <c r="K43" i="12"/>
  <c r="B43" i="12" s="1"/>
  <c r="K42" i="12"/>
  <c r="B42" i="12" s="1"/>
  <c r="Q40" i="12"/>
  <c r="AD40" i="12" s="1"/>
  <c r="K40" i="12"/>
  <c r="B40" i="12" s="1"/>
  <c r="Q39" i="12"/>
  <c r="AD39" i="12" s="1"/>
  <c r="K39" i="12"/>
  <c r="C39" i="12" s="1"/>
  <c r="Q38" i="12"/>
  <c r="AD38" i="12" s="1"/>
  <c r="K38" i="12"/>
  <c r="B38" i="12" s="1"/>
  <c r="Q37" i="12"/>
  <c r="AD37" i="12" s="1"/>
  <c r="K37" i="12"/>
  <c r="B37" i="12" s="1"/>
  <c r="Q36" i="12"/>
  <c r="AD36" i="12" s="1"/>
  <c r="K36" i="12"/>
  <c r="B36" i="12" s="1"/>
  <c r="Q35" i="12"/>
  <c r="AD35" i="12" s="1"/>
  <c r="K35" i="12"/>
  <c r="C35" i="12" s="1"/>
  <c r="Q34" i="12"/>
  <c r="AD34" i="12" s="1"/>
  <c r="K34" i="12"/>
  <c r="B34" i="12" s="1"/>
  <c r="Q33" i="12"/>
  <c r="AD33" i="12" s="1"/>
  <c r="K33" i="12"/>
  <c r="B33" i="12" s="1"/>
  <c r="P32" i="12"/>
  <c r="Q32" i="12" s="1"/>
  <c r="AD32" i="12" s="1"/>
  <c r="K32" i="12"/>
  <c r="B32" i="12" s="1"/>
  <c r="Q31" i="12"/>
  <c r="AD31" i="12" s="1"/>
  <c r="K31" i="12"/>
  <c r="C31" i="12" s="1"/>
  <c r="Q30" i="12"/>
  <c r="AD30" i="12" s="1"/>
  <c r="K30" i="12"/>
  <c r="B30" i="12" s="1"/>
  <c r="P29" i="12"/>
  <c r="Q29" i="12" s="1"/>
  <c r="AD29" i="12" s="1"/>
  <c r="K29" i="12"/>
  <c r="B29" i="12" s="1"/>
  <c r="P28" i="12"/>
  <c r="Q28" i="12" s="1"/>
  <c r="AD28" i="12" s="1"/>
  <c r="K28" i="12"/>
  <c r="B28" i="12" s="1"/>
  <c r="P27" i="12"/>
  <c r="K27" i="12"/>
  <c r="C27" i="12" s="1"/>
  <c r="P26" i="12"/>
  <c r="Q26" i="12" s="1"/>
  <c r="AD26" i="12" s="1"/>
  <c r="K26" i="12"/>
  <c r="B26" i="12" s="1"/>
  <c r="P25" i="12"/>
  <c r="Q25" i="12" s="1"/>
  <c r="AD25" i="12" s="1"/>
  <c r="K25" i="12"/>
  <c r="B25" i="12" s="1"/>
  <c r="P24" i="12"/>
  <c r="Q24" i="12" s="1"/>
  <c r="AD24" i="12" s="1"/>
  <c r="K24" i="12"/>
  <c r="B24" i="12" s="1"/>
  <c r="P23" i="12"/>
  <c r="K23" i="12"/>
  <c r="C23" i="12" s="1"/>
  <c r="Q22" i="12"/>
  <c r="AD22" i="12" s="1"/>
  <c r="K22" i="12"/>
  <c r="B22" i="12" s="1"/>
  <c r="P21" i="12"/>
  <c r="Q21" i="12" s="1"/>
  <c r="AD21" i="12" s="1"/>
  <c r="K21" i="12"/>
  <c r="B21" i="12" s="1"/>
  <c r="P20" i="12"/>
  <c r="Q20" i="12" s="1"/>
  <c r="AD20" i="12" s="1"/>
  <c r="K20" i="12"/>
  <c r="B20" i="12" s="1"/>
  <c r="Q19" i="12"/>
  <c r="AD19" i="12" s="1"/>
  <c r="K19" i="12"/>
  <c r="C19" i="12" s="1"/>
  <c r="Q18" i="12"/>
  <c r="AD18" i="12" s="1"/>
  <c r="K18" i="12"/>
  <c r="B18" i="12" s="1"/>
  <c r="P17" i="12"/>
  <c r="Q17" i="12" s="1"/>
  <c r="AD17" i="12" s="1"/>
  <c r="K17" i="12"/>
  <c r="B17" i="12" s="1"/>
  <c r="Q16" i="12"/>
  <c r="AD16" i="12" s="1"/>
  <c r="K16" i="12"/>
  <c r="B16" i="12" s="1"/>
  <c r="Q15" i="12"/>
  <c r="AD15" i="12" s="1"/>
  <c r="Q5" i="12"/>
  <c r="AD5" i="12" s="1"/>
  <c r="K5" i="12"/>
  <c r="C5" i="12" s="1"/>
  <c r="Q4" i="12"/>
  <c r="AD4" i="12" s="1"/>
  <c r="K4" i="12"/>
  <c r="C4" i="12" s="1"/>
  <c r="Q3" i="12"/>
  <c r="AD3" i="12" s="1"/>
  <c r="K3" i="12"/>
  <c r="Q2" i="12"/>
  <c r="AD2" i="12" s="1"/>
  <c r="T7" i="8"/>
  <c r="O7" i="8"/>
  <c r="J7" i="8"/>
  <c r="I7" i="8" s="1"/>
  <c r="G7" i="8"/>
  <c r="D7" i="8"/>
  <c r="T6" i="8"/>
  <c r="O6" i="8"/>
  <c r="J6" i="8"/>
  <c r="I6" i="8" s="1"/>
  <c r="G6" i="8"/>
  <c r="D6" i="8"/>
  <c r="J4" i="8"/>
  <c r="I4" i="8" s="1"/>
  <c r="T5" i="8"/>
  <c r="O5" i="8"/>
  <c r="J5" i="8"/>
  <c r="I5" i="8" s="1"/>
  <c r="G5" i="8"/>
  <c r="D5" i="8"/>
  <c r="T4" i="8"/>
  <c r="O4" i="8"/>
  <c r="G4" i="8"/>
  <c r="D4" i="8"/>
  <c r="D3" i="8"/>
  <c r="D2" i="8"/>
  <c r="G3" i="8"/>
  <c r="J3" i="8"/>
  <c r="I3" i="8" s="1"/>
  <c r="O3" i="8"/>
  <c r="T3" i="8"/>
  <c r="D8" i="8"/>
  <c r="D10" i="8"/>
  <c r="G8" i="8"/>
  <c r="J8" i="8"/>
  <c r="I8" i="8" s="1"/>
  <c r="O8" i="8"/>
  <c r="T8" i="8"/>
  <c r="J10" i="8"/>
  <c r="I10" i="8" s="1"/>
  <c r="D9" i="8"/>
  <c r="G9" i="8"/>
  <c r="J9" i="8"/>
  <c r="I9" i="8" s="1"/>
  <c r="O9" i="8"/>
  <c r="T9" i="8"/>
  <c r="G10" i="8"/>
  <c r="O10" i="8"/>
  <c r="T10" i="8"/>
  <c r="D11" i="8"/>
  <c r="G11" i="8"/>
  <c r="J11" i="8"/>
  <c r="I11" i="8" s="1"/>
  <c r="O11" i="8"/>
  <c r="T11" i="8"/>
  <c r="D12" i="8"/>
  <c r="G12" i="8"/>
  <c r="J12" i="8"/>
  <c r="I12" i="8" s="1"/>
  <c r="O12" i="8"/>
  <c r="T12" i="8"/>
  <c r="D13" i="8"/>
  <c r="G13" i="8"/>
  <c r="J13" i="8"/>
  <c r="I13" i="8" s="1"/>
  <c r="O13" i="8"/>
  <c r="T13" i="8"/>
  <c r="D14" i="8"/>
  <c r="G14" i="8"/>
  <c r="J14" i="8"/>
  <c r="I14" i="8" s="1"/>
  <c r="O14" i="8"/>
  <c r="T14" i="8"/>
  <c r="D15" i="8"/>
  <c r="G15" i="8"/>
  <c r="J15" i="8"/>
  <c r="I15" i="8" s="1"/>
  <c r="O15" i="8"/>
  <c r="T15" i="8"/>
  <c r="D16" i="8"/>
  <c r="G16" i="8"/>
  <c r="J16" i="8"/>
  <c r="I16" i="8" s="1"/>
  <c r="O16" i="8"/>
  <c r="T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G2" i="8"/>
  <c r="J2" i="8"/>
  <c r="I2" i="8" s="1"/>
  <c r="O2" i="8"/>
  <c r="T2" i="8"/>
  <c r="T488" i="8"/>
  <c r="T487" i="8"/>
  <c r="T486" i="8"/>
  <c r="T485" i="8"/>
  <c r="T484" i="8"/>
  <c r="T483" i="8"/>
  <c r="T482" i="8"/>
  <c r="T481" i="8"/>
  <c r="T480" i="8"/>
  <c r="T479" i="8"/>
  <c r="T478" i="8"/>
  <c r="T477" i="8"/>
  <c r="T476" i="8"/>
  <c r="T475" i="8"/>
  <c r="T474" i="8"/>
  <c r="T473" i="8"/>
  <c r="T472" i="8"/>
  <c r="T471" i="8"/>
  <c r="T470" i="8"/>
  <c r="T469" i="8"/>
  <c r="T468" i="8"/>
  <c r="T467" i="8"/>
  <c r="T466" i="8"/>
  <c r="T465" i="8"/>
  <c r="T464" i="8"/>
  <c r="T463" i="8"/>
  <c r="T462" i="8"/>
  <c r="T461" i="8"/>
  <c r="T460" i="8"/>
  <c r="T459" i="8"/>
  <c r="T458" i="8"/>
  <c r="T457" i="8"/>
  <c r="T456" i="8"/>
  <c r="T455" i="8"/>
  <c r="T454" i="8"/>
  <c r="T453" i="8"/>
  <c r="T452" i="8"/>
  <c r="T451" i="8"/>
  <c r="T450" i="8"/>
  <c r="T449" i="8"/>
  <c r="T448" i="8"/>
  <c r="T447" i="8"/>
  <c r="T446" i="8"/>
  <c r="T445" i="8"/>
  <c r="T444" i="8"/>
  <c r="T443" i="8"/>
  <c r="T442" i="8"/>
  <c r="T441" i="8"/>
  <c r="T440" i="8"/>
  <c r="T439" i="8"/>
  <c r="T438" i="8"/>
  <c r="T437" i="8"/>
  <c r="T436" i="8"/>
  <c r="T435" i="8"/>
  <c r="T434" i="8"/>
  <c r="T433" i="8"/>
  <c r="T432" i="8"/>
  <c r="T431" i="8"/>
  <c r="T430" i="8"/>
  <c r="T429" i="8"/>
  <c r="T428" i="8"/>
  <c r="T427" i="8"/>
  <c r="T426" i="8"/>
  <c r="T425" i="8"/>
  <c r="T424" i="8"/>
  <c r="T423" i="8"/>
  <c r="T422" i="8"/>
  <c r="T421" i="8"/>
  <c r="T420" i="8"/>
  <c r="T419" i="8"/>
  <c r="T418" i="8"/>
  <c r="T417" i="8"/>
  <c r="T416" i="8"/>
  <c r="T415" i="8"/>
  <c r="T414" i="8"/>
  <c r="T413" i="8"/>
  <c r="T412" i="8"/>
  <c r="T411" i="8"/>
  <c r="T410" i="8"/>
  <c r="T409" i="8"/>
  <c r="T408" i="8"/>
  <c r="T407" i="8"/>
  <c r="T406" i="8"/>
  <c r="T405" i="8"/>
  <c r="T404" i="8"/>
  <c r="T403" i="8"/>
  <c r="T402" i="8"/>
  <c r="T401" i="8"/>
  <c r="T400" i="8"/>
  <c r="T399" i="8"/>
  <c r="T398" i="8"/>
  <c r="T397" i="8"/>
  <c r="T396" i="8"/>
  <c r="T395" i="8"/>
  <c r="T394" i="8"/>
  <c r="T393" i="8"/>
  <c r="T392" i="8"/>
  <c r="T391" i="8"/>
  <c r="T390" i="8"/>
  <c r="T389" i="8"/>
  <c r="T388" i="8"/>
  <c r="T387" i="8"/>
  <c r="T386" i="8"/>
  <c r="T385" i="8"/>
  <c r="T384" i="8"/>
  <c r="T383" i="8"/>
  <c r="T382" i="8"/>
  <c r="T381" i="8"/>
  <c r="T380" i="8"/>
  <c r="T379" i="8"/>
  <c r="T378" i="8"/>
  <c r="T377" i="8"/>
  <c r="T376" i="8"/>
  <c r="T375" i="8"/>
  <c r="T374" i="8"/>
  <c r="T373" i="8"/>
  <c r="T372" i="8"/>
  <c r="T371" i="8"/>
  <c r="T370" i="8"/>
  <c r="T369" i="8"/>
  <c r="T368" i="8"/>
  <c r="T367" i="8"/>
  <c r="T366" i="8"/>
  <c r="T365" i="8"/>
  <c r="T364" i="8"/>
  <c r="T363" i="8"/>
  <c r="T362" i="8"/>
  <c r="T361" i="8"/>
  <c r="T360" i="8"/>
  <c r="T359" i="8"/>
  <c r="T358" i="8"/>
  <c r="T357" i="8"/>
  <c r="T356" i="8"/>
  <c r="T355" i="8"/>
  <c r="T354" i="8"/>
  <c r="T353" i="8"/>
  <c r="T352" i="8"/>
  <c r="T351" i="8"/>
  <c r="T350" i="8"/>
  <c r="T349" i="8"/>
  <c r="T348" i="8"/>
  <c r="T347" i="8"/>
  <c r="T346" i="8"/>
  <c r="T345" i="8"/>
  <c r="T344" i="8"/>
  <c r="T343" i="8"/>
  <c r="T342" i="8"/>
  <c r="T341" i="8"/>
  <c r="T340" i="8"/>
  <c r="T339" i="8"/>
  <c r="T338" i="8"/>
  <c r="T337" i="8"/>
  <c r="T336" i="8"/>
  <c r="T335" i="8"/>
  <c r="T334" i="8"/>
  <c r="T333" i="8"/>
  <c r="T332" i="8"/>
  <c r="T331" i="8"/>
  <c r="T330" i="8"/>
  <c r="T329" i="8"/>
  <c r="T328" i="8"/>
  <c r="T327" i="8"/>
  <c r="T326" i="8"/>
  <c r="T325" i="8"/>
  <c r="T324" i="8"/>
  <c r="T323" i="8"/>
  <c r="T322" i="8"/>
  <c r="T321" i="8"/>
  <c r="T320" i="8"/>
  <c r="T319" i="8"/>
  <c r="T318" i="8"/>
  <c r="T317" i="8"/>
  <c r="T316" i="8"/>
  <c r="T315" i="8"/>
  <c r="T314" i="8"/>
  <c r="T313" i="8"/>
  <c r="T312" i="8"/>
  <c r="T311" i="8"/>
  <c r="T310" i="8"/>
  <c r="T309" i="8"/>
  <c r="T308" i="8"/>
  <c r="T307" i="8"/>
  <c r="T306" i="8"/>
  <c r="T305" i="8"/>
  <c r="T304" i="8"/>
  <c r="T303" i="8"/>
  <c r="T302" i="8"/>
  <c r="T301" i="8"/>
  <c r="T300" i="8"/>
  <c r="T299" i="8"/>
  <c r="T298" i="8"/>
  <c r="T297" i="8"/>
  <c r="T296" i="8"/>
  <c r="T295" i="8"/>
  <c r="T294" i="8"/>
  <c r="T293" i="8"/>
  <c r="T292" i="8"/>
  <c r="T291" i="8"/>
  <c r="T290" i="8"/>
  <c r="T289" i="8"/>
  <c r="T288" i="8"/>
  <c r="T287" i="8"/>
  <c r="T286" i="8"/>
  <c r="T285" i="8"/>
  <c r="T284" i="8"/>
  <c r="T283" i="8"/>
  <c r="T282" i="8"/>
  <c r="T281" i="8"/>
  <c r="T280" i="8"/>
  <c r="T279" i="8"/>
  <c r="T278" i="8"/>
  <c r="T277" i="8"/>
  <c r="T276" i="8"/>
  <c r="T275" i="8"/>
  <c r="T274" i="8"/>
  <c r="T273" i="8"/>
  <c r="T272" i="8"/>
  <c r="T271" i="8"/>
  <c r="T270" i="8"/>
  <c r="T269" i="8"/>
  <c r="T268" i="8"/>
  <c r="T267" i="8"/>
  <c r="T266" i="8"/>
  <c r="T265" i="8"/>
  <c r="T264" i="8"/>
  <c r="T263" i="8"/>
  <c r="T262" i="8"/>
  <c r="T261" i="8"/>
  <c r="T260" i="8"/>
  <c r="T259" i="8"/>
  <c r="T258" i="8"/>
  <c r="T257" i="8"/>
  <c r="T256" i="8"/>
  <c r="T255" i="8"/>
  <c r="T254" i="8"/>
  <c r="T253" i="8"/>
  <c r="T252" i="8"/>
  <c r="T251" i="8"/>
  <c r="T250" i="8"/>
  <c r="T249" i="8"/>
  <c r="T248" i="8"/>
  <c r="T247" i="8"/>
  <c r="T246" i="8"/>
  <c r="T245" i="8"/>
  <c r="T244" i="8"/>
  <c r="T243" i="8"/>
  <c r="T242" i="8"/>
  <c r="T241" i="8"/>
  <c r="T240" i="8"/>
  <c r="T239" i="8"/>
  <c r="T238" i="8"/>
  <c r="T237" i="8"/>
  <c r="T236" i="8"/>
  <c r="T235" i="8"/>
  <c r="T234" i="8"/>
  <c r="T233" i="8"/>
  <c r="T232" i="8"/>
  <c r="T231" i="8"/>
  <c r="T230" i="8"/>
  <c r="T229" i="8"/>
  <c r="T228" i="8"/>
  <c r="T227" i="8"/>
  <c r="T226" i="8"/>
  <c r="T225" i="8"/>
  <c r="T224" i="8"/>
  <c r="T223" i="8"/>
  <c r="T222" i="8"/>
  <c r="T221" i="8"/>
  <c r="T220" i="8"/>
  <c r="T219" i="8"/>
  <c r="T218" i="8"/>
  <c r="T217" i="8"/>
  <c r="T216" i="8"/>
  <c r="T215" i="8"/>
  <c r="T214" i="8"/>
  <c r="T213" i="8"/>
  <c r="T212" i="8"/>
  <c r="T211" i="8"/>
  <c r="T210" i="8"/>
  <c r="T209" i="8"/>
  <c r="T208" i="8"/>
  <c r="T207" i="8"/>
  <c r="T206" i="8"/>
  <c r="T205" i="8"/>
  <c r="T204" i="8"/>
  <c r="T203" i="8"/>
  <c r="T202" i="8"/>
  <c r="T201" i="8"/>
  <c r="T200" i="8"/>
  <c r="T199" i="8"/>
  <c r="T198" i="8"/>
  <c r="T197" i="8"/>
  <c r="T196" i="8"/>
  <c r="T195" i="8"/>
  <c r="T194" i="8"/>
  <c r="T193" i="8"/>
  <c r="T192" i="8"/>
  <c r="T191" i="8"/>
  <c r="T190" i="8"/>
  <c r="T189" i="8"/>
  <c r="T188" i="8"/>
  <c r="T187" i="8"/>
  <c r="T186" i="8"/>
  <c r="T185" i="8"/>
  <c r="T184" i="8"/>
  <c r="T183" i="8"/>
  <c r="T182" i="8"/>
  <c r="T181" i="8"/>
  <c r="T180" i="8"/>
  <c r="T179" i="8"/>
  <c r="T178" i="8"/>
  <c r="T177" i="8"/>
  <c r="T176" i="8"/>
  <c r="T175" i="8"/>
  <c r="T174" i="8"/>
  <c r="T173" i="8"/>
  <c r="T172" i="8"/>
  <c r="T171" i="8"/>
  <c r="T170" i="8"/>
  <c r="T169" i="8"/>
  <c r="T168" i="8"/>
  <c r="T167" i="8"/>
  <c r="T166" i="8"/>
  <c r="T165" i="8"/>
  <c r="T164" i="8"/>
  <c r="T163" i="8"/>
  <c r="T160" i="8"/>
  <c r="T161" i="8"/>
  <c r="T162" i="8"/>
  <c r="T158" i="8"/>
  <c r="T159" i="8"/>
  <c r="T156" i="8"/>
  <c r="T157" i="8"/>
  <c r="O244"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85"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20" i="8"/>
  <c r="T18" i="8"/>
  <c r="T19" i="8"/>
  <c r="T17" i="8"/>
  <c r="J488" i="8"/>
  <c r="I488" i="8" s="1"/>
  <c r="J487" i="8"/>
  <c r="I487" i="8" s="1"/>
  <c r="J486" i="8"/>
  <c r="I486" i="8" s="1"/>
  <c r="J485" i="8"/>
  <c r="I485" i="8" s="1"/>
  <c r="J484" i="8"/>
  <c r="I484" i="8" s="1"/>
  <c r="J483" i="8"/>
  <c r="I483" i="8" s="1"/>
  <c r="J482" i="8"/>
  <c r="I482" i="8" s="1"/>
  <c r="J481" i="8"/>
  <c r="I481" i="8" s="1"/>
  <c r="J480" i="8"/>
  <c r="I480" i="8" s="1"/>
  <c r="J479" i="8"/>
  <c r="I479" i="8" s="1"/>
  <c r="J478" i="8"/>
  <c r="I478" i="8" s="1"/>
  <c r="J477" i="8"/>
  <c r="I477" i="8" s="1"/>
  <c r="J476" i="8"/>
  <c r="I476" i="8" s="1"/>
  <c r="J475" i="8"/>
  <c r="I475" i="8" s="1"/>
  <c r="J474" i="8"/>
  <c r="I474" i="8" s="1"/>
  <c r="J473" i="8"/>
  <c r="I473" i="8" s="1"/>
  <c r="J472" i="8"/>
  <c r="I472" i="8" s="1"/>
  <c r="J471" i="8"/>
  <c r="I471" i="8" s="1"/>
  <c r="J470" i="8"/>
  <c r="I470" i="8" s="1"/>
  <c r="J469" i="8"/>
  <c r="I469" i="8" s="1"/>
  <c r="J468" i="8"/>
  <c r="I468" i="8" s="1"/>
  <c r="J467" i="8"/>
  <c r="I467" i="8" s="1"/>
  <c r="J466" i="8"/>
  <c r="I466" i="8" s="1"/>
  <c r="J465" i="8"/>
  <c r="I465" i="8" s="1"/>
  <c r="J464" i="8"/>
  <c r="I464" i="8" s="1"/>
  <c r="J463" i="8"/>
  <c r="I463" i="8" s="1"/>
  <c r="J462" i="8"/>
  <c r="I462" i="8" s="1"/>
  <c r="J461" i="8"/>
  <c r="I461" i="8" s="1"/>
  <c r="J460" i="8"/>
  <c r="I460" i="8" s="1"/>
  <c r="J459" i="8"/>
  <c r="I459" i="8" s="1"/>
  <c r="J458" i="8"/>
  <c r="I458" i="8" s="1"/>
  <c r="J457" i="8"/>
  <c r="I457" i="8" s="1"/>
  <c r="J456" i="8"/>
  <c r="I456" i="8" s="1"/>
  <c r="J455" i="8"/>
  <c r="I455" i="8" s="1"/>
  <c r="J454" i="8"/>
  <c r="I454" i="8" s="1"/>
  <c r="J453" i="8"/>
  <c r="I453" i="8" s="1"/>
  <c r="J452" i="8"/>
  <c r="I452" i="8" s="1"/>
  <c r="J451" i="8"/>
  <c r="I451" i="8" s="1"/>
  <c r="J450" i="8"/>
  <c r="I450" i="8" s="1"/>
  <c r="J449" i="8"/>
  <c r="I449" i="8" s="1"/>
  <c r="J448" i="8"/>
  <c r="I448" i="8" s="1"/>
  <c r="J447" i="8"/>
  <c r="I447" i="8" s="1"/>
  <c r="J446" i="8"/>
  <c r="I446" i="8" s="1"/>
  <c r="J445" i="8"/>
  <c r="I445" i="8" s="1"/>
  <c r="J444" i="8"/>
  <c r="I444" i="8" s="1"/>
  <c r="J443" i="8"/>
  <c r="I443" i="8" s="1"/>
  <c r="J442" i="8"/>
  <c r="I442" i="8" s="1"/>
  <c r="J441" i="8"/>
  <c r="I441" i="8" s="1"/>
  <c r="J440" i="8"/>
  <c r="I440" i="8" s="1"/>
  <c r="J439" i="8"/>
  <c r="I439" i="8" s="1"/>
  <c r="J438" i="8"/>
  <c r="I438" i="8" s="1"/>
  <c r="J437" i="8"/>
  <c r="I437" i="8" s="1"/>
  <c r="J436" i="8"/>
  <c r="I436" i="8" s="1"/>
  <c r="J435" i="8"/>
  <c r="I435" i="8" s="1"/>
  <c r="J434" i="8"/>
  <c r="I434" i="8" s="1"/>
  <c r="J433" i="8"/>
  <c r="I433" i="8" s="1"/>
  <c r="J432" i="8"/>
  <c r="I432" i="8" s="1"/>
  <c r="J431" i="8"/>
  <c r="I431" i="8" s="1"/>
  <c r="J430" i="8"/>
  <c r="I430" i="8" s="1"/>
  <c r="J429" i="8"/>
  <c r="I429" i="8" s="1"/>
  <c r="J428" i="8"/>
  <c r="I428" i="8" s="1"/>
  <c r="J427" i="8"/>
  <c r="I427" i="8" s="1"/>
  <c r="J426" i="8"/>
  <c r="I426" i="8" s="1"/>
  <c r="J425" i="8"/>
  <c r="I425" i="8" s="1"/>
  <c r="J424" i="8"/>
  <c r="I424" i="8" s="1"/>
  <c r="J423" i="8"/>
  <c r="I423" i="8" s="1"/>
  <c r="J422" i="8"/>
  <c r="I422" i="8" s="1"/>
  <c r="J421" i="8"/>
  <c r="I421" i="8" s="1"/>
  <c r="J420" i="8"/>
  <c r="I420" i="8" s="1"/>
  <c r="J419" i="8"/>
  <c r="I419" i="8" s="1"/>
  <c r="J418" i="8"/>
  <c r="I418" i="8" s="1"/>
  <c r="J417" i="8"/>
  <c r="I417" i="8" s="1"/>
  <c r="J416" i="8"/>
  <c r="I416" i="8" s="1"/>
  <c r="J415" i="8"/>
  <c r="I415" i="8" s="1"/>
  <c r="J414" i="8"/>
  <c r="I414" i="8" s="1"/>
  <c r="J413" i="8"/>
  <c r="I413" i="8" s="1"/>
  <c r="J412" i="8"/>
  <c r="I412" i="8" s="1"/>
  <c r="J411" i="8"/>
  <c r="I411" i="8" s="1"/>
  <c r="J410" i="8"/>
  <c r="I410" i="8" s="1"/>
  <c r="J409" i="8"/>
  <c r="I409" i="8" s="1"/>
  <c r="J408" i="8"/>
  <c r="I408" i="8" s="1"/>
  <c r="J407" i="8"/>
  <c r="I407" i="8" s="1"/>
  <c r="J406" i="8"/>
  <c r="I406" i="8" s="1"/>
  <c r="J405" i="8"/>
  <c r="I405" i="8" s="1"/>
  <c r="J404" i="8"/>
  <c r="I404" i="8" s="1"/>
  <c r="J403" i="8"/>
  <c r="I403" i="8" s="1"/>
  <c r="J402" i="8"/>
  <c r="I402" i="8" s="1"/>
  <c r="J401" i="8"/>
  <c r="I401" i="8" s="1"/>
  <c r="J400" i="8"/>
  <c r="I400" i="8" s="1"/>
  <c r="J399" i="8"/>
  <c r="I399" i="8" s="1"/>
  <c r="J398" i="8"/>
  <c r="I398" i="8" s="1"/>
  <c r="J397" i="8"/>
  <c r="I397" i="8" s="1"/>
  <c r="J396" i="8"/>
  <c r="I396" i="8" s="1"/>
  <c r="J395" i="8"/>
  <c r="I395" i="8" s="1"/>
  <c r="J394" i="8"/>
  <c r="I394" i="8" s="1"/>
  <c r="J393" i="8"/>
  <c r="I393" i="8" s="1"/>
  <c r="J392" i="8"/>
  <c r="I392" i="8" s="1"/>
  <c r="J391" i="8"/>
  <c r="I391" i="8" s="1"/>
  <c r="J390" i="8"/>
  <c r="I390" i="8" s="1"/>
  <c r="J389" i="8"/>
  <c r="I389" i="8" s="1"/>
  <c r="J388" i="8"/>
  <c r="I388" i="8" s="1"/>
  <c r="J387" i="8"/>
  <c r="I387" i="8" s="1"/>
  <c r="J386" i="8"/>
  <c r="I386" i="8" s="1"/>
  <c r="J385" i="8"/>
  <c r="I385" i="8" s="1"/>
  <c r="J384" i="8"/>
  <c r="I384" i="8" s="1"/>
  <c r="J383" i="8"/>
  <c r="I383" i="8" s="1"/>
  <c r="J382" i="8"/>
  <c r="I382" i="8" s="1"/>
  <c r="J381" i="8"/>
  <c r="I381" i="8" s="1"/>
  <c r="J380" i="8"/>
  <c r="I380" i="8" s="1"/>
  <c r="J379" i="8"/>
  <c r="I379" i="8" s="1"/>
  <c r="J378" i="8"/>
  <c r="I378" i="8" s="1"/>
  <c r="J377" i="8"/>
  <c r="I377" i="8" s="1"/>
  <c r="J376" i="8"/>
  <c r="I376" i="8" s="1"/>
  <c r="J375" i="8"/>
  <c r="I375" i="8" s="1"/>
  <c r="J374" i="8"/>
  <c r="I374" i="8" s="1"/>
  <c r="J373" i="8"/>
  <c r="I373" i="8" s="1"/>
  <c r="J372" i="8"/>
  <c r="I372" i="8" s="1"/>
  <c r="J371" i="8"/>
  <c r="I371" i="8" s="1"/>
  <c r="J370" i="8"/>
  <c r="I370" i="8" s="1"/>
  <c r="J369" i="8"/>
  <c r="I369" i="8" s="1"/>
  <c r="J368" i="8"/>
  <c r="I368" i="8" s="1"/>
  <c r="J367" i="8"/>
  <c r="I367" i="8" s="1"/>
  <c r="J366" i="8"/>
  <c r="I366" i="8" s="1"/>
  <c r="J365" i="8"/>
  <c r="I365" i="8" s="1"/>
  <c r="J364" i="8"/>
  <c r="I364" i="8" s="1"/>
  <c r="J363" i="8"/>
  <c r="I363" i="8" s="1"/>
  <c r="J362" i="8"/>
  <c r="I362" i="8" s="1"/>
  <c r="J361" i="8"/>
  <c r="I361" i="8" s="1"/>
  <c r="J360" i="8"/>
  <c r="I360" i="8" s="1"/>
  <c r="J359" i="8"/>
  <c r="I359" i="8" s="1"/>
  <c r="J358" i="8"/>
  <c r="I358" i="8" s="1"/>
  <c r="J357" i="8"/>
  <c r="I357" i="8" s="1"/>
  <c r="J356" i="8"/>
  <c r="I356" i="8" s="1"/>
  <c r="J355" i="8"/>
  <c r="I355" i="8" s="1"/>
  <c r="J354" i="8"/>
  <c r="I354" i="8" s="1"/>
  <c r="J353" i="8"/>
  <c r="I353" i="8" s="1"/>
  <c r="J352" i="8"/>
  <c r="I352" i="8" s="1"/>
  <c r="J351" i="8"/>
  <c r="I351" i="8" s="1"/>
  <c r="J350" i="8"/>
  <c r="I350" i="8" s="1"/>
  <c r="J349" i="8"/>
  <c r="I349" i="8" s="1"/>
  <c r="J348" i="8"/>
  <c r="I348" i="8" s="1"/>
  <c r="J347" i="8"/>
  <c r="I347" i="8" s="1"/>
  <c r="J346" i="8"/>
  <c r="I346" i="8" s="1"/>
  <c r="J345" i="8"/>
  <c r="I345" i="8" s="1"/>
  <c r="J344" i="8"/>
  <c r="I344" i="8" s="1"/>
  <c r="J343" i="8"/>
  <c r="I343" i="8" s="1"/>
  <c r="J342" i="8"/>
  <c r="I342" i="8" s="1"/>
  <c r="J341" i="8"/>
  <c r="I341" i="8" s="1"/>
  <c r="J340" i="8"/>
  <c r="I340" i="8" s="1"/>
  <c r="J339" i="8"/>
  <c r="I339" i="8" s="1"/>
  <c r="J338" i="8"/>
  <c r="I338" i="8" s="1"/>
  <c r="J337" i="8"/>
  <c r="I337" i="8" s="1"/>
  <c r="J336" i="8"/>
  <c r="I336" i="8" s="1"/>
  <c r="J335" i="8"/>
  <c r="I335" i="8" s="1"/>
  <c r="J334" i="8"/>
  <c r="I334" i="8" s="1"/>
  <c r="J333" i="8"/>
  <c r="I333" i="8" s="1"/>
  <c r="J332" i="8"/>
  <c r="I332" i="8" s="1"/>
  <c r="J331" i="8"/>
  <c r="I331" i="8" s="1"/>
  <c r="J330" i="8"/>
  <c r="I330" i="8" s="1"/>
  <c r="J329" i="8"/>
  <c r="I329" i="8" s="1"/>
  <c r="J328" i="8"/>
  <c r="I328" i="8" s="1"/>
  <c r="J327" i="8"/>
  <c r="I327" i="8" s="1"/>
  <c r="J326" i="8"/>
  <c r="I326" i="8" s="1"/>
  <c r="J325" i="8"/>
  <c r="I325" i="8" s="1"/>
  <c r="J324" i="8"/>
  <c r="I324" i="8" s="1"/>
  <c r="J323" i="8"/>
  <c r="I323" i="8" s="1"/>
  <c r="J322" i="8"/>
  <c r="I322" i="8" s="1"/>
  <c r="J321" i="8"/>
  <c r="I321" i="8" s="1"/>
  <c r="J320" i="8"/>
  <c r="I320" i="8" s="1"/>
  <c r="J319" i="8"/>
  <c r="I319" i="8" s="1"/>
  <c r="J318" i="8"/>
  <c r="I318" i="8" s="1"/>
  <c r="J317" i="8"/>
  <c r="I317" i="8" s="1"/>
  <c r="J316" i="8"/>
  <c r="I316" i="8" s="1"/>
  <c r="J315" i="8"/>
  <c r="I315" i="8" s="1"/>
  <c r="J314" i="8"/>
  <c r="I314" i="8" s="1"/>
  <c r="J313" i="8"/>
  <c r="I313" i="8" s="1"/>
  <c r="J312" i="8"/>
  <c r="I312" i="8" s="1"/>
  <c r="J311" i="8"/>
  <c r="I311" i="8" s="1"/>
  <c r="J310" i="8"/>
  <c r="I310" i="8" s="1"/>
  <c r="J309" i="8"/>
  <c r="I309" i="8" s="1"/>
  <c r="J308" i="8"/>
  <c r="I308" i="8" s="1"/>
  <c r="J307" i="8"/>
  <c r="I307" i="8" s="1"/>
  <c r="J306" i="8"/>
  <c r="I306" i="8" s="1"/>
  <c r="J305" i="8"/>
  <c r="I305" i="8" s="1"/>
  <c r="J304" i="8"/>
  <c r="I304" i="8" s="1"/>
  <c r="J303" i="8"/>
  <c r="I303" i="8" s="1"/>
  <c r="J302" i="8"/>
  <c r="I302" i="8" s="1"/>
  <c r="J301" i="8"/>
  <c r="I301" i="8" s="1"/>
  <c r="J300" i="8"/>
  <c r="I300" i="8" s="1"/>
  <c r="J299" i="8"/>
  <c r="I299" i="8" s="1"/>
  <c r="J298" i="8"/>
  <c r="I298" i="8" s="1"/>
  <c r="J297" i="8"/>
  <c r="I297" i="8" s="1"/>
  <c r="J296" i="8"/>
  <c r="I296" i="8" s="1"/>
  <c r="J295" i="8"/>
  <c r="I295" i="8" s="1"/>
  <c r="J294" i="8"/>
  <c r="I294" i="8" s="1"/>
  <c r="J293" i="8"/>
  <c r="I293" i="8" s="1"/>
  <c r="J292" i="8"/>
  <c r="I292" i="8" s="1"/>
  <c r="J291" i="8"/>
  <c r="I291" i="8" s="1"/>
  <c r="J290" i="8"/>
  <c r="I290" i="8" s="1"/>
  <c r="J289" i="8"/>
  <c r="I289" i="8" s="1"/>
  <c r="J288" i="8"/>
  <c r="I288" i="8" s="1"/>
  <c r="J287" i="8"/>
  <c r="I287" i="8" s="1"/>
  <c r="J286" i="8"/>
  <c r="I286" i="8" s="1"/>
  <c r="J285" i="8"/>
  <c r="I285" i="8" s="1"/>
  <c r="J284" i="8"/>
  <c r="I284" i="8" s="1"/>
  <c r="J283" i="8"/>
  <c r="I283" i="8" s="1"/>
  <c r="J282" i="8"/>
  <c r="I282" i="8" s="1"/>
  <c r="J281" i="8"/>
  <c r="I281" i="8" s="1"/>
  <c r="J280" i="8"/>
  <c r="I280" i="8" s="1"/>
  <c r="J279" i="8"/>
  <c r="I279" i="8" s="1"/>
  <c r="J278" i="8"/>
  <c r="I278" i="8" s="1"/>
  <c r="J277" i="8"/>
  <c r="I277" i="8" s="1"/>
  <c r="J276" i="8"/>
  <c r="I276" i="8" s="1"/>
  <c r="J275" i="8"/>
  <c r="I275" i="8" s="1"/>
  <c r="J274" i="8"/>
  <c r="I274" i="8" s="1"/>
  <c r="J273" i="8"/>
  <c r="I273" i="8" s="1"/>
  <c r="J272" i="8"/>
  <c r="I272" i="8" s="1"/>
  <c r="J271" i="8"/>
  <c r="I271" i="8" s="1"/>
  <c r="J270" i="8"/>
  <c r="I270" i="8" s="1"/>
  <c r="J269" i="8"/>
  <c r="I269" i="8" s="1"/>
  <c r="J268" i="8"/>
  <c r="I268" i="8" s="1"/>
  <c r="J267" i="8"/>
  <c r="I267" i="8" s="1"/>
  <c r="J266" i="8"/>
  <c r="I266" i="8" s="1"/>
  <c r="J265" i="8"/>
  <c r="I265" i="8" s="1"/>
  <c r="J264" i="8"/>
  <c r="I264" i="8" s="1"/>
  <c r="J263" i="8"/>
  <c r="I263" i="8" s="1"/>
  <c r="J262" i="8"/>
  <c r="I262" i="8" s="1"/>
  <c r="J261" i="8"/>
  <c r="I261" i="8" s="1"/>
  <c r="J260" i="8"/>
  <c r="I260" i="8" s="1"/>
  <c r="J259" i="8"/>
  <c r="I259" i="8" s="1"/>
  <c r="J258" i="8"/>
  <c r="I258" i="8" s="1"/>
  <c r="J257" i="8"/>
  <c r="I257" i="8" s="1"/>
  <c r="J256" i="8"/>
  <c r="I256" i="8" s="1"/>
  <c r="J255" i="8"/>
  <c r="I255" i="8" s="1"/>
  <c r="J254" i="8"/>
  <c r="I254" i="8" s="1"/>
  <c r="J253" i="8"/>
  <c r="I253" i="8" s="1"/>
  <c r="J252" i="8"/>
  <c r="I252" i="8" s="1"/>
  <c r="J251" i="8"/>
  <c r="I251" i="8" s="1"/>
  <c r="J250" i="8"/>
  <c r="I250" i="8" s="1"/>
  <c r="J249" i="8"/>
  <c r="I249" i="8" s="1"/>
  <c r="J248" i="8"/>
  <c r="I248" i="8" s="1"/>
  <c r="J247" i="8"/>
  <c r="I247" i="8" s="1"/>
  <c r="J246" i="8"/>
  <c r="I246" i="8" s="1"/>
  <c r="J245" i="8"/>
  <c r="I245" i="8" s="1"/>
  <c r="J244" i="8"/>
  <c r="I244" i="8" s="1"/>
  <c r="J243" i="8"/>
  <c r="I243" i="8" s="1"/>
  <c r="J242" i="8"/>
  <c r="I242" i="8" s="1"/>
  <c r="J241" i="8"/>
  <c r="I241" i="8" s="1"/>
  <c r="J240" i="8"/>
  <c r="I240" i="8" s="1"/>
  <c r="J239" i="8"/>
  <c r="I239" i="8" s="1"/>
  <c r="J238" i="8"/>
  <c r="I238" i="8" s="1"/>
  <c r="J237" i="8"/>
  <c r="I237" i="8" s="1"/>
  <c r="J236" i="8"/>
  <c r="I236" i="8" s="1"/>
  <c r="J235" i="8"/>
  <c r="I235" i="8" s="1"/>
  <c r="J234" i="8"/>
  <c r="I234" i="8" s="1"/>
  <c r="J233" i="8"/>
  <c r="I233" i="8" s="1"/>
  <c r="J232" i="8"/>
  <c r="I232" i="8" s="1"/>
  <c r="J231" i="8"/>
  <c r="I231" i="8" s="1"/>
  <c r="J230" i="8"/>
  <c r="I230" i="8" s="1"/>
  <c r="J229" i="8"/>
  <c r="I229" i="8" s="1"/>
  <c r="J228" i="8"/>
  <c r="I228" i="8" s="1"/>
  <c r="J227" i="8"/>
  <c r="I227" i="8" s="1"/>
  <c r="J226" i="8"/>
  <c r="I226" i="8" s="1"/>
  <c r="J225" i="8"/>
  <c r="I225" i="8" s="1"/>
  <c r="J224" i="8"/>
  <c r="I224" i="8" s="1"/>
  <c r="J223" i="8"/>
  <c r="I223" i="8" s="1"/>
  <c r="J222" i="8"/>
  <c r="I222" i="8" s="1"/>
  <c r="J221" i="8"/>
  <c r="I221" i="8" s="1"/>
  <c r="J220" i="8"/>
  <c r="I220" i="8" s="1"/>
  <c r="J219" i="8"/>
  <c r="I219" i="8" s="1"/>
  <c r="J218" i="8"/>
  <c r="I218" i="8" s="1"/>
  <c r="J217" i="8"/>
  <c r="I217" i="8" s="1"/>
  <c r="J216" i="8"/>
  <c r="I216" i="8" s="1"/>
  <c r="J215" i="8"/>
  <c r="I215" i="8" s="1"/>
  <c r="J214" i="8"/>
  <c r="I214" i="8" s="1"/>
  <c r="J213" i="8"/>
  <c r="I213" i="8" s="1"/>
  <c r="J212" i="8"/>
  <c r="I212" i="8" s="1"/>
  <c r="J211" i="8"/>
  <c r="I211" i="8" s="1"/>
  <c r="J210" i="8"/>
  <c r="I210" i="8" s="1"/>
  <c r="J209" i="8"/>
  <c r="I209" i="8" s="1"/>
  <c r="J208" i="8"/>
  <c r="I208" i="8" s="1"/>
  <c r="J207" i="8"/>
  <c r="I207" i="8" s="1"/>
  <c r="J206" i="8"/>
  <c r="I206" i="8" s="1"/>
  <c r="J205" i="8"/>
  <c r="I205" i="8" s="1"/>
  <c r="J204" i="8"/>
  <c r="I204" i="8" s="1"/>
  <c r="J203" i="8"/>
  <c r="I203" i="8" s="1"/>
  <c r="J202" i="8"/>
  <c r="I202" i="8" s="1"/>
  <c r="J201" i="8"/>
  <c r="I201" i="8" s="1"/>
  <c r="J200" i="8"/>
  <c r="I200" i="8" s="1"/>
  <c r="J199" i="8"/>
  <c r="I199" i="8" s="1"/>
  <c r="J198" i="8"/>
  <c r="I198" i="8" s="1"/>
  <c r="J197" i="8"/>
  <c r="I197" i="8" s="1"/>
  <c r="J196" i="8"/>
  <c r="I196" i="8" s="1"/>
  <c r="J195" i="8"/>
  <c r="I195" i="8" s="1"/>
  <c r="J194" i="8"/>
  <c r="I194" i="8" s="1"/>
  <c r="J193" i="8"/>
  <c r="I193" i="8" s="1"/>
  <c r="J192" i="8"/>
  <c r="I192" i="8" s="1"/>
  <c r="J191" i="8"/>
  <c r="I191" i="8" s="1"/>
  <c r="J190" i="8"/>
  <c r="I190" i="8" s="1"/>
  <c r="J189" i="8"/>
  <c r="I189" i="8" s="1"/>
  <c r="J188" i="8"/>
  <c r="I188" i="8" s="1"/>
  <c r="J187" i="8"/>
  <c r="I187" i="8" s="1"/>
  <c r="J186" i="8"/>
  <c r="I186" i="8" s="1"/>
  <c r="J185" i="8"/>
  <c r="I185" i="8" s="1"/>
  <c r="J184" i="8"/>
  <c r="I184" i="8" s="1"/>
  <c r="J183" i="8"/>
  <c r="I183" i="8" s="1"/>
  <c r="J182" i="8"/>
  <c r="I182" i="8" s="1"/>
  <c r="J181" i="8"/>
  <c r="I181" i="8" s="1"/>
  <c r="J180" i="8"/>
  <c r="I180" i="8" s="1"/>
  <c r="J179" i="8"/>
  <c r="I179" i="8" s="1"/>
  <c r="J178" i="8"/>
  <c r="I178" i="8" s="1"/>
  <c r="J177" i="8"/>
  <c r="I177" i="8" s="1"/>
  <c r="J176" i="8"/>
  <c r="I176" i="8" s="1"/>
  <c r="J175" i="8"/>
  <c r="I175" i="8" s="1"/>
  <c r="J174" i="8"/>
  <c r="I174" i="8" s="1"/>
  <c r="J173" i="8"/>
  <c r="I173" i="8" s="1"/>
  <c r="J172" i="8"/>
  <c r="I172" i="8" s="1"/>
  <c r="J171" i="8"/>
  <c r="I171" i="8" s="1"/>
  <c r="J170" i="8"/>
  <c r="I170" i="8" s="1"/>
  <c r="J169" i="8"/>
  <c r="I169" i="8" s="1"/>
  <c r="J168" i="8"/>
  <c r="I168" i="8" s="1"/>
  <c r="J167" i="8"/>
  <c r="I167" i="8" s="1"/>
  <c r="J166" i="8"/>
  <c r="I166" i="8" s="1"/>
  <c r="J165" i="8"/>
  <c r="I165" i="8" s="1"/>
  <c r="J164" i="8"/>
  <c r="I164" i="8" s="1"/>
  <c r="J163" i="8"/>
  <c r="I163" i="8" s="1"/>
  <c r="J162" i="8"/>
  <c r="I162" i="8" s="1"/>
  <c r="J161" i="8"/>
  <c r="I161" i="8" s="1"/>
  <c r="J160" i="8"/>
  <c r="I160" i="8" s="1"/>
  <c r="J159" i="8"/>
  <c r="I159" i="8" s="1"/>
  <c r="J158" i="8"/>
  <c r="I158" i="8" s="1"/>
  <c r="J157" i="8"/>
  <c r="I157" i="8" s="1"/>
  <c r="J156" i="8"/>
  <c r="I156" i="8" s="1"/>
  <c r="J155" i="8"/>
  <c r="I155" i="8" s="1"/>
  <c r="J154" i="8"/>
  <c r="I154" i="8" s="1"/>
  <c r="J153" i="8"/>
  <c r="I153" i="8" s="1"/>
  <c r="J152" i="8"/>
  <c r="I152" i="8" s="1"/>
  <c r="J151" i="8"/>
  <c r="I151" i="8" s="1"/>
  <c r="J150" i="8"/>
  <c r="I150" i="8" s="1"/>
  <c r="J149" i="8"/>
  <c r="I149" i="8" s="1"/>
  <c r="J148" i="8"/>
  <c r="I148" i="8" s="1"/>
  <c r="J147" i="8"/>
  <c r="I147" i="8" s="1"/>
  <c r="J146" i="8"/>
  <c r="I146" i="8" s="1"/>
  <c r="J145" i="8"/>
  <c r="I145" i="8" s="1"/>
  <c r="J144" i="8"/>
  <c r="I144" i="8" s="1"/>
  <c r="J143" i="8"/>
  <c r="I143" i="8" s="1"/>
  <c r="J142" i="8"/>
  <c r="I142" i="8" s="1"/>
  <c r="J141" i="8"/>
  <c r="I141" i="8" s="1"/>
  <c r="J140" i="8"/>
  <c r="I140" i="8" s="1"/>
  <c r="J139" i="8"/>
  <c r="I139" i="8" s="1"/>
  <c r="J138" i="8"/>
  <c r="I138" i="8" s="1"/>
  <c r="J137" i="8"/>
  <c r="I137" i="8" s="1"/>
  <c r="J136" i="8"/>
  <c r="I136" i="8" s="1"/>
  <c r="J135" i="8"/>
  <c r="I135" i="8" s="1"/>
  <c r="J134" i="8"/>
  <c r="I134" i="8" s="1"/>
  <c r="J133" i="8"/>
  <c r="I133" i="8" s="1"/>
  <c r="J132" i="8"/>
  <c r="I132" i="8" s="1"/>
  <c r="J131" i="8"/>
  <c r="I131" i="8" s="1"/>
  <c r="J130" i="8"/>
  <c r="I130" i="8" s="1"/>
  <c r="J129" i="8"/>
  <c r="I129" i="8" s="1"/>
  <c r="J128" i="8"/>
  <c r="I128" i="8" s="1"/>
  <c r="J127" i="8"/>
  <c r="I127" i="8" s="1"/>
  <c r="J126" i="8"/>
  <c r="I126" i="8" s="1"/>
  <c r="J125" i="8"/>
  <c r="I125" i="8" s="1"/>
  <c r="J124" i="8"/>
  <c r="I124" i="8" s="1"/>
  <c r="J123" i="8"/>
  <c r="I123" i="8" s="1"/>
  <c r="J122" i="8"/>
  <c r="I122" i="8" s="1"/>
  <c r="J121" i="8"/>
  <c r="I121" i="8" s="1"/>
  <c r="J120" i="8"/>
  <c r="I120" i="8" s="1"/>
  <c r="J119" i="8"/>
  <c r="I119" i="8" s="1"/>
  <c r="J118" i="8"/>
  <c r="I118" i="8" s="1"/>
  <c r="J117" i="8"/>
  <c r="I117" i="8" s="1"/>
  <c r="J116" i="8"/>
  <c r="I116" i="8" s="1"/>
  <c r="J115" i="8"/>
  <c r="I115" i="8" s="1"/>
  <c r="J114" i="8"/>
  <c r="I114" i="8" s="1"/>
  <c r="J113" i="8"/>
  <c r="I113" i="8" s="1"/>
  <c r="J112" i="8"/>
  <c r="I112" i="8" s="1"/>
  <c r="J111" i="8"/>
  <c r="I111" i="8" s="1"/>
  <c r="J110" i="8"/>
  <c r="I110" i="8" s="1"/>
  <c r="J109" i="8"/>
  <c r="I109" i="8" s="1"/>
  <c r="J108" i="8"/>
  <c r="I108" i="8" s="1"/>
  <c r="J107" i="8"/>
  <c r="I107" i="8" s="1"/>
  <c r="J106" i="8"/>
  <c r="I106" i="8" s="1"/>
  <c r="J105" i="8"/>
  <c r="I105" i="8" s="1"/>
  <c r="J104" i="8"/>
  <c r="I104" i="8" s="1"/>
  <c r="J103" i="8"/>
  <c r="I103" i="8" s="1"/>
  <c r="J102" i="8"/>
  <c r="I102" i="8" s="1"/>
  <c r="J101" i="8"/>
  <c r="I101" i="8" s="1"/>
  <c r="J100" i="8"/>
  <c r="I100" i="8" s="1"/>
  <c r="J99" i="8"/>
  <c r="I99" i="8" s="1"/>
  <c r="J98" i="8"/>
  <c r="I98" i="8" s="1"/>
  <c r="J97" i="8"/>
  <c r="I97" i="8" s="1"/>
  <c r="J96" i="8"/>
  <c r="I96" i="8" s="1"/>
  <c r="J95" i="8"/>
  <c r="I95" i="8" s="1"/>
  <c r="J94" i="8"/>
  <c r="I94" i="8" s="1"/>
  <c r="J93" i="8"/>
  <c r="I93" i="8" s="1"/>
  <c r="J92" i="8"/>
  <c r="I92" i="8" s="1"/>
  <c r="J91" i="8"/>
  <c r="I91" i="8" s="1"/>
  <c r="J90" i="8"/>
  <c r="I90" i="8" s="1"/>
  <c r="J89" i="8"/>
  <c r="I89" i="8" s="1"/>
  <c r="J88" i="8"/>
  <c r="I88" i="8" s="1"/>
  <c r="J87" i="8"/>
  <c r="I87" i="8" s="1"/>
  <c r="J86" i="8"/>
  <c r="I86" i="8" s="1"/>
  <c r="J85" i="8"/>
  <c r="I85" i="8" s="1"/>
  <c r="J84" i="8"/>
  <c r="I84" i="8" s="1"/>
  <c r="J83" i="8"/>
  <c r="I83" i="8" s="1"/>
  <c r="J82" i="8"/>
  <c r="I82" i="8" s="1"/>
  <c r="J81" i="8"/>
  <c r="I81" i="8" s="1"/>
  <c r="J80" i="8"/>
  <c r="I80" i="8" s="1"/>
  <c r="J79" i="8"/>
  <c r="I79" i="8" s="1"/>
  <c r="J78" i="8"/>
  <c r="I78" i="8" s="1"/>
  <c r="J77" i="8"/>
  <c r="I77" i="8" s="1"/>
  <c r="J76" i="8"/>
  <c r="I76" i="8" s="1"/>
  <c r="J75" i="8"/>
  <c r="I75" i="8" s="1"/>
  <c r="J74" i="8"/>
  <c r="I74" i="8" s="1"/>
  <c r="J73" i="8"/>
  <c r="I73" i="8" s="1"/>
  <c r="J72" i="8"/>
  <c r="I72" i="8" s="1"/>
  <c r="J71" i="8"/>
  <c r="I71" i="8" s="1"/>
  <c r="J70" i="8"/>
  <c r="I70" i="8" s="1"/>
  <c r="J69" i="8"/>
  <c r="I69" i="8" s="1"/>
  <c r="J68" i="8"/>
  <c r="I68" i="8" s="1"/>
  <c r="J67" i="8"/>
  <c r="I67" i="8" s="1"/>
  <c r="J66" i="8"/>
  <c r="I66" i="8" s="1"/>
  <c r="J65" i="8"/>
  <c r="I65" i="8" s="1"/>
  <c r="J64" i="8"/>
  <c r="I64" i="8" s="1"/>
  <c r="J63" i="8"/>
  <c r="I63" i="8" s="1"/>
  <c r="J62" i="8"/>
  <c r="I62" i="8" s="1"/>
  <c r="J61" i="8"/>
  <c r="I61" i="8" s="1"/>
  <c r="J60" i="8"/>
  <c r="I60" i="8" s="1"/>
  <c r="J59" i="8"/>
  <c r="I59" i="8" s="1"/>
  <c r="J58" i="8"/>
  <c r="I58" i="8" s="1"/>
  <c r="J57" i="8"/>
  <c r="I57" i="8" s="1"/>
  <c r="J56" i="8"/>
  <c r="I56" i="8" s="1"/>
  <c r="J55" i="8"/>
  <c r="I55" i="8" s="1"/>
  <c r="J54" i="8"/>
  <c r="I54" i="8" s="1"/>
  <c r="J53" i="8"/>
  <c r="I53" i="8" s="1"/>
  <c r="J52" i="8"/>
  <c r="I52" i="8" s="1"/>
  <c r="J51" i="8"/>
  <c r="I51" i="8" s="1"/>
  <c r="J50" i="8"/>
  <c r="I50" i="8" s="1"/>
  <c r="J49" i="8"/>
  <c r="I49" i="8" s="1"/>
  <c r="J48" i="8"/>
  <c r="I48" i="8" s="1"/>
  <c r="J47" i="8"/>
  <c r="I47" i="8" s="1"/>
  <c r="J36" i="8"/>
  <c r="I36" i="8" s="1"/>
  <c r="J35" i="8"/>
  <c r="I35" i="8" s="1"/>
  <c r="J34" i="8"/>
  <c r="I34" i="8" s="1"/>
  <c r="J33" i="8"/>
  <c r="I33" i="8" s="1"/>
  <c r="J32" i="8"/>
  <c r="I32" i="8" s="1"/>
  <c r="J31" i="8"/>
  <c r="I31" i="8" s="1"/>
  <c r="J30" i="8"/>
  <c r="I30" i="8" s="1"/>
  <c r="J29" i="8"/>
  <c r="I29" i="8" s="1"/>
  <c r="J28" i="8"/>
  <c r="I28" i="8" s="1"/>
  <c r="J27" i="8"/>
  <c r="I27" i="8" s="1"/>
  <c r="J26" i="8"/>
  <c r="I26" i="8" s="1"/>
  <c r="J25" i="8"/>
  <c r="I25" i="8" s="1"/>
  <c r="J24" i="8"/>
  <c r="I24" i="8" s="1"/>
  <c r="J23" i="8"/>
  <c r="I23" i="8" s="1"/>
  <c r="J22" i="8"/>
  <c r="I22" i="8" s="1"/>
  <c r="J21" i="8"/>
  <c r="I21" i="8" s="1"/>
  <c r="J20" i="8"/>
  <c r="I20" i="8" s="1"/>
  <c r="J19" i="8"/>
  <c r="I19" i="8" s="1"/>
  <c r="J18" i="8"/>
  <c r="I18" i="8" s="1"/>
  <c r="J17" i="8"/>
  <c r="I17" i="8" s="1"/>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85" i="8"/>
  <c r="G18" i="8"/>
  <c r="G19" i="8"/>
  <c r="G20" i="8"/>
  <c r="G21" i="8"/>
  <c r="G22" i="8"/>
  <c r="G23" i="8"/>
  <c r="G24" i="8"/>
  <c r="G25" i="8"/>
  <c r="G26" i="8"/>
  <c r="G27" i="8"/>
  <c r="G28" i="8"/>
  <c r="G29" i="8"/>
  <c r="G30" i="8"/>
  <c r="G31" i="8"/>
  <c r="G32" i="8"/>
  <c r="G33" i="8"/>
  <c r="G34" i="8"/>
  <c r="G35" i="8"/>
  <c r="G3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17" i="8"/>
  <c r="F37" i="8"/>
  <c r="J37" i="8" s="1"/>
  <c r="I37" i="8" s="1"/>
  <c r="F38" i="8"/>
  <c r="G38" i="8" s="1"/>
  <c r="F39" i="8"/>
  <c r="G39" i="8" s="1"/>
  <c r="F40" i="8"/>
  <c r="J40" i="8" s="1"/>
  <c r="I40" i="8" s="1"/>
  <c r="F41" i="8"/>
  <c r="J41" i="8" s="1"/>
  <c r="I41" i="8" s="1"/>
  <c r="F42" i="8"/>
  <c r="G42" i="8" s="1"/>
  <c r="F43" i="8"/>
  <c r="G43" i="8" s="1"/>
  <c r="F44" i="8"/>
  <c r="J44" i="8" s="1"/>
  <c r="I44" i="8" s="1"/>
  <c r="F45" i="8"/>
  <c r="J45" i="8" s="1"/>
  <c r="I45" i="8" s="1"/>
  <c r="F46" i="8"/>
  <c r="G46" i="8" s="1"/>
  <c r="O488" i="8"/>
  <c r="O487" i="8"/>
  <c r="O486" i="8"/>
  <c r="O485" i="8"/>
  <c r="O484" i="8"/>
  <c r="O483" i="8"/>
  <c r="O482" i="8"/>
  <c r="O481" i="8"/>
  <c r="O480" i="8"/>
  <c r="O479" i="8"/>
  <c r="N478" i="8"/>
  <c r="O478" i="8" s="1"/>
  <c r="N477" i="8"/>
  <c r="N476" i="8"/>
  <c r="O476" i="8" s="1"/>
  <c r="N475" i="8"/>
  <c r="O475" i="8" s="1"/>
  <c r="N474" i="8"/>
  <c r="O474" i="8" s="1"/>
  <c r="N473" i="8"/>
  <c r="O473" i="8" s="1"/>
  <c r="N472" i="8"/>
  <c r="O472" i="8" s="1"/>
  <c r="N471" i="8"/>
  <c r="O471" i="8" s="1"/>
  <c r="O470" i="8"/>
  <c r="N469" i="8"/>
  <c r="N468" i="8"/>
  <c r="O468" i="8" s="1"/>
  <c r="O467" i="8"/>
  <c r="N466" i="8"/>
  <c r="O466" i="8" s="1"/>
  <c r="N465" i="8"/>
  <c r="O465" i="8" s="1"/>
  <c r="N464" i="8"/>
  <c r="O464" i="8" s="1"/>
  <c r="N463" i="8"/>
  <c r="O463" i="8" s="1"/>
  <c r="O462" i="8"/>
  <c r="N461" i="8"/>
  <c r="O461" i="8" s="1"/>
  <c r="N460" i="8"/>
  <c r="O460" i="8" s="1"/>
  <c r="N459" i="8"/>
  <c r="O458" i="8"/>
  <c r="O457" i="8"/>
  <c r="O456" i="8"/>
  <c r="O455" i="8"/>
  <c r="O454" i="8"/>
  <c r="C3" i="12" l="1"/>
  <c r="A59" i="12"/>
  <c r="A57" i="12"/>
  <c r="A56" i="12"/>
  <c r="K6" i="12"/>
  <c r="A6" i="12" s="1"/>
  <c r="K7" i="12"/>
  <c r="A7" i="12" s="1"/>
  <c r="K8" i="12"/>
  <c r="A8" i="12" s="1"/>
  <c r="K9" i="12"/>
  <c r="A9" i="12" s="1"/>
  <c r="K10" i="12"/>
  <c r="A10" i="12" s="1"/>
  <c r="A58" i="12"/>
  <c r="A60" i="12"/>
  <c r="B69" i="12"/>
  <c r="D69" i="12"/>
  <c r="C69" i="12"/>
  <c r="K13" i="12"/>
  <c r="A13" i="12" s="1"/>
  <c r="D13" i="12" s="1"/>
  <c r="K12" i="12"/>
  <c r="A12" i="12" s="1"/>
  <c r="C12" i="12" s="1"/>
  <c r="B74" i="12"/>
  <c r="D74" i="12"/>
  <c r="C74" i="12"/>
  <c r="C75" i="12"/>
  <c r="B75" i="12"/>
  <c r="D75" i="12"/>
  <c r="K14" i="12"/>
  <c r="A14" i="12" s="1"/>
  <c r="C14" i="12" s="1"/>
  <c r="K11" i="12"/>
  <c r="A11" i="12" s="1"/>
  <c r="D11" i="12" s="1"/>
  <c r="D68" i="12"/>
  <c r="B68" i="12"/>
  <c r="C68" i="12"/>
  <c r="B52" i="12"/>
  <c r="D52" i="12"/>
  <c r="C52" i="12"/>
  <c r="Q80" i="12"/>
  <c r="AD80" i="12" s="1"/>
  <c r="Q76" i="12"/>
  <c r="AD76" i="12" s="1"/>
  <c r="Q73" i="12"/>
  <c r="AD73" i="12" s="1"/>
  <c r="AD77" i="12"/>
  <c r="AD82" i="12"/>
  <c r="K50" i="12"/>
  <c r="B50" i="12" s="1"/>
  <c r="D50" i="12"/>
  <c r="C50" i="12"/>
  <c r="B92" i="12"/>
  <c r="C92" i="12"/>
  <c r="B83" i="12"/>
  <c r="C83" i="12"/>
  <c r="B90" i="12"/>
  <c r="C90" i="12"/>
  <c r="B82" i="12"/>
  <c r="C82" i="12"/>
  <c r="B91" i="12"/>
  <c r="C91" i="12"/>
  <c r="B73" i="12"/>
  <c r="C73" i="12"/>
  <c r="B72" i="12"/>
  <c r="C72" i="12"/>
  <c r="C87" i="12"/>
  <c r="C79" i="12"/>
  <c r="C67" i="12"/>
  <c r="C86" i="12"/>
  <c r="C78" i="12"/>
  <c r="C66" i="12"/>
  <c r="B89" i="12"/>
  <c r="C89" i="12"/>
  <c r="B85" i="12"/>
  <c r="C85" i="12"/>
  <c r="D85" i="12"/>
  <c r="B81" i="12"/>
  <c r="C81" i="12"/>
  <c r="B77" i="12"/>
  <c r="D77" i="12"/>
  <c r="C77" i="12"/>
  <c r="B71" i="12"/>
  <c r="D71" i="12"/>
  <c r="C71" i="12"/>
  <c r="B65" i="12"/>
  <c r="C65" i="12"/>
  <c r="D65" i="12"/>
  <c r="D89" i="12"/>
  <c r="C88" i="12"/>
  <c r="D88" i="12"/>
  <c r="B88" i="12"/>
  <c r="C84" i="12"/>
  <c r="B84" i="12"/>
  <c r="D84" i="12"/>
  <c r="C80" i="12"/>
  <c r="D80" i="12"/>
  <c r="B80" i="12"/>
  <c r="C76" i="12"/>
  <c r="B76" i="12"/>
  <c r="D76" i="12"/>
  <c r="C70" i="12"/>
  <c r="B70" i="12"/>
  <c r="D70" i="12"/>
  <c r="C64" i="12"/>
  <c r="D64" i="12"/>
  <c r="B64" i="12"/>
  <c r="D81" i="12"/>
  <c r="D91" i="12"/>
  <c r="D87" i="12"/>
  <c r="D83" i="12"/>
  <c r="D79" i="12"/>
  <c r="D73" i="12"/>
  <c r="D67" i="12"/>
  <c r="D90" i="12"/>
  <c r="D86" i="12"/>
  <c r="D82" i="12"/>
  <c r="D78" i="12"/>
  <c r="D72" i="12"/>
  <c r="D66" i="12"/>
  <c r="D63" i="12"/>
  <c r="C63" i="12"/>
  <c r="D53" i="12"/>
  <c r="B62" i="12"/>
  <c r="C62" i="12"/>
  <c r="D62" i="12"/>
  <c r="D44" i="12"/>
  <c r="D39" i="12"/>
  <c r="D15" i="12"/>
  <c r="D48" i="12"/>
  <c r="D2" i="12"/>
  <c r="B61" i="12"/>
  <c r="D61" i="12"/>
  <c r="C61" i="12"/>
  <c r="D47" i="12"/>
  <c r="D43" i="12"/>
  <c r="D38" i="12"/>
  <c r="D34" i="12"/>
  <c r="D30" i="12"/>
  <c r="D26" i="12"/>
  <c r="D22" i="12"/>
  <c r="D18" i="12"/>
  <c r="D5" i="12"/>
  <c r="D35" i="12"/>
  <c r="D31" i="12"/>
  <c r="D27" i="12"/>
  <c r="D23" i="12"/>
  <c r="D19" i="12"/>
  <c r="D51" i="12"/>
  <c r="D46" i="12"/>
  <c r="D42" i="12"/>
  <c r="D37" i="12"/>
  <c r="D33" i="12"/>
  <c r="D29" i="12"/>
  <c r="D25" i="12"/>
  <c r="D21" i="12"/>
  <c r="D17" i="12"/>
  <c r="D4" i="12"/>
  <c r="D45" i="12"/>
  <c r="D40" i="12"/>
  <c r="D36" i="12"/>
  <c r="D32" i="12"/>
  <c r="D28" i="12"/>
  <c r="D24" i="12"/>
  <c r="D20" i="12"/>
  <c r="D16" i="12"/>
  <c r="D3" i="12"/>
  <c r="B55" i="12"/>
  <c r="C55" i="12"/>
  <c r="D55" i="12"/>
  <c r="B54" i="12"/>
  <c r="C54" i="12"/>
  <c r="D54" i="12"/>
  <c r="B44" i="12"/>
  <c r="C47" i="12"/>
  <c r="B39" i="12"/>
  <c r="C34" i="12"/>
  <c r="B5" i="12"/>
  <c r="C30" i="12"/>
  <c r="B48" i="12"/>
  <c r="C53" i="12"/>
  <c r="B49" i="12"/>
  <c r="C49" i="12"/>
  <c r="B35" i="12"/>
  <c r="B31" i="12"/>
  <c r="B27" i="12"/>
  <c r="B23" i="12"/>
  <c r="B19" i="12"/>
  <c r="C43" i="12"/>
  <c r="C38" i="12"/>
  <c r="C26" i="12"/>
  <c r="C22" i="12"/>
  <c r="C18" i="12"/>
  <c r="B4" i="12"/>
  <c r="C51" i="12"/>
  <c r="C46" i="12"/>
  <c r="C42" i="12"/>
  <c r="C37" i="12"/>
  <c r="C33" i="12"/>
  <c r="C29" i="12"/>
  <c r="C25" i="12"/>
  <c r="C21" i="12"/>
  <c r="C17" i="12"/>
  <c r="B3" i="12"/>
  <c r="C45" i="12"/>
  <c r="C40" i="12"/>
  <c r="C36" i="12"/>
  <c r="C32" i="12"/>
  <c r="C28" i="12"/>
  <c r="C24" i="12"/>
  <c r="C20" i="12"/>
  <c r="C16" i="12"/>
  <c r="B2" i="12"/>
  <c r="C15" i="12"/>
  <c r="Q23" i="12"/>
  <c r="AD23" i="12" s="1"/>
  <c r="AD178" i="12" s="1"/>
  <c r="Q27" i="12"/>
  <c r="AD27" i="12" s="1"/>
  <c r="J42" i="8"/>
  <c r="I42" i="8" s="1"/>
  <c r="J46" i="8"/>
  <c r="I46" i="8" s="1"/>
  <c r="J38" i="8"/>
  <c r="I38" i="8" s="1"/>
  <c r="G41" i="8"/>
  <c r="J39" i="8"/>
  <c r="I39" i="8" s="1"/>
  <c r="J43" i="8"/>
  <c r="I43" i="8" s="1"/>
  <c r="G45" i="8"/>
  <c r="G37" i="8"/>
  <c r="G44" i="8"/>
  <c r="G40" i="8"/>
  <c r="O477" i="8"/>
  <c r="O459" i="8"/>
  <c r="O469" i="8"/>
  <c r="O453" i="8"/>
  <c r="O452" i="8"/>
  <c r="O451" i="8"/>
  <c r="O450" i="8"/>
  <c r="O449" i="8"/>
  <c r="O448" i="8"/>
  <c r="O447" i="8"/>
  <c r="O446" i="8"/>
  <c r="O445" i="8"/>
  <c r="O444" i="8"/>
  <c r="O443" i="8"/>
  <c r="O442" i="8"/>
  <c r="O441" i="8"/>
  <c r="O440" i="8"/>
  <c r="O439" i="8"/>
  <c r="O438" i="8"/>
  <c r="O437" i="8"/>
  <c r="O436" i="8"/>
  <c r="O435" i="8"/>
  <c r="O434" i="8"/>
  <c r="O433" i="8"/>
  <c r="O432" i="8"/>
  <c r="N431" i="8"/>
  <c r="O431" i="8" s="1"/>
  <c r="O430" i="8"/>
  <c r="N429" i="8"/>
  <c r="O429" i="8" s="1"/>
  <c r="N428" i="8"/>
  <c r="O428" i="8" s="1"/>
  <c r="N427" i="8"/>
  <c r="O427" i="8" s="1"/>
  <c r="N426" i="8"/>
  <c r="O426" i="8" s="1"/>
  <c r="N425" i="8"/>
  <c r="O425" i="8" s="1"/>
  <c r="O424" i="8"/>
  <c r="N423" i="8"/>
  <c r="O422" i="8"/>
  <c r="O421" i="8"/>
  <c r="O420" i="8"/>
  <c r="N419" i="8"/>
  <c r="O419" i="8" s="1"/>
  <c r="O418" i="8"/>
  <c r="O417" i="8"/>
  <c r="N416" i="8"/>
  <c r="O415" i="8"/>
  <c r="O414" i="8"/>
  <c r="O413" i="8"/>
  <c r="O412" i="8"/>
  <c r="O411" i="8"/>
  <c r="O410" i="8"/>
  <c r="O409" i="8"/>
  <c r="O408" i="8"/>
  <c r="O407" i="8"/>
  <c r="O406" i="8"/>
  <c r="O405" i="8"/>
  <c r="O404" i="8"/>
  <c r="O403" i="8"/>
  <c r="O402" i="8"/>
  <c r="O401" i="8"/>
  <c r="O400" i="8"/>
  <c r="O399" i="8"/>
  <c r="O398" i="8"/>
  <c r="O397" i="8"/>
  <c r="O396" i="8"/>
  <c r="O395" i="8"/>
  <c r="N394" i="8"/>
  <c r="O394" i="8" s="1"/>
  <c r="N393" i="8"/>
  <c r="O393" i="8" s="1"/>
  <c r="O392" i="8"/>
  <c r="N391" i="8"/>
  <c r="O391" i="8" s="1"/>
  <c r="N390" i="8"/>
  <c r="N389" i="8"/>
  <c r="O389" i="8" s="1"/>
  <c r="N388" i="8"/>
  <c r="O388" i="8" s="1"/>
  <c r="N387" i="8"/>
  <c r="O386" i="8"/>
  <c r="O385" i="8"/>
  <c r="O384" i="8"/>
  <c r="O383" i="8"/>
  <c r="O382" i="8"/>
  <c r="O381" i="8"/>
  <c r="O380" i="8"/>
  <c r="O379" i="8"/>
  <c r="O378" i="8"/>
  <c r="O377" i="8"/>
  <c r="O376" i="8"/>
  <c r="O375" i="8"/>
  <c r="M374" i="8"/>
  <c r="O373" i="8"/>
  <c r="O372" i="8"/>
  <c r="O371" i="8"/>
  <c r="O370" i="8"/>
  <c r="O369" i="8"/>
  <c r="O368" i="8"/>
  <c r="O367" i="8"/>
  <c r="O366" i="8"/>
  <c r="O365" i="8"/>
  <c r="N364" i="8"/>
  <c r="O364" i="8" s="1"/>
  <c r="N363" i="8"/>
  <c r="N362" i="8"/>
  <c r="O362" i="8" s="1"/>
  <c r="O361" i="8"/>
  <c r="O360" i="8"/>
  <c r="N359" i="8"/>
  <c r="N358" i="8"/>
  <c r="O358" i="8" s="1"/>
  <c r="O357" i="8"/>
  <c r="O356" i="8"/>
  <c r="N355" i="8"/>
  <c r="O355" i="8" s="1"/>
  <c r="O354" i="8"/>
  <c r="O353" i="8"/>
  <c r="O352" i="8"/>
  <c r="O351" i="8"/>
  <c r="O350" i="8"/>
  <c r="O349" i="8"/>
  <c r="O348" i="8"/>
  <c r="O347" i="8"/>
  <c r="O346" i="8"/>
  <c r="O345" i="8"/>
  <c r="O344" i="8"/>
  <c r="O343" i="8"/>
  <c r="O342" i="8"/>
  <c r="O341" i="8"/>
  <c r="O340" i="8"/>
  <c r="O339" i="8"/>
  <c r="O338" i="8"/>
  <c r="O337" i="8"/>
  <c r="O336" i="8"/>
  <c r="O335" i="8"/>
  <c r="O334" i="8"/>
  <c r="O333" i="8"/>
  <c r="O332" i="8"/>
  <c r="O331" i="8"/>
  <c r="O330" i="8"/>
  <c r="N329" i="8"/>
  <c r="O329" i="8" s="1"/>
  <c r="O328" i="8"/>
  <c r="O327" i="8"/>
  <c r="O326" i="8"/>
  <c r="O325" i="8"/>
  <c r="O324" i="8"/>
  <c r="N323" i="8"/>
  <c r="O323" i="8" s="1"/>
  <c r="N322" i="8"/>
  <c r="O322" i="8" s="1"/>
  <c r="N321" i="8"/>
  <c r="O321" i="8" s="1"/>
  <c r="N320" i="8"/>
  <c r="O320" i="8" s="1"/>
  <c r="O319" i="8"/>
  <c r="O318" i="8"/>
  <c r="O317" i="8"/>
  <c r="N316" i="8"/>
  <c r="O316" i="8" s="1"/>
  <c r="N315" i="8"/>
  <c r="O315" i="8" s="1"/>
  <c r="N314" i="8"/>
  <c r="O314" i="8" s="1"/>
  <c r="O313" i="8"/>
  <c r="O312" i="8"/>
  <c r="O311" i="8"/>
  <c r="N310" i="8"/>
  <c r="O310" i="8" s="1"/>
  <c r="O309" i="8"/>
  <c r="O308" i="8"/>
  <c r="O307" i="8"/>
  <c r="O306" i="8"/>
  <c r="O305" i="8"/>
  <c r="O304" i="8"/>
  <c r="N303" i="8"/>
  <c r="O303" i="8" s="1"/>
  <c r="O302" i="8"/>
  <c r="N301" i="8"/>
  <c r="O301" i="8" s="1"/>
  <c r="O300" i="8"/>
  <c r="O299" i="8"/>
  <c r="O298" i="8"/>
  <c r="O297" i="8"/>
  <c r="N296" i="8"/>
  <c r="O296" i="8" s="1"/>
  <c r="N295" i="8"/>
  <c r="O294" i="8"/>
  <c r="O293" i="8"/>
  <c r="O292" i="8"/>
  <c r="O291" i="8"/>
  <c r="O290" i="8"/>
  <c r="O289" i="8"/>
  <c r="O288" i="8"/>
  <c r="O287" i="8"/>
  <c r="O286" i="8"/>
  <c r="O285" i="8"/>
  <c r="O284" i="8"/>
  <c r="O283" i="8"/>
  <c r="O282" i="8"/>
  <c r="O281" i="8"/>
  <c r="O280" i="8"/>
  <c r="N279" i="8"/>
  <c r="O279" i="8" s="1"/>
  <c r="N278" i="8"/>
  <c r="O278" i="8" s="1"/>
  <c r="O277" i="8"/>
  <c r="O276" i="8"/>
  <c r="N275" i="8"/>
  <c r="O275" i="8" s="1"/>
  <c r="N274" i="8"/>
  <c r="O274" i="8" s="1"/>
  <c r="O273" i="8"/>
  <c r="N272" i="8"/>
  <c r="O272" i="8" s="1"/>
  <c r="N271" i="8"/>
  <c r="O271" i="8" s="1"/>
  <c r="O270" i="8"/>
  <c r="O269" i="8"/>
  <c r="O268" i="8"/>
  <c r="O267" i="8"/>
  <c r="O266" i="8"/>
  <c r="N265" i="8"/>
  <c r="O265" i="8" s="1"/>
  <c r="N264" i="8"/>
  <c r="O264" i="8" s="1"/>
  <c r="O263" i="8"/>
  <c r="O262" i="8"/>
  <c r="N261" i="8"/>
  <c r="O260" i="8"/>
  <c r="O259" i="8"/>
  <c r="O258" i="8"/>
  <c r="O257" i="8"/>
  <c r="O256" i="8"/>
  <c r="O255" i="8"/>
  <c r="O254" i="8"/>
  <c r="O253" i="8"/>
  <c r="O252" i="8"/>
  <c r="O251" i="8"/>
  <c r="O250" i="8"/>
  <c r="O249" i="8"/>
  <c r="O248" i="8"/>
  <c r="M247" i="8"/>
  <c r="O247" i="8" s="1"/>
  <c r="O246" i="8"/>
  <c r="M245" i="8"/>
  <c r="O243" i="8"/>
  <c r="O242" i="8"/>
  <c r="O241" i="8"/>
  <c r="O240" i="8"/>
  <c r="O239" i="8"/>
  <c r="O238" i="8"/>
  <c r="O237" i="8"/>
  <c r="O236" i="8"/>
  <c r="O235" i="8"/>
  <c r="O234" i="8"/>
  <c r="N233" i="8"/>
  <c r="O233" i="8" s="1"/>
  <c r="O232" i="8"/>
  <c r="N231" i="8"/>
  <c r="O231" i="8" s="1"/>
  <c r="N230" i="8"/>
  <c r="O230" i="8" s="1"/>
  <c r="N229" i="8"/>
  <c r="O228" i="8"/>
  <c r="O227" i="8"/>
  <c r="N226" i="8"/>
  <c r="O226" i="8" s="1"/>
  <c r="N225" i="8"/>
  <c r="O225" i="8" s="1"/>
  <c r="N224" i="8"/>
  <c r="O224" i="8" s="1"/>
  <c r="O223" i="8"/>
  <c r="O222" i="8"/>
  <c r="O221" i="8"/>
  <c r="O220" i="8"/>
  <c r="O219" i="8"/>
  <c r="O218" i="8"/>
  <c r="N217" i="8"/>
  <c r="O217" i="8" s="1"/>
  <c r="N216" i="8"/>
  <c r="O215" i="8"/>
  <c r="O214" i="8"/>
  <c r="O213" i="8"/>
  <c r="O212" i="8"/>
  <c r="O211" i="8"/>
  <c r="O210" i="8"/>
  <c r="O209" i="8"/>
  <c r="O208" i="8"/>
  <c r="O207" i="8"/>
  <c r="O206" i="8"/>
  <c r="O205" i="8"/>
  <c r="O204" i="8"/>
  <c r="O203" i="8"/>
  <c r="O202" i="8"/>
  <c r="O201" i="8"/>
  <c r="O200" i="8"/>
  <c r="O199" i="8"/>
  <c r="O198" i="8"/>
  <c r="O197" i="8"/>
  <c r="O196" i="8"/>
  <c r="O195" i="8"/>
  <c r="N194" i="8"/>
  <c r="O194" i="8" s="1"/>
  <c r="N193" i="8"/>
  <c r="O193" i="8" s="1"/>
  <c r="N192" i="8"/>
  <c r="O192" i="8" s="1"/>
  <c r="N191" i="8"/>
  <c r="O191" i="8" s="1"/>
  <c r="N190" i="8"/>
  <c r="O190" i="8" s="1"/>
  <c r="N189" i="8"/>
  <c r="O189" i="8" s="1"/>
  <c r="N188" i="8"/>
  <c r="O188" i="8" s="1"/>
  <c r="O187" i="8"/>
  <c r="N186" i="8"/>
  <c r="O186" i="8" s="1"/>
  <c r="N185" i="8"/>
  <c r="N184" i="8"/>
  <c r="O184" i="8" s="1"/>
  <c r="O183" i="8"/>
  <c r="O182" i="8"/>
  <c r="O181" i="8"/>
  <c r="O180" i="8"/>
  <c r="N179" i="8"/>
  <c r="O179" i="8" s="1"/>
  <c r="N178" i="8"/>
  <c r="N177" i="8"/>
  <c r="O177" i="8" s="1"/>
  <c r="N176" i="8"/>
  <c r="O176" i="8" s="1"/>
  <c r="N175" i="8"/>
  <c r="O175" i="8" s="1"/>
  <c r="O174" i="8"/>
  <c r="O173" i="8"/>
  <c r="N172" i="8"/>
  <c r="O171" i="8"/>
  <c r="O170" i="8"/>
  <c r="O169" i="8"/>
  <c r="O168" i="8"/>
  <c r="O167" i="8"/>
  <c r="O166" i="8"/>
  <c r="O165" i="8"/>
  <c r="O164" i="8"/>
  <c r="O163" i="8"/>
  <c r="O162" i="8"/>
  <c r="O161" i="8"/>
  <c r="O160" i="8"/>
  <c r="O159" i="8"/>
  <c r="O158" i="8"/>
  <c r="O157" i="8"/>
  <c r="O156" i="8"/>
  <c r="O155" i="8"/>
  <c r="O154" i="8"/>
  <c r="O153" i="8"/>
  <c r="O152" i="8"/>
  <c r="O151" i="8"/>
  <c r="O150" i="8"/>
  <c r="O149" i="8"/>
  <c r="O148" i="8"/>
  <c r="N147" i="8"/>
  <c r="O147" i="8" s="1"/>
  <c r="O146" i="8"/>
  <c r="O145" i="8"/>
  <c r="O144" i="8"/>
  <c r="O143" i="8"/>
  <c r="O142" i="8"/>
  <c r="N141" i="8"/>
  <c r="O141" i="8" s="1"/>
  <c r="O140" i="8"/>
  <c r="N139" i="8"/>
  <c r="O138" i="8"/>
  <c r="N137" i="8"/>
  <c r="O137" i="8" s="1"/>
  <c r="N136" i="8"/>
  <c r="O136" i="8" s="1"/>
  <c r="N135" i="8"/>
  <c r="O135" i="8" s="1"/>
  <c r="O134" i="8"/>
  <c r="O133" i="8"/>
  <c r="N132" i="8"/>
  <c r="O132" i="8" s="1"/>
  <c r="N131" i="8"/>
  <c r="O131" i="8" s="1"/>
  <c r="O130" i="8"/>
  <c r="N129" i="8"/>
  <c r="O129" i="8" s="1"/>
  <c r="N128" i="8"/>
  <c r="O127" i="8"/>
  <c r="O126" i="8"/>
  <c r="N125" i="8"/>
  <c r="O125" i="8" s="1"/>
  <c r="N124" i="8"/>
  <c r="O124" i="8" s="1"/>
  <c r="N123" i="8"/>
  <c r="O123" i="8" s="1"/>
  <c r="O122" i="8"/>
  <c r="N121" i="8"/>
  <c r="O120" i="8"/>
  <c r="O119" i="8"/>
  <c r="O118" i="8"/>
  <c r="O117" i="8"/>
  <c r="O116" i="8"/>
  <c r="O115" i="8"/>
  <c r="O114" i="8"/>
  <c r="O113" i="8"/>
  <c r="O112" i="8"/>
  <c r="O111" i="8"/>
  <c r="O110" i="8"/>
  <c r="O109" i="8"/>
  <c r="O108" i="8"/>
  <c r="O107" i="8"/>
  <c r="O106" i="8"/>
  <c r="O105" i="8"/>
  <c r="O104" i="8"/>
  <c r="O103" i="8"/>
  <c r="N102" i="8"/>
  <c r="O102" i="8" s="1"/>
  <c r="N101" i="8"/>
  <c r="O101" i="8" s="1"/>
  <c r="N100" i="8"/>
  <c r="N99" i="8"/>
  <c r="O99" i="8" s="1"/>
  <c r="N98" i="8"/>
  <c r="N97" i="8"/>
  <c r="O97" i="8" s="1"/>
  <c r="O96" i="8"/>
  <c r="N95" i="8"/>
  <c r="O95" i="8" s="1"/>
  <c r="O94" i="8"/>
  <c r="N93" i="8"/>
  <c r="O93" i="8" s="1"/>
  <c r="O92" i="8"/>
  <c r="N91" i="8"/>
  <c r="O90" i="8"/>
  <c r="O89" i="8"/>
  <c r="O88" i="8"/>
  <c r="O87" i="8"/>
  <c r="O86" i="8"/>
  <c r="O85" i="8"/>
  <c r="O84" i="8"/>
  <c r="O83" i="8"/>
  <c r="O82" i="8"/>
  <c r="O81" i="8"/>
  <c r="O80" i="8"/>
  <c r="O79" i="8"/>
  <c r="O78" i="8"/>
  <c r="O77" i="8"/>
  <c r="O76" i="8"/>
  <c r="O75" i="8"/>
  <c r="O74" i="8"/>
  <c r="O73" i="8"/>
  <c r="O72" i="8"/>
  <c r="O71" i="8"/>
  <c r="O70" i="8"/>
  <c r="O69" i="8"/>
  <c r="O68" i="8"/>
  <c r="O67" i="8"/>
  <c r="O66" i="8"/>
  <c r="N65" i="8"/>
  <c r="O65" i="8" s="1"/>
  <c r="N64" i="8"/>
  <c r="O64" i="8" s="1"/>
  <c r="N63" i="8"/>
  <c r="O63" i="8" s="1"/>
  <c r="N62" i="8"/>
  <c r="O62" i="8" s="1"/>
  <c r="N61" i="8"/>
  <c r="O61" i="8" s="1"/>
  <c r="N60" i="8"/>
  <c r="O60" i="8" s="1"/>
  <c r="N59" i="8"/>
  <c r="O59" i="8" s="1"/>
  <c r="N58" i="8"/>
  <c r="O58" i="8" s="1"/>
  <c r="O57" i="8"/>
  <c r="N56" i="8"/>
  <c r="O56" i="8" s="1"/>
  <c r="O55" i="8"/>
  <c r="N54" i="8"/>
  <c r="O54" i="8" s="1"/>
  <c r="N53" i="8"/>
  <c r="O53" i="8" s="1"/>
  <c r="O52" i="8"/>
  <c r="N51" i="8"/>
  <c r="O50" i="8"/>
  <c r="O49" i="8"/>
  <c r="O48" i="8"/>
  <c r="O47" i="8"/>
  <c r="O46" i="8"/>
  <c r="O45" i="8"/>
  <c r="O44" i="8"/>
  <c r="O43" i="8"/>
  <c r="O42" i="8"/>
  <c r="O41" i="8"/>
  <c r="O40" i="8"/>
  <c r="O39" i="8"/>
  <c r="O38" i="8"/>
  <c r="O37" i="8"/>
  <c r="O36" i="8"/>
  <c r="O35" i="8"/>
  <c r="O34" i="8"/>
  <c r="O33" i="8"/>
  <c r="O32" i="8"/>
  <c r="O31" i="8"/>
  <c r="O30" i="8"/>
  <c r="O29" i="8"/>
  <c r="O28" i="8"/>
  <c r="N27" i="8"/>
  <c r="O27" i="8" s="1"/>
  <c r="N26" i="8"/>
  <c r="N25" i="8"/>
  <c r="O25" i="8" s="1"/>
  <c r="N24" i="8"/>
  <c r="O24" i="8" s="1"/>
  <c r="N23" i="8"/>
  <c r="O23" i="8" s="1"/>
  <c r="O22" i="8"/>
  <c r="O21" i="8"/>
  <c r="N20" i="8"/>
  <c r="O20" i="8" s="1"/>
  <c r="O19" i="8"/>
  <c r="O18" i="8"/>
  <c r="O17" i="8"/>
  <c r="E257" i="7"/>
  <c r="F257" i="7" s="1"/>
  <c r="E256" i="7"/>
  <c r="F256" i="7" s="1"/>
  <c r="E255" i="7"/>
  <c r="F255" i="7" s="1"/>
  <c r="C508" i="4"/>
  <c r="D507" i="4"/>
  <c r="E507" i="4" s="1"/>
  <c r="I507" i="4" s="1"/>
  <c r="J507" i="4" s="1"/>
  <c r="D506" i="4"/>
  <c r="E506" i="4" s="1"/>
  <c r="I506" i="4" s="1"/>
  <c r="J506" i="4" s="1"/>
  <c r="D505" i="4"/>
  <c r="E505" i="4" s="1"/>
  <c r="C56" i="12" l="1"/>
  <c r="B56" i="12"/>
  <c r="D56" i="12"/>
  <c r="C8" i="12"/>
  <c r="B8" i="12"/>
  <c r="D8" i="12"/>
  <c r="C58" i="12"/>
  <c r="B58" i="12"/>
  <c r="D58" i="12"/>
  <c r="D7" i="12"/>
  <c r="B7" i="12"/>
  <c r="C7" i="12"/>
  <c r="B59" i="12"/>
  <c r="D59" i="12"/>
  <c r="C59" i="12"/>
  <c r="D9" i="12"/>
  <c r="B9" i="12"/>
  <c r="C9" i="12"/>
  <c r="C60" i="12"/>
  <c r="D60" i="12"/>
  <c r="B60" i="12"/>
  <c r="D57" i="12"/>
  <c r="B57" i="12"/>
  <c r="C57" i="12"/>
  <c r="D10" i="12"/>
  <c r="B10" i="12"/>
  <c r="C10" i="12"/>
  <c r="D6" i="12"/>
  <c r="B6" i="12"/>
  <c r="C6" i="12"/>
  <c r="C13" i="12"/>
  <c r="B13" i="12"/>
  <c r="B12" i="12"/>
  <c r="D12" i="12"/>
  <c r="B14" i="12"/>
  <c r="D14" i="12"/>
  <c r="B11" i="12"/>
  <c r="C11" i="12"/>
  <c r="O121" i="8"/>
  <c r="O91" i="8"/>
  <c r="O387" i="8"/>
  <c r="O416" i="8"/>
  <c r="O245" i="8"/>
  <c r="O261" i="8"/>
  <c r="O423" i="8"/>
  <c r="O390" i="8"/>
  <c r="O363" i="8"/>
  <c r="O374" i="8"/>
  <c r="O359" i="8"/>
  <c r="O295" i="8"/>
  <c r="O229" i="8"/>
  <c r="O216" i="8"/>
  <c r="O172" i="8"/>
  <c r="O178" i="8"/>
  <c r="O185" i="8"/>
  <c r="O128" i="8"/>
  <c r="O139" i="8"/>
  <c r="O100" i="8"/>
  <c r="O98" i="8"/>
  <c r="O51" i="8"/>
  <c r="O26" i="8"/>
  <c r="E508" i="4"/>
  <c r="F48" i="5" s="1"/>
  <c r="C63" i="19" s="1"/>
  <c r="I505" i="4"/>
  <c r="I508" i="4" s="1"/>
  <c r="D508" i="4"/>
  <c r="J508" i="4" l="1"/>
  <c r="J505" i="4"/>
  <c r="D65" i="7" l="1"/>
  <c r="E65" i="7" s="1"/>
  <c r="F65" i="7" s="1"/>
  <c r="D66" i="7"/>
  <c r="E66" i="7" s="1"/>
  <c r="F66" i="7" s="1"/>
  <c r="D60" i="7"/>
  <c r="E67" i="7"/>
  <c r="F67" i="7" s="1"/>
  <c r="E68" i="7"/>
  <c r="F68" i="7" s="1"/>
  <c r="E69" i="7"/>
  <c r="F69" i="7" s="1"/>
  <c r="E70" i="7"/>
  <c r="F70" i="7"/>
  <c r="E71" i="7"/>
  <c r="F71" i="7" s="1"/>
  <c r="E72" i="7"/>
  <c r="F72" i="7" s="1"/>
  <c r="E73" i="7"/>
  <c r="F73" i="7" s="1"/>
  <c r="E74" i="7"/>
  <c r="F74" i="7" s="1"/>
  <c r="E75" i="7"/>
  <c r="F75" i="7" s="1"/>
  <c r="E76" i="7"/>
  <c r="F76" i="7" s="1"/>
  <c r="E77" i="7"/>
  <c r="F77" i="7" s="1"/>
  <c r="E78" i="7"/>
  <c r="F78" i="7" s="1"/>
  <c r="E79" i="7"/>
  <c r="F79" i="7" s="1"/>
  <c r="E80" i="7"/>
  <c r="F80" i="7"/>
  <c r="E81" i="7"/>
  <c r="F81" i="7" s="1"/>
  <c r="E84" i="7"/>
  <c r="F84" i="7" s="1"/>
  <c r="E85" i="7"/>
  <c r="F85" i="7" s="1"/>
  <c r="E86" i="7"/>
  <c r="F86" i="7" s="1"/>
  <c r="E87" i="7"/>
  <c r="F87" i="7" s="1"/>
  <c r="E88" i="7"/>
  <c r="F88" i="7"/>
  <c r="E89" i="7"/>
  <c r="F89" i="7" s="1"/>
  <c r="E90" i="7"/>
  <c r="F90" i="7" s="1"/>
  <c r="E91" i="7"/>
  <c r="F91" i="7" s="1"/>
  <c r="E92" i="7"/>
  <c r="F92" i="7" s="1"/>
  <c r="E93" i="7"/>
  <c r="F93" i="7" s="1"/>
  <c r="E94" i="7"/>
  <c r="F94" i="7" s="1"/>
  <c r="E95" i="7"/>
  <c r="F95" i="7" s="1"/>
  <c r="E64" i="7"/>
  <c r="F64" i="7"/>
  <c r="E61" i="7"/>
  <c r="F61" i="7" s="1"/>
  <c r="E62" i="7"/>
  <c r="F62" i="7" s="1"/>
  <c r="F4" i="7"/>
  <c r="F5" i="7"/>
  <c r="F7" i="7"/>
  <c r="E8" i="7"/>
  <c r="F8" i="7" s="1"/>
  <c r="E9" i="7"/>
  <c r="F9" i="7" s="1"/>
  <c r="E10" i="7"/>
  <c r="F10" i="7" s="1"/>
  <c r="E11" i="7"/>
  <c r="F11" i="7" s="1"/>
  <c r="E12" i="7"/>
  <c r="F12" i="7" s="1"/>
  <c r="E13" i="7"/>
  <c r="F13" i="7" s="1"/>
  <c r="E14" i="7"/>
  <c r="F14" i="7" s="1"/>
  <c r="E15" i="7"/>
  <c r="F15" i="7"/>
  <c r="E16" i="7"/>
  <c r="F16" i="7" s="1"/>
  <c r="E17" i="7"/>
  <c r="F17" i="7" s="1"/>
  <c r="E18" i="7"/>
  <c r="F18" i="7" s="1"/>
  <c r="E19" i="7"/>
  <c r="F19" i="7" s="1"/>
  <c r="E20" i="7"/>
  <c r="F20" i="7" s="1"/>
  <c r="E21" i="7"/>
  <c r="F21" i="7" s="1"/>
  <c r="E22" i="7"/>
  <c r="F22" i="7" s="1"/>
  <c r="E23" i="7"/>
  <c r="F23" i="7" s="1"/>
  <c r="E24" i="7"/>
  <c r="F24" i="7" s="1"/>
  <c r="E25" i="7"/>
  <c r="F25" i="7" s="1"/>
  <c r="E26" i="7"/>
  <c r="F26" i="7" s="1"/>
  <c r="E27" i="7"/>
  <c r="F27" i="7"/>
  <c r="E28" i="7"/>
  <c r="F28" i="7" s="1"/>
  <c r="E29" i="7"/>
  <c r="F29" i="7" s="1"/>
  <c r="E30" i="7"/>
  <c r="F30" i="7" s="1"/>
  <c r="E31" i="7"/>
  <c r="F31" i="7"/>
  <c r="E32" i="7"/>
  <c r="F32" i="7" s="1"/>
  <c r="E33" i="7"/>
  <c r="F33" i="7" s="1"/>
  <c r="E34" i="7"/>
  <c r="F34" i="7" s="1"/>
  <c r="E35" i="7"/>
  <c r="F35" i="7" s="1"/>
  <c r="E36" i="7"/>
  <c r="F36" i="7" s="1"/>
  <c r="E37" i="7"/>
  <c r="F37" i="7"/>
  <c r="E38" i="7"/>
  <c r="F38" i="7" s="1"/>
  <c r="E39" i="7"/>
  <c r="F39" i="7"/>
  <c r="E40" i="7"/>
  <c r="F40" i="7" s="1"/>
  <c r="E41" i="7"/>
  <c r="F41" i="7" s="1"/>
  <c r="E42" i="7"/>
  <c r="F42" i="7" s="1"/>
  <c r="E43" i="7"/>
  <c r="F43" i="7"/>
  <c r="E44" i="7"/>
  <c r="F44" i="7" s="1"/>
  <c r="E45" i="7"/>
  <c r="F45" i="7"/>
  <c r="E46" i="7"/>
  <c r="F46" i="7" s="1"/>
  <c r="E47" i="7"/>
  <c r="F47" i="7"/>
  <c r="E48" i="7"/>
  <c r="F48" i="7" s="1"/>
  <c r="E49" i="7"/>
  <c r="F49" i="7" s="1"/>
  <c r="E50" i="7"/>
  <c r="F50" i="7" s="1"/>
  <c r="E51" i="7"/>
  <c r="F51" i="7"/>
  <c r="E52" i="7"/>
  <c r="F52" i="7" s="1"/>
  <c r="E53" i="7"/>
  <c r="F53" i="7"/>
  <c r="E54" i="7"/>
  <c r="F54" i="7" s="1"/>
  <c r="E55" i="7"/>
  <c r="F55" i="7" s="1"/>
  <c r="E56" i="7"/>
  <c r="F56" i="7" s="1"/>
  <c r="E57" i="7"/>
  <c r="F57" i="7" s="1"/>
  <c r="E58" i="7"/>
  <c r="F58" i="7" s="1"/>
  <c r="E59" i="7"/>
  <c r="F59" i="7"/>
  <c r="E252" i="7"/>
  <c r="F252" i="7" s="1"/>
  <c r="E253" i="7"/>
  <c r="F253" i="7" s="1"/>
  <c r="E254" i="7"/>
  <c r="F254" i="7" s="1"/>
  <c r="E248" i="7"/>
  <c r="F248" i="7" s="1"/>
  <c r="E249" i="7"/>
  <c r="F249" i="7" s="1"/>
  <c r="E250" i="7"/>
  <c r="F250" i="7" s="1"/>
  <c r="E251" i="7"/>
  <c r="F251" i="7"/>
  <c r="E243" i="7"/>
  <c r="F243" i="7" s="1"/>
  <c r="E244" i="7"/>
  <c r="F244" i="7" s="1"/>
  <c r="E245" i="7"/>
  <c r="F245" i="7" s="1"/>
  <c r="E247" i="7"/>
  <c r="F247" i="7" s="1"/>
  <c r="E246" i="7"/>
  <c r="F246" i="7" s="1"/>
  <c r="E239" i="7"/>
  <c r="F239" i="7" s="1"/>
  <c r="E240" i="7"/>
  <c r="F240" i="7" s="1"/>
  <c r="E241" i="7"/>
  <c r="F241" i="7"/>
  <c r="E242" i="7"/>
  <c r="F242" i="7" s="1"/>
  <c r="E235" i="7"/>
  <c r="F235" i="7"/>
  <c r="E236" i="7"/>
  <c r="F236" i="7" s="1"/>
  <c r="E237" i="7"/>
  <c r="F237" i="7" s="1"/>
  <c r="E238" i="7"/>
  <c r="F238" i="7" s="1"/>
  <c r="E228" i="7"/>
  <c r="F228" i="7" s="1"/>
  <c r="E229" i="7"/>
  <c r="F229" i="7" s="1"/>
  <c r="E230" i="7"/>
  <c r="F230" i="7"/>
  <c r="E231" i="7"/>
  <c r="F231" i="7" s="1"/>
  <c r="E232" i="7"/>
  <c r="F232" i="7" s="1"/>
  <c r="E233" i="7"/>
  <c r="F233" i="7" s="1"/>
  <c r="E234" i="7"/>
  <c r="E221" i="7"/>
  <c r="F221" i="7" s="1"/>
  <c r="E222" i="7"/>
  <c r="F222" i="7" s="1"/>
  <c r="E223" i="7"/>
  <c r="F223" i="7" s="1"/>
  <c r="E224" i="7"/>
  <c r="F224" i="7" s="1"/>
  <c r="E225" i="7"/>
  <c r="F225" i="7" s="1"/>
  <c r="E226" i="7"/>
  <c r="F226" i="7" s="1"/>
  <c r="E227" i="7"/>
  <c r="F227" i="7" s="1"/>
  <c r="E220" i="7"/>
  <c r="E212" i="7"/>
  <c r="F212" i="7" s="1"/>
  <c r="E213" i="7"/>
  <c r="F213" i="7" s="1"/>
  <c r="E214" i="7"/>
  <c r="F214" i="7" s="1"/>
  <c r="E215" i="7"/>
  <c r="F215" i="7" s="1"/>
  <c r="E216" i="7"/>
  <c r="F216" i="7" s="1"/>
  <c r="E217" i="7"/>
  <c r="F217" i="7" s="1"/>
  <c r="E218" i="7"/>
  <c r="F218" i="7"/>
  <c r="E219" i="7"/>
  <c r="F219" i="7" s="1"/>
  <c r="E207" i="7"/>
  <c r="F207" i="7" s="1"/>
  <c r="E208" i="7"/>
  <c r="F208" i="7" s="1"/>
  <c r="E209" i="7"/>
  <c r="F209" i="7" s="1"/>
  <c r="E210" i="7"/>
  <c r="F210" i="7" s="1"/>
  <c r="E211" i="7"/>
  <c r="F211" i="7" s="1"/>
  <c r="E200" i="7"/>
  <c r="F200" i="7" s="1"/>
  <c r="E201" i="7"/>
  <c r="F201" i="7" s="1"/>
  <c r="E202" i="7"/>
  <c r="F202" i="7" s="1"/>
  <c r="E203" i="7"/>
  <c r="F203" i="7" s="1"/>
  <c r="E204" i="7"/>
  <c r="F204" i="7" s="1"/>
  <c r="E205" i="7"/>
  <c r="F205" i="7" s="1"/>
  <c r="E206" i="7"/>
  <c r="F206" i="7"/>
  <c r="E198" i="7"/>
  <c r="F198" i="7" s="1"/>
  <c r="E199" i="7"/>
  <c r="F199" i="7" s="1"/>
  <c r="E196" i="7"/>
  <c r="F196" i="7"/>
  <c r="E197" i="7"/>
  <c r="F197" i="7" s="1"/>
  <c r="E193" i="7"/>
  <c r="F193" i="7" s="1"/>
  <c r="E194" i="7"/>
  <c r="F194" i="7" s="1"/>
  <c r="E195" i="7"/>
  <c r="F195" i="7"/>
  <c r="E191" i="7"/>
  <c r="F191" i="7" s="1"/>
  <c r="E192" i="7"/>
  <c r="F192" i="7"/>
  <c r="E184" i="7"/>
  <c r="F184" i="7" s="1"/>
  <c r="E185" i="7"/>
  <c r="F185" i="7" s="1"/>
  <c r="E186" i="7"/>
  <c r="F186" i="7"/>
  <c r="E187" i="7"/>
  <c r="F187" i="7" s="1"/>
  <c r="E188" i="7"/>
  <c r="F188" i="7"/>
  <c r="E189" i="7"/>
  <c r="F189" i="7" s="1"/>
  <c r="E190" i="7"/>
  <c r="F190" i="7" s="1"/>
  <c r="E177" i="7"/>
  <c r="F177" i="7" s="1"/>
  <c r="E178" i="7"/>
  <c r="F178" i="7"/>
  <c r="E179" i="7"/>
  <c r="F179" i="7" s="1"/>
  <c r="E180" i="7"/>
  <c r="F180" i="7"/>
  <c r="E181" i="7"/>
  <c r="F181" i="7" s="1"/>
  <c r="E182" i="7"/>
  <c r="F182" i="7" s="1"/>
  <c r="E183" i="7"/>
  <c r="F183" i="7" s="1"/>
  <c r="E170" i="7"/>
  <c r="F170" i="7" s="1"/>
  <c r="E171" i="7"/>
  <c r="F171" i="7" s="1"/>
  <c r="E172" i="7"/>
  <c r="F172" i="7" s="1"/>
  <c r="E173" i="7"/>
  <c r="F173" i="7" s="1"/>
  <c r="E174" i="7"/>
  <c r="F174" i="7" s="1"/>
  <c r="E175" i="7"/>
  <c r="F175" i="7" s="1"/>
  <c r="E176" i="7"/>
  <c r="F176" i="7"/>
  <c r="E164" i="7"/>
  <c r="F164" i="7" s="1"/>
  <c r="E165" i="7"/>
  <c r="F165" i="7" s="1"/>
  <c r="E166" i="7"/>
  <c r="F166" i="7" s="1"/>
  <c r="E167" i="7"/>
  <c r="F167" i="7" s="1"/>
  <c r="E168" i="7"/>
  <c r="F168" i="7" s="1"/>
  <c r="E169" i="7"/>
  <c r="F169" i="7" s="1"/>
  <c r="E153" i="7"/>
  <c r="F153" i="7" s="1"/>
  <c r="E154" i="7"/>
  <c r="F154" i="7"/>
  <c r="E155" i="7"/>
  <c r="F155" i="7" s="1"/>
  <c r="E156" i="7"/>
  <c r="F156" i="7" s="1"/>
  <c r="E157" i="7"/>
  <c r="F157" i="7" s="1"/>
  <c r="E158" i="7"/>
  <c r="F158" i="7" s="1"/>
  <c r="E159" i="7"/>
  <c r="F159" i="7" s="1"/>
  <c r="E160" i="7"/>
  <c r="F160" i="7"/>
  <c r="E161" i="7"/>
  <c r="F161" i="7" s="1"/>
  <c r="E162" i="7"/>
  <c r="F162" i="7"/>
  <c r="E163" i="7"/>
  <c r="F163" i="7" s="1"/>
  <c r="E148" i="7"/>
  <c r="F148" i="7" s="1"/>
  <c r="E149" i="7"/>
  <c r="F149" i="7" s="1"/>
  <c r="E150" i="7"/>
  <c r="F150" i="7"/>
  <c r="E151" i="7"/>
  <c r="F151" i="7" s="1"/>
  <c r="E152" i="7"/>
  <c r="F152" i="7"/>
  <c r="E141" i="7"/>
  <c r="F141" i="7" s="1"/>
  <c r="E142" i="7"/>
  <c r="F142" i="7"/>
  <c r="E143" i="7"/>
  <c r="F143" i="7" s="1"/>
  <c r="E144" i="7"/>
  <c r="F144" i="7" s="1"/>
  <c r="E145" i="7"/>
  <c r="F145" i="7" s="1"/>
  <c r="E147" i="7"/>
  <c r="F147" i="7" s="1"/>
  <c r="E146" i="7"/>
  <c r="F146" i="7" s="1"/>
  <c r="E135" i="7"/>
  <c r="F135" i="7" s="1"/>
  <c r="E136" i="7"/>
  <c r="F136" i="7"/>
  <c r="E137" i="7"/>
  <c r="F137" i="7" s="1"/>
  <c r="E138" i="7"/>
  <c r="F138" i="7" s="1"/>
  <c r="E140" i="7"/>
  <c r="F140" i="7" s="1"/>
  <c r="E139" i="7"/>
  <c r="F139" i="7"/>
  <c r="E131" i="7"/>
  <c r="F131" i="7" s="1"/>
  <c r="E132" i="7"/>
  <c r="F132" i="7" s="1"/>
  <c r="E133" i="7"/>
  <c r="F133" i="7" s="1"/>
  <c r="E134" i="7"/>
  <c r="F134" i="7" s="1"/>
  <c r="E125" i="7"/>
  <c r="F125" i="7" s="1"/>
  <c r="E126" i="7"/>
  <c r="F126" i="7" s="1"/>
  <c r="E127" i="7"/>
  <c r="F127" i="7" s="1"/>
  <c r="E128" i="7"/>
  <c r="F128" i="7" s="1"/>
  <c r="E129" i="7"/>
  <c r="F129" i="7"/>
  <c r="E130" i="7"/>
  <c r="F130" i="7" s="1"/>
  <c r="E121" i="7"/>
  <c r="F121" i="7" s="1"/>
  <c r="E122" i="7"/>
  <c r="F122" i="7" s="1"/>
  <c r="E123" i="7"/>
  <c r="F123" i="7" s="1"/>
  <c r="E124" i="7"/>
  <c r="F124" i="7" s="1"/>
  <c r="E111" i="7"/>
  <c r="F111" i="7"/>
  <c r="E112" i="7"/>
  <c r="F112" i="7" s="1"/>
  <c r="E113" i="7"/>
  <c r="F113" i="7" s="1"/>
  <c r="E114" i="7"/>
  <c r="F114" i="7" s="1"/>
  <c r="E115" i="7"/>
  <c r="F115" i="7" s="1"/>
  <c r="E116" i="7"/>
  <c r="F116" i="7" s="1"/>
  <c r="E117" i="7"/>
  <c r="F117" i="7" s="1"/>
  <c r="E118" i="7"/>
  <c r="F118" i="7" s="1"/>
  <c r="E119" i="7"/>
  <c r="F119" i="7"/>
  <c r="E120" i="7"/>
  <c r="F120" i="7" s="1"/>
  <c r="E107" i="7"/>
  <c r="F107" i="7"/>
  <c r="E108" i="7"/>
  <c r="F108" i="7" s="1"/>
  <c r="E109" i="7"/>
  <c r="F109" i="7"/>
  <c r="E96" i="7"/>
  <c r="F96" i="7" s="1"/>
  <c r="E97" i="7"/>
  <c r="F97" i="7" s="1"/>
  <c r="E98" i="7"/>
  <c r="F98" i="7" s="1"/>
  <c r="E99" i="7"/>
  <c r="F99" i="7"/>
  <c r="E100" i="7"/>
  <c r="F100" i="7" s="1"/>
  <c r="E101" i="7"/>
  <c r="F101" i="7"/>
  <c r="E102" i="7"/>
  <c r="F102" i="7" s="1"/>
  <c r="E103" i="7"/>
  <c r="F103" i="7" s="1"/>
  <c r="E104" i="7"/>
  <c r="F104" i="7" s="1"/>
  <c r="C500" i="4"/>
  <c r="D499" i="4"/>
  <c r="E499" i="4" s="1"/>
  <c r="I499" i="4" s="1"/>
  <c r="J499" i="4" s="1"/>
  <c r="D498" i="4"/>
  <c r="E498" i="4" s="1"/>
  <c r="I498" i="4" s="1"/>
  <c r="J498" i="4" s="1"/>
  <c r="D497" i="4"/>
  <c r="C47" i="5"/>
  <c r="C48" i="5"/>
  <c r="H48" i="5" s="1"/>
  <c r="E63" i="19" s="1"/>
  <c r="C49" i="5"/>
  <c r="H49" i="5" s="1"/>
  <c r="C50" i="5"/>
  <c r="H50" i="5" s="1"/>
  <c r="E65" i="19" s="1"/>
  <c r="C51" i="5"/>
  <c r="H51" i="5" s="1"/>
  <c r="E66" i="19" s="1"/>
  <c r="C52" i="5"/>
  <c r="H52" i="5" s="1"/>
  <c r="E67" i="19" s="1"/>
  <c r="C53" i="5"/>
  <c r="H53" i="5" s="1"/>
  <c r="E68" i="19" s="1"/>
  <c r="C54" i="5"/>
  <c r="H54" i="5" s="1"/>
  <c r="E69" i="19" s="1"/>
  <c r="C55" i="5"/>
  <c r="H55" i="5" s="1"/>
  <c r="H56" i="5"/>
  <c r="C46" i="5"/>
  <c r="C45" i="5"/>
  <c r="H45" i="5" s="1"/>
  <c r="C493" i="4"/>
  <c r="D492" i="4"/>
  <c r="E492" i="4" s="1"/>
  <c r="I492" i="4" s="1"/>
  <c r="J492" i="4" s="1"/>
  <c r="D491" i="4"/>
  <c r="E491" i="4" s="1"/>
  <c r="I491" i="4" s="1"/>
  <c r="J491" i="4" s="1"/>
  <c r="D490" i="4"/>
  <c r="E490" i="4" s="1"/>
  <c r="I490" i="4" s="1"/>
  <c r="J490" i="4" s="1"/>
  <c r="D489" i="4"/>
  <c r="D483" i="4"/>
  <c r="E483" i="4" s="1"/>
  <c r="I483" i="4" s="1"/>
  <c r="J483" i="4" s="1"/>
  <c r="C484" i="4"/>
  <c r="D481" i="4"/>
  <c r="E481" i="4" s="1"/>
  <c r="I481" i="4" s="1"/>
  <c r="J481" i="4" s="1"/>
  <c r="D480" i="4"/>
  <c r="E480" i="4" s="1"/>
  <c r="I480" i="4" s="1"/>
  <c r="J480" i="4" s="1"/>
  <c r="D482" i="4"/>
  <c r="E482" i="4" s="1"/>
  <c r="I482" i="4" s="1"/>
  <c r="J482" i="4" s="1"/>
  <c r="D479" i="4"/>
  <c r="C474" i="4"/>
  <c r="D473" i="4"/>
  <c r="E473" i="4" s="1"/>
  <c r="I473" i="4" s="1"/>
  <c r="J473" i="4" s="1"/>
  <c r="D472" i="4"/>
  <c r="E472" i="4" s="1"/>
  <c r="I472" i="4" s="1"/>
  <c r="J472" i="4" s="1"/>
  <c r="D471" i="4"/>
  <c r="E471" i="4" s="1"/>
  <c r="I471" i="4" s="1"/>
  <c r="J471" i="4" s="1"/>
  <c r="D470" i="4"/>
  <c r="E470" i="4" s="1"/>
  <c r="I470" i="4" s="1"/>
  <c r="D462" i="4"/>
  <c r="C464" i="4"/>
  <c r="D463" i="4"/>
  <c r="E463" i="4" s="1"/>
  <c r="I463" i="4" s="1"/>
  <c r="J463" i="4" s="1"/>
  <c r="D461" i="4"/>
  <c r="E461" i="4" s="1"/>
  <c r="I461" i="4" s="1"/>
  <c r="J461" i="4" s="1"/>
  <c r="D460" i="4"/>
  <c r="E460" i="4" s="1"/>
  <c r="I460" i="4" s="1"/>
  <c r="J460" i="4" s="1"/>
  <c r="C454" i="4"/>
  <c r="D453" i="4"/>
  <c r="I453" i="4"/>
  <c r="J453" i="4" s="1"/>
  <c r="D452" i="4"/>
  <c r="E452" i="4" s="1"/>
  <c r="I452" i="4" s="1"/>
  <c r="J452" i="4" s="1"/>
  <c r="D451" i="4"/>
  <c r="E451" i="4" s="1"/>
  <c r="I451" i="4" s="1"/>
  <c r="J451" i="4" s="1"/>
  <c r="D450" i="4"/>
  <c r="E450" i="4" s="1"/>
  <c r="I450" i="4" s="1"/>
  <c r="J450" i="4" s="1"/>
  <c r="D449" i="4"/>
  <c r="E449" i="4" s="1"/>
  <c r="I449" i="4" s="1"/>
  <c r="J449" i="4" s="1"/>
  <c r="D448" i="4"/>
  <c r="E448" i="4" s="1"/>
  <c r="I448" i="4" s="1"/>
  <c r="J448" i="4" s="1"/>
  <c r="D447" i="4"/>
  <c r="E447" i="4" s="1"/>
  <c r="I447" i="4" s="1"/>
  <c r="C441" i="4"/>
  <c r="D440" i="4"/>
  <c r="E440" i="4" s="1"/>
  <c r="I440" i="4" s="1"/>
  <c r="J440" i="4" s="1"/>
  <c r="D439" i="4"/>
  <c r="E439" i="4" s="1"/>
  <c r="I439" i="4" s="1"/>
  <c r="J439" i="4" s="1"/>
  <c r="D438" i="4"/>
  <c r="E438" i="4" s="1"/>
  <c r="I438" i="4" s="1"/>
  <c r="J438" i="4" s="1"/>
  <c r="D437" i="4"/>
  <c r="E437" i="4" s="1"/>
  <c r="I437" i="4" s="1"/>
  <c r="J437" i="4" s="1"/>
  <c r="D436" i="4"/>
  <c r="E436" i="4" s="1"/>
  <c r="I436" i="4" s="1"/>
  <c r="J436" i="4" s="1"/>
  <c r="D435" i="4"/>
  <c r="E435" i="4" s="1"/>
  <c r="I435" i="4" s="1"/>
  <c r="J435" i="4" s="1"/>
  <c r="D434" i="4"/>
  <c r="E434" i="4" s="1"/>
  <c r="C430" i="4"/>
  <c r="D429" i="4"/>
  <c r="D430" i="4" s="1"/>
  <c r="E430" i="4"/>
  <c r="F39" i="5" s="1"/>
  <c r="C424" i="4"/>
  <c r="D423" i="4"/>
  <c r="E423" i="4" s="1"/>
  <c r="I423" i="4" s="1"/>
  <c r="J423" i="4" s="1"/>
  <c r="I429" i="4"/>
  <c r="J429" i="4" s="1"/>
  <c r="D422" i="4"/>
  <c r="E422" i="4" s="1"/>
  <c r="I422" i="4" s="1"/>
  <c r="J422" i="4" s="1"/>
  <c r="D421" i="4"/>
  <c r="E421" i="4" s="1"/>
  <c r="I421" i="4" s="1"/>
  <c r="J421" i="4" s="1"/>
  <c r="D420" i="4"/>
  <c r="E420" i="4" s="1"/>
  <c r="I420" i="4" s="1"/>
  <c r="J420" i="4" s="1"/>
  <c r="D419" i="4"/>
  <c r="E419" i="4" s="1"/>
  <c r="I419" i="4" s="1"/>
  <c r="J419" i="4" s="1"/>
  <c r="D418" i="4"/>
  <c r="E418" i="4" s="1"/>
  <c r="I418" i="4" s="1"/>
  <c r="J418" i="4" s="1"/>
  <c r="D417" i="4"/>
  <c r="E417" i="4" s="1"/>
  <c r="I417" i="4" s="1"/>
  <c r="J417" i="4" s="1"/>
  <c r="D416" i="4"/>
  <c r="C412" i="4"/>
  <c r="D411" i="4"/>
  <c r="E411" i="4" s="1"/>
  <c r="I411" i="4" s="1"/>
  <c r="J411" i="4" s="1"/>
  <c r="D410" i="4"/>
  <c r="E410" i="4" s="1"/>
  <c r="I410" i="4" s="1"/>
  <c r="J410" i="4" s="1"/>
  <c r="D409" i="4"/>
  <c r="E409" i="4" s="1"/>
  <c r="I409" i="4" s="1"/>
  <c r="J409" i="4" s="1"/>
  <c r="D408" i="4"/>
  <c r="E408" i="4" s="1"/>
  <c r="I408" i="4" s="1"/>
  <c r="J408" i="4" s="1"/>
  <c r="D407" i="4"/>
  <c r="C401" i="4"/>
  <c r="D400" i="4"/>
  <c r="E400" i="4" s="1"/>
  <c r="I400" i="4" s="1"/>
  <c r="J400" i="4" s="1"/>
  <c r="D399" i="4"/>
  <c r="E399" i="4" s="1"/>
  <c r="I399" i="4" s="1"/>
  <c r="J399" i="4" s="1"/>
  <c r="D398" i="4"/>
  <c r="E398" i="4" s="1"/>
  <c r="I398" i="4" s="1"/>
  <c r="J398" i="4" s="1"/>
  <c r="D396" i="4"/>
  <c r="D395" i="4"/>
  <c r="E395" i="4" s="1"/>
  <c r="I395" i="4" s="1"/>
  <c r="J395" i="4" s="1"/>
  <c r="D397" i="4"/>
  <c r="E397" i="4" s="1"/>
  <c r="I397" i="4" s="1"/>
  <c r="J397" i="4" s="1"/>
  <c r="D394" i="4"/>
  <c r="E394" i="4" s="1"/>
  <c r="I394" i="4" s="1"/>
  <c r="J394" i="4" s="1"/>
  <c r="D386" i="4"/>
  <c r="H35" i="5"/>
  <c r="C380" i="4"/>
  <c r="D379" i="4"/>
  <c r="E379" i="4" s="1"/>
  <c r="I379" i="4" s="1"/>
  <c r="J379" i="4" s="1"/>
  <c r="D378" i="4"/>
  <c r="E378" i="4" s="1"/>
  <c r="C373" i="4"/>
  <c r="D372" i="4"/>
  <c r="E372" i="4" s="1"/>
  <c r="I372" i="4" s="1"/>
  <c r="J372" i="4" s="1"/>
  <c r="D371" i="4"/>
  <c r="E371" i="4" s="1"/>
  <c r="I371" i="4" s="1"/>
  <c r="J371" i="4" s="1"/>
  <c r="D370" i="4"/>
  <c r="E370" i="4" s="1"/>
  <c r="D363" i="4"/>
  <c r="E363" i="4" s="1"/>
  <c r="I363" i="4" s="1"/>
  <c r="J363" i="4" s="1"/>
  <c r="C364" i="4"/>
  <c r="D362" i="4"/>
  <c r="E362" i="4" s="1"/>
  <c r="C357" i="4"/>
  <c r="D353" i="4"/>
  <c r="E353" i="4" s="1"/>
  <c r="I353" i="4" s="1"/>
  <c r="J353" i="4" s="1"/>
  <c r="D356" i="4"/>
  <c r="E356" i="4" s="1"/>
  <c r="I356" i="4" s="1"/>
  <c r="J356" i="4" s="1"/>
  <c r="D355" i="4"/>
  <c r="E355" i="4" s="1"/>
  <c r="I355" i="4" s="1"/>
  <c r="J355" i="4" s="1"/>
  <c r="D354" i="4"/>
  <c r="E354" i="4" s="1"/>
  <c r="I354" i="4" s="1"/>
  <c r="J354" i="4" s="1"/>
  <c r="D352" i="4"/>
  <c r="E352" i="4" s="1"/>
  <c r="I352" i="4" s="1"/>
  <c r="J352" i="4" s="1"/>
  <c r="D351" i="4"/>
  <c r="E351" i="4" s="1"/>
  <c r="I351" i="4" s="1"/>
  <c r="J351" i="4" s="1"/>
  <c r="D350" i="4"/>
  <c r="E350" i="4" s="1"/>
  <c r="C343" i="4"/>
  <c r="D342" i="4"/>
  <c r="E342" i="4" s="1"/>
  <c r="I342" i="4" s="1"/>
  <c r="J342" i="4" s="1"/>
  <c r="D341" i="4"/>
  <c r="E341" i="4" s="1"/>
  <c r="I341" i="4" s="1"/>
  <c r="J341" i="4" s="1"/>
  <c r="D340" i="4"/>
  <c r="E340" i="4" s="1"/>
  <c r="I340" i="4" s="1"/>
  <c r="J340" i="4" s="1"/>
  <c r="D339" i="4"/>
  <c r="E339" i="4" s="1"/>
  <c r="I339" i="4" s="1"/>
  <c r="J339" i="4" s="1"/>
  <c r="D338" i="4"/>
  <c r="D337" i="4"/>
  <c r="E337" i="4" s="1"/>
  <c r="I337" i="4" s="1"/>
  <c r="J337" i="4" s="1"/>
  <c r="D336" i="4"/>
  <c r="E336" i="4" s="1"/>
  <c r="I336" i="4" s="1"/>
  <c r="J336" i="4" s="1"/>
  <c r="D324" i="4"/>
  <c r="E324" i="4" s="1"/>
  <c r="I324" i="4" s="1"/>
  <c r="J324" i="4" s="1"/>
  <c r="C329" i="4"/>
  <c r="D328" i="4"/>
  <c r="E328" i="4" s="1"/>
  <c r="I328" i="4" s="1"/>
  <c r="J328" i="4" s="1"/>
  <c r="D327" i="4"/>
  <c r="E327" i="4" s="1"/>
  <c r="I327" i="4" s="1"/>
  <c r="J327" i="4" s="1"/>
  <c r="D326" i="4"/>
  <c r="E326" i="4" s="1"/>
  <c r="I326" i="4" s="1"/>
  <c r="J326" i="4" s="1"/>
  <c r="D325" i="4"/>
  <c r="E325" i="4" s="1"/>
  <c r="I325" i="4" s="1"/>
  <c r="J325" i="4" s="1"/>
  <c r="D323" i="4"/>
  <c r="E323" i="4" s="1"/>
  <c r="I323" i="4" s="1"/>
  <c r="J323" i="4" s="1"/>
  <c r="D322" i="4"/>
  <c r="E322" i="4" s="1"/>
  <c r="D315" i="4"/>
  <c r="E315" i="4" s="1"/>
  <c r="I315" i="4" s="1"/>
  <c r="J315" i="4" s="1"/>
  <c r="C316" i="4"/>
  <c r="D314" i="4"/>
  <c r="E314" i="4" s="1"/>
  <c r="I314" i="4" s="1"/>
  <c r="J314" i="4" s="1"/>
  <c r="D313" i="4"/>
  <c r="E313" i="4" s="1"/>
  <c r="I313" i="4" s="1"/>
  <c r="J313" i="4" s="1"/>
  <c r="D312" i="4"/>
  <c r="E312" i="4" s="1"/>
  <c r="I312" i="4" s="1"/>
  <c r="J312" i="4" s="1"/>
  <c r="D311" i="4"/>
  <c r="E311" i="4" s="1"/>
  <c r="I311" i="4" s="1"/>
  <c r="J311" i="4" s="1"/>
  <c r="D310" i="4"/>
  <c r="C305" i="4"/>
  <c r="D304" i="4"/>
  <c r="E304" i="4" s="1"/>
  <c r="I304" i="4" s="1"/>
  <c r="J304" i="4" s="1"/>
  <c r="D303" i="4"/>
  <c r="E303" i="4" s="1"/>
  <c r="I303" i="4" s="1"/>
  <c r="J303" i="4" s="1"/>
  <c r="D301" i="4"/>
  <c r="E301" i="4" s="1"/>
  <c r="I301" i="4" s="1"/>
  <c r="J301" i="4" s="1"/>
  <c r="D300" i="4"/>
  <c r="E300" i="4" s="1"/>
  <c r="I300" i="4" s="1"/>
  <c r="J300" i="4" s="1"/>
  <c r="D299" i="4"/>
  <c r="E299" i="4" s="1"/>
  <c r="I299" i="4" s="1"/>
  <c r="J299" i="4" s="1"/>
  <c r="D296" i="4"/>
  <c r="E296" i="4" s="1"/>
  <c r="I296" i="4" s="1"/>
  <c r="J296" i="4" s="1"/>
  <c r="D302" i="4"/>
  <c r="E302" i="4" s="1"/>
  <c r="I302" i="4" s="1"/>
  <c r="J302" i="4" s="1"/>
  <c r="D298" i="4"/>
  <c r="E298" i="4" s="1"/>
  <c r="I298" i="4" s="1"/>
  <c r="J298" i="4" s="1"/>
  <c r="D297" i="4"/>
  <c r="E297" i="4" s="1"/>
  <c r="I297" i="4" s="1"/>
  <c r="J297" i="4" s="1"/>
  <c r="D295" i="4"/>
  <c r="E295" i="4" s="1"/>
  <c r="D294" i="4"/>
  <c r="E294" i="4" s="1"/>
  <c r="I294" i="4" s="1"/>
  <c r="J294" i="4" s="1"/>
  <c r="C290" i="4"/>
  <c r="D289" i="4"/>
  <c r="E289" i="4" s="1"/>
  <c r="I289" i="4" s="1"/>
  <c r="J289" i="4" s="1"/>
  <c r="D288" i="4"/>
  <c r="E288" i="4" s="1"/>
  <c r="I288" i="4" s="1"/>
  <c r="J288" i="4" s="1"/>
  <c r="D287" i="4"/>
  <c r="E287" i="4" s="1"/>
  <c r="I287" i="4" s="1"/>
  <c r="J287" i="4" s="1"/>
  <c r="D286" i="4"/>
  <c r="E286" i="4" s="1"/>
  <c r="I286" i="4" s="1"/>
  <c r="J286" i="4" s="1"/>
  <c r="D285" i="4"/>
  <c r="D280" i="4"/>
  <c r="E280" i="4" s="1"/>
  <c r="I280" i="4" s="1"/>
  <c r="J280" i="4" s="1"/>
  <c r="D276" i="4"/>
  <c r="E276" i="4" s="1"/>
  <c r="I276" i="4" s="1"/>
  <c r="J276" i="4" s="1"/>
  <c r="C281" i="4"/>
  <c r="D279" i="4"/>
  <c r="E279" i="4" s="1"/>
  <c r="I279" i="4" s="1"/>
  <c r="J279" i="4" s="1"/>
  <c r="D278" i="4"/>
  <c r="E278" i="4" s="1"/>
  <c r="I278" i="4" s="1"/>
  <c r="J278" i="4" s="1"/>
  <c r="D277" i="4"/>
  <c r="E277" i="4" s="1"/>
  <c r="I277" i="4" s="1"/>
  <c r="J277" i="4" s="1"/>
  <c r="D275" i="4"/>
  <c r="E275" i="4" s="1"/>
  <c r="I275" i="4" s="1"/>
  <c r="J275" i="4" s="1"/>
  <c r="D274" i="4"/>
  <c r="D269" i="4"/>
  <c r="E269" i="4" s="1"/>
  <c r="I269" i="4" s="1"/>
  <c r="J269" i="4" s="1"/>
  <c r="D268" i="4"/>
  <c r="E268" i="4" s="1"/>
  <c r="I268" i="4" s="1"/>
  <c r="J268" i="4" s="1"/>
  <c r="D267" i="4"/>
  <c r="C270" i="4"/>
  <c r="D266" i="4"/>
  <c r="E266" i="4" s="1"/>
  <c r="I266" i="4" s="1"/>
  <c r="J266" i="4" s="1"/>
  <c r="D265" i="4"/>
  <c r="E265" i="4" s="1"/>
  <c r="I265" i="4" s="1"/>
  <c r="J265" i="4" s="1"/>
  <c r="D264" i="4"/>
  <c r="E264" i="4" s="1"/>
  <c r="I264" i="4" s="1"/>
  <c r="J264" i="4" s="1"/>
  <c r="D259" i="4"/>
  <c r="E259" i="4" s="1"/>
  <c r="I259" i="4" s="1"/>
  <c r="J259" i="4" s="1"/>
  <c r="C260" i="4"/>
  <c r="D258" i="4"/>
  <c r="E258" i="4" s="1"/>
  <c r="I258" i="4" s="1"/>
  <c r="J258" i="4" s="1"/>
  <c r="D257" i="4"/>
  <c r="E257" i="4" s="1"/>
  <c r="I257" i="4" s="1"/>
  <c r="J257" i="4" s="1"/>
  <c r="D256" i="4"/>
  <c r="C251" i="4"/>
  <c r="D250" i="4"/>
  <c r="E250" i="4" s="1"/>
  <c r="I250" i="4" s="1"/>
  <c r="J250" i="4" s="1"/>
  <c r="H21" i="5"/>
  <c r="D247" i="4"/>
  <c r="E247" i="4" s="1"/>
  <c r="I247" i="4" s="1"/>
  <c r="J247" i="4" s="1"/>
  <c r="D249" i="4"/>
  <c r="E249" i="4" s="1"/>
  <c r="I249" i="4" s="1"/>
  <c r="J249" i="4" s="1"/>
  <c r="D248" i="4"/>
  <c r="E248" i="4" s="1"/>
  <c r="I248" i="4" s="1"/>
  <c r="J248" i="4" s="1"/>
  <c r="D246" i="4"/>
  <c r="E246" i="4" s="1"/>
  <c r="I246" i="4" s="1"/>
  <c r="J246" i="4" s="1"/>
  <c r="D245" i="4"/>
  <c r="E245" i="4" s="1"/>
  <c r="D240" i="4"/>
  <c r="E240" i="4" s="1"/>
  <c r="I240" i="4" s="1"/>
  <c r="J240" i="4" s="1"/>
  <c r="C241" i="4"/>
  <c r="D239" i="4"/>
  <c r="E239" i="4" s="1"/>
  <c r="I239" i="4" s="1"/>
  <c r="J239" i="4" s="1"/>
  <c r="D238" i="4"/>
  <c r="E238" i="4" s="1"/>
  <c r="I238" i="4" s="1"/>
  <c r="J238" i="4" s="1"/>
  <c r="D237" i="4"/>
  <c r="C230" i="4"/>
  <c r="D229" i="4"/>
  <c r="E229" i="4" s="1"/>
  <c r="I229" i="4" s="1"/>
  <c r="J229" i="4" s="1"/>
  <c r="D228" i="4"/>
  <c r="E228" i="4" s="1"/>
  <c r="I228" i="4" s="1"/>
  <c r="J228" i="4" s="1"/>
  <c r="D227" i="4"/>
  <c r="E227" i="4" s="1"/>
  <c r="I227" i="4" s="1"/>
  <c r="J227" i="4" s="1"/>
  <c r="D226" i="4"/>
  <c r="E226" i="4" s="1"/>
  <c r="I226" i="4" s="1"/>
  <c r="J226" i="4" s="1"/>
  <c r="D225" i="4"/>
  <c r="E225" i="4" s="1"/>
  <c r="I225" i="4" s="1"/>
  <c r="J225" i="4" s="1"/>
  <c r="D224" i="4"/>
  <c r="E224" i="4" s="1"/>
  <c r="I224" i="4" s="1"/>
  <c r="J224" i="4" s="1"/>
  <c r="D223" i="4"/>
  <c r="E223" i="4" s="1"/>
  <c r="I223" i="4" s="1"/>
  <c r="J223" i="4" s="1"/>
  <c r="D222" i="4"/>
  <c r="E222" i="4" s="1"/>
  <c r="I222" i="4" s="1"/>
  <c r="J222" i="4" s="1"/>
  <c r="D221" i="4"/>
  <c r="E221" i="4" s="1"/>
  <c r="I221" i="4" s="1"/>
  <c r="J221" i="4" s="1"/>
  <c r="D220" i="4"/>
  <c r="E220" i="4" s="1"/>
  <c r="I220" i="4" s="1"/>
  <c r="J220" i="4" s="1"/>
  <c r="C214" i="4"/>
  <c r="I202" i="4"/>
  <c r="I203" i="4"/>
  <c r="D212" i="4"/>
  <c r="E212" i="4" s="1"/>
  <c r="I212" i="4" s="1"/>
  <c r="D211" i="4"/>
  <c r="E211" i="4" s="1"/>
  <c r="I211" i="4" s="1"/>
  <c r="D210" i="4"/>
  <c r="E210" i="4" s="1"/>
  <c r="I210" i="4" s="1"/>
  <c r="K203" i="4"/>
  <c r="J203" i="4"/>
  <c r="C204" i="4"/>
  <c r="K202" i="4"/>
  <c r="J202" i="4"/>
  <c r="D201" i="4"/>
  <c r="E201" i="4" s="1"/>
  <c r="I201" i="4" s="1"/>
  <c r="D195" i="4"/>
  <c r="E195" i="4" s="1"/>
  <c r="I195" i="4" s="1"/>
  <c r="D198" i="4"/>
  <c r="E198" i="4" s="1"/>
  <c r="I198" i="4" s="1"/>
  <c r="D200" i="4"/>
  <c r="E200" i="4" s="1"/>
  <c r="I200" i="4" s="1"/>
  <c r="D199" i="4"/>
  <c r="E199" i="4" s="1"/>
  <c r="I199" i="4" s="1"/>
  <c r="D197" i="4"/>
  <c r="E197" i="4" s="1"/>
  <c r="I197" i="4" s="1"/>
  <c r="D196" i="4"/>
  <c r="E196" i="4" s="1"/>
  <c r="I196" i="4" s="1"/>
  <c r="D194" i="4"/>
  <c r="E194" i="4" s="1"/>
  <c r="I194" i="4" s="1"/>
  <c r="D193" i="4"/>
  <c r="C188" i="4"/>
  <c r="D186" i="4"/>
  <c r="E186" i="4" s="1"/>
  <c r="D185" i="4"/>
  <c r="E185" i="4" s="1"/>
  <c r="D184" i="4"/>
  <c r="E184" i="4" s="1"/>
  <c r="D183" i="4"/>
  <c r="E183" i="4" s="1"/>
  <c r="D182" i="4"/>
  <c r="D181" i="4"/>
  <c r="E181" i="4" s="1"/>
  <c r="C177" i="4"/>
  <c r="D175" i="4"/>
  <c r="E175" i="4" s="1"/>
  <c r="D174" i="4"/>
  <c r="E174" i="4" s="1"/>
  <c r="D173" i="4"/>
  <c r="E173" i="4" s="1"/>
  <c r="D172" i="4"/>
  <c r="E172" i="4" s="1"/>
  <c r="D171" i="4"/>
  <c r="E171" i="4" s="1"/>
  <c r="D170" i="4"/>
  <c r="E170" i="4" s="1"/>
  <c r="C163" i="4"/>
  <c r="D160" i="4"/>
  <c r="E160" i="4" s="1"/>
  <c r="D159" i="4"/>
  <c r="E159" i="4" s="1"/>
  <c r="D158" i="4"/>
  <c r="E158" i="4" s="1"/>
  <c r="D157" i="4"/>
  <c r="E157" i="4" s="1"/>
  <c r="D156" i="4"/>
  <c r="E156" i="4" s="1"/>
  <c r="D155" i="4"/>
  <c r="E155" i="4" s="1"/>
  <c r="D154" i="4"/>
  <c r="E154" i="4" s="1"/>
  <c r="C146" i="4"/>
  <c r="D144" i="4"/>
  <c r="E144" i="4" s="1"/>
  <c r="D143" i="4"/>
  <c r="E143" i="4" s="1"/>
  <c r="D142" i="4"/>
  <c r="E142" i="4" s="1"/>
  <c r="D139" i="4"/>
  <c r="E139" i="4" s="1"/>
  <c r="D141" i="4"/>
  <c r="E141" i="4" s="1"/>
  <c r="D140" i="4"/>
  <c r="C130" i="4"/>
  <c r="D130" i="4" s="1"/>
  <c r="C129" i="4"/>
  <c r="D132" i="4"/>
  <c r="E132" i="4" s="1"/>
  <c r="D131" i="4"/>
  <c r="E131" i="4" s="1"/>
  <c r="D128" i="4"/>
  <c r="E128" i="4" s="1"/>
  <c r="C116" i="4"/>
  <c r="C120" i="4" s="1"/>
  <c r="D118" i="4"/>
  <c r="E118" i="4" s="1"/>
  <c r="D117" i="4"/>
  <c r="E117" i="4" s="1"/>
  <c r="D115" i="4"/>
  <c r="E115" i="4" s="1"/>
  <c r="D114" i="4"/>
  <c r="E114" i="4" s="1"/>
  <c r="D113" i="4"/>
  <c r="E113" i="4" s="1"/>
  <c r="D74" i="4"/>
  <c r="E74" i="4" s="1"/>
  <c r="C106" i="4"/>
  <c r="D103" i="4"/>
  <c r="E103" i="4" s="1"/>
  <c r="D104" i="4"/>
  <c r="E104" i="4" s="1"/>
  <c r="D105" i="4"/>
  <c r="E105" i="4" s="1"/>
  <c r="D102" i="4"/>
  <c r="E102" i="4" s="1"/>
  <c r="D101" i="4"/>
  <c r="E101" i="4" s="1"/>
  <c r="D100" i="4"/>
  <c r="E100" i="4" s="1"/>
  <c r="D99" i="4"/>
  <c r="H11" i="5"/>
  <c r="H12" i="5"/>
  <c r="H13" i="5"/>
  <c r="H14" i="5"/>
  <c r="C93" i="4"/>
  <c r="D92" i="4"/>
  <c r="E92" i="4" s="1"/>
  <c r="D91" i="4"/>
  <c r="E91" i="4" s="1"/>
  <c r="D90" i="4"/>
  <c r="E90" i="4" s="1"/>
  <c r="D89" i="4"/>
  <c r="E89" i="4" s="1"/>
  <c r="D76" i="4"/>
  <c r="E76" i="4" s="1"/>
  <c r="C79" i="4"/>
  <c r="D78" i="4"/>
  <c r="E78" i="4" s="1"/>
  <c r="D77" i="4"/>
  <c r="E77" i="4" s="1"/>
  <c r="D75" i="4"/>
  <c r="E75" i="4" s="1"/>
  <c r="D73" i="4"/>
  <c r="E73" i="4" s="1"/>
  <c r="C66" i="4"/>
  <c r="D65" i="4"/>
  <c r="E65" i="4" s="1"/>
  <c r="D63" i="4"/>
  <c r="E63" i="4" s="1"/>
  <c r="D62" i="4"/>
  <c r="E62" i="4" s="1"/>
  <c r="D64" i="4"/>
  <c r="E64" i="4" s="1"/>
  <c r="D61" i="4"/>
  <c r="E61" i="4" s="1"/>
  <c r="D45" i="4"/>
  <c r="E45" i="4" s="1"/>
  <c r="D44" i="4"/>
  <c r="C54" i="4"/>
  <c r="D53" i="4"/>
  <c r="E53" i="4" s="1"/>
  <c r="D52" i="4"/>
  <c r="E52" i="4" s="1"/>
  <c r="D51" i="4"/>
  <c r="E51" i="4" s="1"/>
  <c r="D50" i="4"/>
  <c r="E50" i="4" s="1"/>
  <c r="D49" i="4"/>
  <c r="E49" i="4" s="1"/>
  <c r="D48" i="4"/>
  <c r="E48" i="4" s="1"/>
  <c r="D47" i="4"/>
  <c r="E47" i="4" s="1"/>
  <c r="D46" i="4"/>
  <c r="E46" i="4" s="1"/>
  <c r="D43" i="4"/>
  <c r="E43" i="4" s="1"/>
  <c r="C34" i="4"/>
  <c r="D33" i="4"/>
  <c r="E33" i="4" s="1"/>
  <c r="D32" i="4"/>
  <c r="E32" i="4" s="1"/>
  <c r="D31" i="4"/>
  <c r="E31" i="4" s="1"/>
  <c r="D30" i="4"/>
  <c r="E30" i="4" s="1"/>
  <c r="D29" i="4"/>
  <c r="E29" i="4" s="1"/>
  <c r="D28" i="4"/>
  <c r="E28" i="4" s="1"/>
  <c r="D27" i="4"/>
  <c r="E27" i="4" s="1"/>
  <c r="D26" i="4"/>
  <c r="E26" i="4" s="1"/>
  <c r="D25" i="4"/>
  <c r="E25" i="4" s="1"/>
  <c r="D24" i="4"/>
  <c r="D14" i="4"/>
  <c r="E14" i="4" s="1"/>
  <c r="D15" i="4"/>
  <c r="E15" i="4" s="1"/>
  <c r="D16" i="4"/>
  <c r="E16" i="4" s="1"/>
  <c r="D17" i="4"/>
  <c r="E17" i="4" s="1"/>
  <c r="D18" i="4"/>
  <c r="E18" i="4" s="1"/>
  <c r="D13" i="4"/>
  <c r="E13" i="4" s="1"/>
  <c r="C19" i="4"/>
  <c r="H5" i="5"/>
  <c r="H3" i="5"/>
  <c r="E5" i="4"/>
  <c r="E8" i="4"/>
  <c r="E6" i="4"/>
  <c r="D9" i="4"/>
  <c r="C9" i="4"/>
  <c r="H39" i="5" l="1"/>
  <c r="E54" i="19" s="1"/>
  <c r="C54" i="19"/>
  <c r="D373" i="4"/>
  <c r="L202" i="4"/>
  <c r="D116" i="4"/>
  <c r="E116" i="4" s="1"/>
  <c r="E120" i="4" s="1"/>
  <c r="D454" i="4"/>
  <c r="D474" i="4"/>
  <c r="D290" i="4"/>
  <c r="D493" i="4"/>
  <c r="D19" i="4"/>
  <c r="D412" i="4"/>
  <c r="E329" i="4"/>
  <c r="I329" i="4" s="1"/>
  <c r="J329" i="4" s="1"/>
  <c r="E93" i="4"/>
  <c r="F10" i="5" s="1"/>
  <c r="D163" i="4"/>
  <c r="D241" i="4"/>
  <c r="D343" i="4"/>
  <c r="D357" i="4"/>
  <c r="D364" i="4"/>
  <c r="E130" i="4"/>
  <c r="D316" i="4"/>
  <c r="I430" i="4"/>
  <c r="J430" i="4" s="1"/>
  <c r="E163" i="4"/>
  <c r="D129" i="4"/>
  <c r="E129" i="4" s="1"/>
  <c r="E177" i="4"/>
  <c r="F15" i="5" s="1"/>
  <c r="D281" i="4"/>
  <c r="E274" i="4"/>
  <c r="E281" i="4" s="1"/>
  <c r="E497" i="4"/>
  <c r="E500" i="4" s="1"/>
  <c r="F47" i="5" s="1"/>
  <c r="D500" i="4"/>
  <c r="E9" i="4"/>
  <c r="F4" i="5" s="1"/>
  <c r="D79" i="4"/>
  <c r="D177" i="4"/>
  <c r="D214" i="4"/>
  <c r="D329" i="4"/>
  <c r="J447" i="4"/>
  <c r="I454" i="4"/>
  <c r="J454" i="4" s="1"/>
  <c r="J470" i="4"/>
  <c r="I474" i="4"/>
  <c r="J474" i="4" s="1"/>
  <c r="E19" i="4"/>
  <c r="D106" i="4"/>
  <c r="E99" i="4"/>
  <c r="E106" i="4" s="1"/>
  <c r="I245" i="4"/>
  <c r="J245" i="4" s="1"/>
  <c r="E251" i="4"/>
  <c r="I251" i="4" s="1"/>
  <c r="J251" i="4" s="1"/>
  <c r="E285" i="4"/>
  <c r="E310" i="4"/>
  <c r="I310" i="4" s="1"/>
  <c r="J310" i="4" s="1"/>
  <c r="D441" i="4"/>
  <c r="E474" i="4"/>
  <c r="F43" i="5" s="1"/>
  <c r="D93" i="4"/>
  <c r="E214" i="4"/>
  <c r="F18" i="5" s="1"/>
  <c r="E237" i="4"/>
  <c r="E338" i="4"/>
  <c r="I338" i="4" s="1"/>
  <c r="J338" i="4" s="1"/>
  <c r="D401" i="4"/>
  <c r="E407" i="4"/>
  <c r="E489" i="4"/>
  <c r="I489" i="4" s="1"/>
  <c r="J489" i="4" s="1"/>
  <c r="D204" i="4"/>
  <c r="E193" i="4"/>
  <c r="D66" i="4"/>
  <c r="E79" i="4"/>
  <c r="F9" i="5" s="1"/>
  <c r="I214" i="4"/>
  <c r="E230" i="4"/>
  <c r="D251" i="4"/>
  <c r="D260" i="4"/>
  <c r="E256" i="4"/>
  <c r="I295" i="4"/>
  <c r="J295" i="4" s="1"/>
  <c r="E305" i="4"/>
  <c r="I322" i="4"/>
  <c r="J322" i="4" s="1"/>
  <c r="E140" i="4"/>
  <c r="E146" i="4" s="1"/>
  <c r="D146" i="4"/>
  <c r="E182" i="4"/>
  <c r="E188" i="4" s="1"/>
  <c r="F16" i="5" s="1"/>
  <c r="D188" i="4"/>
  <c r="E267" i="4"/>
  <c r="I267" i="4" s="1"/>
  <c r="J267" i="4" s="1"/>
  <c r="D270" i="4"/>
  <c r="E24" i="4"/>
  <c r="E34" i="4" s="1"/>
  <c r="F6" i="5" s="1"/>
  <c r="D34" i="4"/>
  <c r="E44" i="4"/>
  <c r="E54" i="4" s="1"/>
  <c r="F7" i="5" s="1"/>
  <c r="D54" i="4"/>
  <c r="E66" i="4"/>
  <c r="F8" i="5" s="1"/>
  <c r="E357" i="4"/>
  <c r="I350" i="4"/>
  <c r="J350" i="4" s="1"/>
  <c r="E441" i="4"/>
  <c r="F40" i="5" s="1"/>
  <c r="I434" i="4"/>
  <c r="E462" i="4"/>
  <c r="I462" i="4" s="1"/>
  <c r="J462" i="4" s="1"/>
  <c r="D464" i="4"/>
  <c r="D380" i="4"/>
  <c r="D230" i="4"/>
  <c r="D305" i="4"/>
  <c r="E454" i="4"/>
  <c r="F41" i="5" s="1"/>
  <c r="I370" i="4"/>
  <c r="E373" i="4"/>
  <c r="F32" i="5" s="1"/>
  <c r="I378" i="4"/>
  <c r="E380" i="4"/>
  <c r="F33" i="5" s="1"/>
  <c r="E416" i="4"/>
  <c r="D424" i="4"/>
  <c r="C133" i="4"/>
  <c r="L203" i="4"/>
  <c r="E364" i="4"/>
  <c r="F31" i="5" s="1"/>
  <c r="I362" i="4"/>
  <c r="E396" i="4"/>
  <c r="E479" i="4"/>
  <c r="D484" i="4"/>
  <c r="C388" i="4"/>
  <c r="E60" i="7"/>
  <c r="F60" i="7" s="1"/>
  <c r="E386" i="4"/>
  <c r="D387" i="4"/>
  <c r="E387" i="4" s="1"/>
  <c r="I387" i="4" s="1"/>
  <c r="J387" i="4" s="1"/>
  <c r="H6" i="5" l="1"/>
  <c r="E21" i="19" s="1"/>
  <c r="C21" i="19"/>
  <c r="H18" i="5"/>
  <c r="E33" i="19" s="1"/>
  <c r="C33" i="19"/>
  <c r="H33" i="5"/>
  <c r="E48" i="19" s="1"/>
  <c r="C48" i="19"/>
  <c r="H41" i="5"/>
  <c r="E56" i="19" s="1"/>
  <c r="C56" i="19"/>
  <c r="H40" i="5"/>
  <c r="E55" i="19" s="1"/>
  <c r="C55" i="19"/>
  <c r="H47" i="5"/>
  <c r="E62" i="19" s="1"/>
  <c r="C62" i="19"/>
  <c r="H31" i="5"/>
  <c r="E46" i="19" s="1"/>
  <c r="C46" i="19"/>
  <c r="H8" i="5"/>
  <c r="E23" i="19" s="1"/>
  <c r="C23" i="19"/>
  <c r="H15" i="5"/>
  <c r="E30" i="19" s="1"/>
  <c r="C30" i="19"/>
  <c r="H7" i="5"/>
  <c r="E22" i="19" s="1"/>
  <c r="C22" i="19"/>
  <c r="H43" i="5"/>
  <c r="E58" i="19" s="1"/>
  <c r="C58" i="19"/>
  <c r="H16" i="5"/>
  <c r="E31" i="19" s="1"/>
  <c r="C31" i="19"/>
  <c r="H32" i="5"/>
  <c r="E47" i="19" s="1"/>
  <c r="C47" i="19"/>
  <c r="H9" i="5"/>
  <c r="E24" i="19" s="1"/>
  <c r="C24" i="19"/>
  <c r="H4" i="5"/>
  <c r="C19" i="19"/>
  <c r="H10" i="5"/>
  <c r="E25" i="19" s="1"/>
  <c r="C25" i="19"/>
  <c r="D120" i="4"/>
  <c r="I464" i="4"/>
  <c r="J464" i="4" s="1"/>
  <c r="E316" i="4"/>
  <c r="F27" i="5" s="1"/>
  <c r="F28" i="5"/>
  <c r="I497" i="4"/>
  <c r="J497" i="4" s="1"/>
  <c r="E343" i="4"/>
  <c r="I343" i="4" s="1"/>
  <c r="J343" i="4" s="1"/>
  <c r="I493" i="4"/>
  <c r="J493" i="4" s="1"/>
  <c r="E493" i="4"/>
  <c r="F46" i="5" s="1"/>
  <c r="E133" i="4"/>
  <c r="I407" i="4"/>
  <c r="E412" i="4"/>
  <c r="F37" i="5" s="1"/>
  <c r="E241" i="4"/>
  <c r="I237" i="4"/>
  <c r="J237" i="4" s="1"/>
  <c r="E464" i="4"/>
  <c r="F42" i="5" s="1"/>
  <c r="D133" i="4"/>
  <c r="I274" i="4"/>
  <c r="J274" i="4" s="1"/>
  <c r="E270" i="4"/>
  <c r="F23" i="5" s="1"/>
  <c r="E290" i="4"/>
  <c r="I285" i="4"/>
  <c r="J285" i="4" s="1"/>
  <c r="I396" i="4"/>
  <c r="E401" i="4"/>
  <c r="F36" i="5" s="1"/>
  <c r="I380" i="4"/>
  <c r="J380" i="4" s="1"/>
  <c r="J378" i="4"/>
  <c r="F26" i="5"/>
  <c r="I305" i="4"/>
  <c r="J305" i="4" s="1"/>
  <c r="I281" i="4"/>
  <c r="J281" i="4" s="1"/>
  <c r="F24" i="5"/>
  <c r="I364" i="4"/>
  <c r="J364" i="4" s="1"/>
  <c r="J362" i="4"/>
  <c r="I416" i="4"/>
  <c r="E424" i="4"/>
  <c r="F38" i="5" s="1"/>
  <c r="I373" i="4"/>
  <c r="J373" i="4" s="1"/>
  <c r="J370" i="4"/>
  <c r="F19" i="5"/>
  <c r="I230" i="4"/>
  <c r="J230" i="4" s="1"/>
  <c r="I193" i="4"/>
  <c r="E204" i="4"/>
  <c r="F30" i="5"/>
  <c r="I357" i="4"/>
  <c r="J357" i="4" s="1"/>
  <c r="I479" i="4"/>
  <c r="E484" i="4"/>
  <c r="F44" i="5" s="1"/>
  <c r="I441" i="4"/>
  <c r="J441" i="4" s="1"/>
  <c r="J434" i="4"/>
  <c r="I256" i="4"/>
  <c r="J256" i="4" s="1"/>
  <c r="E260" i="4"/>
  <c r="D388" i="4"/>
  <c r="E388" i="4"/>
  <c r="F34" i="5" s="1"/>
  <c r="I386" i="4"/>
  <c r="H44" i="5" l="1"/>
  <c r="E59" i="19" s="1"/>
  <c r="C59" i="19"/>
  <c r="H36" i="5"/>
  <c r="E51" i="19" s="1"/>
  <c r="C51" i="19"/>
  <c r="H23" i="5"/>
  <c r="E38" i="19" s="1"/>
  <c r="C38" i="19"/>
  <c r="H30" i="5"/>
  <c r="E45" i="19" s="1"/>
  <c r="C45" i="19"/>
  <c r="H26" i="5"/>
  <c r="E41" i="19" s="1"/>
  <c r="C41" i="19"/>
  <c r="H46" i="5"/>
  <c r="C61" i="19"/>
  <c r="H28" i="5"/>
  <c r="E43" i="19" s="1"/>
  <c r="C43" i="19"/>
  <c r="H19" i="5"/>
  <c r="E34" i="19" s="1"/>
  <c r="C34" i="19"/>
  <c r="H42" i="5"/>
  <c r="E57" i="19" s="1"/>
  <c r="C57" i="19"/>
  <c r="H34" i="5"/>
  <c r="E49" i="19" s="1"/>
  <c r="C49" i="19"/>
  <c r="H38" i="5"/>
  <c r="E53" i="19" s="1"/>
  <c r="C53" i="19"/>
  <c r="H24" i="5"/>
  <c r="E39" i="19" s="1"/>
  <c r="C39" i="19"/>
  <c r="H37" i="5"/>
  <c r="E52" i="19" s="1"/>
  <c r="C52" i="19"/>
  <c r="H27" i="5"/>
  <c r="E42" i="19" s="1"/>
  <c r="C42" i="19"/>
  <c r="E19" i="19"/>
  <c r="I316" i="4"/>
  <c r="J316" i="4" s="1"/>
  <c r="I500" i="4"/>
  <c r="J500" i="4" s="1"/>
  <c r="F29" i="5"/>
  <c r="I270" i="4"/>
  <c r="J270" i="4" s="1"/>
  <c r="F25" i="5"/>
  <c r="I290" i="4"/>
  <c r="J290" i="4" s="1"/>
  <c r="I241" i="4"/>
  <c r="J241" i="4" s="1"/>
  <c r="F20" i="5"/>
  <c r="J407" i="4"/>
  <c r="I412" i="4"/>
  <c r="J412" i="4" s="1"/>
  <c r="F22" i="5"/>
  <c r="I260" i="4"/>
  <c r="J260" i="4" s="1"/>
  <c r="I484" i="4"/>
  <c r="J484" i="4" s="1"/>
  <c r="J479" i="4"/>
  <c r="I424" i="4"/>
  <c r="J424" i="4" s="1"/>
  <c r="J416" i="4"/>
  <c r="I204" i="4"/>
  <c r="F17" i="5"/>
  <c r="J396" i="4"/>
  <c r="I401" i="4"/>
  <c r="J401" i="4" s="1"/>
  <c r="J386" i="4"/>
  <c r="I388" i="4"/>
  <c r="J388" i="4" s="1"/>
  <c r="H22" i="5" l="1"/>
  <c r="E37" i="19" s="1"/>
  <c r="C37" i="19"/>
  <c r="H29" i="5"/>
  <c r="E44" i="19" s="1"/>
  <c r="C44" i="19"/>
  <c r="E61" i="19"/>
  <c r="H71" i="5"/>
  <c r="P29" i="5" s="1" a="1"/>
  <c r="P29" i="5" s="1"/>
  <c r="H20" i="5"/>
  <c r="E35" i="19" s="1"/>
  <c r="C35" i="19"/>
  <c r="H17" i="5"/>
  <c r="C32" i="19"/>
  <c r="E10" i="19" a="1"/>
  <c r="E10" i="19" s="1"/>
  <c r="U10" i="19" s="1"/>
  <c r="E12" i="19" a="1"/>
  <c r="E12" i="19" s="1"/>
  <c r="U12" i="19" s="1"/>
  <c r="K19" i="19" a="1"/>
  <c r="K19" i="19" s="1"/>
  <c r="E13" i="19" a="1"/>
  <c r="E13" i="19" s="1"/>
  <c r="U13" i="19" s="1"/>
  <c r="E9" i="19" a="1"/>
  <c r="E9" i="19" s="1"/>
  <c r="U9" i="19" s="1"/>
  <c r="K12" i="19"/>
  <c r="K5" i="19"/>
  <c r="E11" i="19" a="1"/>
  <c r="E11" i="19" s="1"/>
  <c r="U11" i="19" s="1"/>
  <c r="L19" i="19" a="1"/>
  <c r="L19" i="19" s="1"/>
  <c r="E14" i="19" a="1"/>
  <c r="E14" i="19" s="1"/>
  <c r="U14" i="19" s="1"/>
  <c r="H25" i="5"/>
  <c r="E40" i="19" s="1"/>
  <c r="C40" i="19"/>
  <c r="C96" i="12"/>
  <c r="L12" i="19" l="1"/>
  <c r="L9" i="19"/>
  <c r="L11" i="19"/>
  <c r="L13" i="19"/>
  <c r="O21" i="19"/>
  <c r="K14" i="19"/>
  <c r="L10" i="19"/>
  <c r="E32" i="19"/>
  <c r="O5" i="19" a="1"/>
  <c r="O5" i="19" s="1"/>
  <c r="A5" i="19"/>
  <c r="G13" i="19" a="1"/>
  <c r="G13" i="19" s="1"/>
  <c r="G12" i="19" a="1"/>
  <c r="G12" i="19" s="1"/>
  <c r="G11" i="19" a="1"/>
  <c r="G11" i="19" s="1"/>
  <c r="E5" i="19"/>
  <c r="M5" i="19" a="1"/>
  <c r="M5" i="19" s="1"/>
  <c r="G10" i="19" a="1"/>
  <c r="G10" i="19" s="1"/>
  <c r="L21" i="19" a="1"/>
  <c r="L21" i="19" s="1"/>
  <c r="G9" i="19" a="1"/>
  <c r="G9" i="19" s="1"/>
  <c r="C5" i="19"/>
  <c r="G5" i="19"/>
  <c r="G14" i="19" a="1"/>
  <c r="G14" i="19" s="1"/>
  <c r="O14" i="19" s="1"/>
  <c r="K21" i="19" a="1"/>
  <c r="K21" i="19" s="1"/>
  <c r="B96" i="12"/>
  <c r="D96" i="12"/>
  <c r="L22" i="19" l="1"/>
  <c r="O12" i="19"/>
  <c r="H13" i="19"/>
  <c r="H14" i="19"/>
  <c r="O13" i="19"/>
  <c r="H11" i="19"/>
  <c r="O10" i="19"/>
  <c r="H10" i="19"/>
  <c r="O9" i="19"/>
  <c r="L14" i="19"/>
  <c r="O11" i="19"/>
  <c r="H12"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tc={13379749-1023-48EE-9D8C-11B8730C24C8}</author>
  </authors>
  <commentList>
    <comment ref="F169" authorId="0" shapeId="0" xr:uid="{13379749-1023-48EE-9D8C-11B8730C24C8}">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pago se hizo un descuento del 35 % por la clinica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tc={0AB1F18F-D793-4947-95A8-3DF571EB87A7}</author>
  </authors>
  <commentList>
    <comment ref="E315" authorId="0" shapeId="0" xr:uid="{0AB1F18F-D793-4947-95A8-3DF571EB87A7}">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pago se hizo un descuento del 35 % por la clinica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<sst xmlns="http://schemas.openxmlformats.org/spreadsheetml/2006/main" count="6130" uniqueCount="2354">
  <si>
    <t>HORARIOS DE CONSULTAS Y PROCEDIMIENTOS  EN LAS CLINICAS</t>
  </si>
  <si>
    <t xml:space="preserve">LUNES </t>
  </si>
  <si>
    <t>MARTES</t>
  </si>
  <si>
    <t>MIERCOLES</t>
  </si>
  <si>
    <t>JUEVES</t>
  </si>
  <si>
    <t>VIERNES</t>
  </si>
  <si>
    <t>OBSERVACION</t>
  </si>
  <si>
    <t>8-10 AM</t>
  </si>
  <si>
    <t>COROMINAS</t>
  </si>
  <si>
    <t>Marvesa</t>
  </si>
  <si>
    <t>INTEGRAL 3</t>
  </si>
  <si>
    <t>10-12 AM</t>
  </si>
  <si>
    <t>GRUMED</t>
  </si>
  <si>
    <t>2-4 PM</t>
  </si>
  <si>
    <t>HCFFAA</t>
  </si>
  <si>
    <t>MARVESA</t>
  </si>
  <si>
    <t>4-6 PM</t>
  </si>
  <si>
    <t>GMSM</t>
  </si>
  <si>
    <t>HMNSA</t>
  </si>
  <si>
    <t>DIA DE CIRUGIA GMSM</t>
  </si>
  <si>
    <t>DIA DE CIRUGIA GRUMED</t>
  </si>
  <si>
    <t>DIA DE CIRUGIA MONUMENTAL Y/O INTEGRAL 3</t>
  </si>
  <si>
    <t xml:space="preserve">AYUDANTIA EN LA INTEGRAL A PAULINO </t>
  </si>
  <si>
    <t>HORARIOS DE CONSULTAS Y PROCEDIMIENTOS  EN LOS HOSPITALES</t>
  </si>
  <si>
    <t>7-10 AM</t>
  </si>
  <si>
    <t>1-4 PM</t>
  </si>
  <si>
    <t>HCFF</t>
  </si>
  <si>
    <t>MHMNSA</t>
  </si>
  <si>
    <t>DIA DE CONSUTA</t>
  </si>
  <si>
    <t xml:space="preserve">DIA DE CIRUGIA </t>
  </si>
  <si>
    <t>VISITA EN SALA Y/O CIRUGIA</t>
  </si>
  <si>
    <t>FECHA</t>
  </si>
  <si>
    <t>ARS</t>
  </si>
  <si>
    <t>RNC</t>
  </si>
  <si>
    <t>MONTO FACTURADO</t>
  </si>
  <si>
    <t>MONTO RETENIDO(RENTA)</t>
  </si>
  <si>
    <t xml:space="preserve">TOTAL A PAGAR </t>
  </si>
  <si>
    <t>FECHA DE ENTREGA</t>
  </si>
  <si>
    <t>FECHA DE PAGO</t>
  </si>
  <si>
    <t>Estatus</t>
  </si>
  <si>
    <t>OBSERVACIONES</t>
  </si>
  <si>
    <t>SENASA</t>
  </si>
  <si>
    <t>B1500000156</t>
  </si>
  <si>
    <t>10-12/AGOSTO</t>
  </si>
  <si>
    <t>Pagada</t>
  </si>
  <si>
    <t>HUMANO</t>
  </si>
  <si>
    <t>B0100000060</t>
  </si>
  <si>
    <t>MAPFRE</t>
  </si>
  <si>
    <t>B0100000062</t>
  </si>
  <si>
    <t>P-HUMANO</t>
  </si>
  <si>
    <t>B01000000059</t>
  </si>
  <si>
    <t>SEMMA</t>
  </si>
  <si>
    <t>B0100000058</t>
  </si>
  <si>
    <t>UNIVERSAL</t>
  </si>
  <si>
    <t>B0100000061</t>
  </si>
  <si>
    <t>B1500000157</t>
  </si>
  <si>
    <t>10-12/septiembre</t>
  </si>
  <si>
    <t>B0100000067</t>
  </si>
  <si>
    <t>B0100000069</t>
  </si>
  <si>
    <t>B01000000066</t>
  </si>
  <si>
    <t>B0100000065</t>
  </si>
  <si>
    <t>B0100000068</t>
  </si>
  <si>
    <t>B1500000158</t>
  </si>
  <si>
    <t>10-12/OCTUBTE</t>
  </si>
  <si>
    <t>B0100000075</t>
  </si>
  <si>
    <t>B01000000073</t>
  </si>
  <si>
    <t>B0100000072</t>
  </si>
  <si>
    <t>B0100000074</t>
  </si>
  <si>
    <t>GMA</t>
  </si>
  <si>
    <t>B0100000070</t>
  </si>
  <si>
    <t>FUTURO</t>
  </si>
  <si>
    <t>B0100000077</t>
  </si>
  <si>
    <t>Yunen</t>
  </si>
  <si>
    <t>B0100000076</t>
  </si>
  <si>
    <t>RENACER</t>
  </si>
  <si>
    <t>B0100000078</t>
  </si>
  <si>
    <t>cta BHD-LEON</t>
  </si>
  <si>
    <t>YUNEN</t>
  </si>
  <si>
    <t>B0100000063</t>
  </si>
  <si>
    <t>B1500000159</t>
  </si>
  <si>
    <t>10-12/NOV</t>
  </si>
  <si>
    <t>B0100000079</t>
  </si>
  <si>
    <t>04/102021</t>
  </si>
  <si>
    <t>APS</t>
  </si>
  <si>
    <t>B0100000080</t>
  </si>
  <si>
    <t>B01000000081</t>
  </si>
  <si>
    <t>B0100000082</t>
  </si>
  <si>
    <t>ASEMAP</t>
  </si>
  <si>
    <t>B0100000083</t>
  </si>
  <si>
    <t>B0100000084</t>
  </si>
  <si>
    <t>B0100000085</t>
  </si>
  <si>
    <t>B0100000086</t>
  </si>
  <si>
    <t>B0100000087</t>
  </si>
  <si>
    <t>MONUMENTAL</t>
  </si>
  <si>
    <t>B0100000088</t>
  </si>
  <si>
    <t>B1500000160</t>
  </si>
  <si>
    <t>10-12/disc</t>
  </si>
  <si>
    <t>B01000000089</t>
  </si>
  <si>
    <t>B0100000090</t>
  </si>
  <si>
    <t>B0100000091</t>
  </si>
  <si>
    <t>043/112021</t>
  </si>
  <si>
    <t>RESERVAS</t>
  </si>
  <si>
    <t>B0100000092</t>
  </si>
  <si>
    <t>B1500000161</t>
  </si>
  <si>
    <t>10-12/enero</t>
  </si>
  <si>
    <t>Integral III</t>
  </si>
  <si>
    <t>B0100000093</t>
  </si>
  <si>
    <t>B0100000094</t>
  </si>
  <si>
    <t>B0100000095</t>
  </si>
  <si>
    <t>B0100000096</t>
  </si>
  <si>
    <t>B0100000097</t>
  </si>
  <si>
    <t>B1500000162</t>
  </si>
  <si>
    <t>10-12/febrero</t>
  </si>
  <si>
    <t>B0100000098</t>
  </si>
  <si>
    <t>B0100000099</t>
  </si>
  <si>
    <t>B0100000100</t>
  </si>
  <si>
    <t>B1500000163</t>
  </si>
  <si>
    <t>10-12/MARZO</t>
  </si>
  <si>
    <t>B0100000101</t>
  </si>
  <si>
    <t>B0100000102</t>
  </si>
  <si>
    <t>B0100000103</t>
  </si>
  <si>
    <t>B0100000104</t>
  </si>
  <si>
    <t>B0100000105</t>
  </si>
  <si>
    <t>META SALUD</t>
  </si>
  <si>
    <t>B0100000106</t>
  </si>
  <si>
    <t>B1500000164</t>
  </si>
  <si>
    <t>B0100000107</t>
  </si>
  <si>
    <t>B0100000108</t>
  </si>
  <si>
    <t>B0100000109</t>
  </si>
  <si>
    <t>B0100000110</t>
  </si>
  <si>
    <t>Universal</t>
  </si>
  <si>
    <t>B0100000111</t>
  </si>
  <si>
    <t>clinica integral 3</t>
  </si>
  <si>
    <t>B0100000112</t>
  </si>
  <si>
    <t>B1500000165</t>
  </si>
  <si>
    <t>10-12/mayo</t>
  </si>
  <si>
    <t>B0100000113</t>
  </si>
  <si>
    <t>B0100000114</t>
  </si>
  <si>
    <t>B0100000115</t>
  </si>
  <si>
    <t>B0100000116</t>
  </si>
  <si>
    <t>B1500000166</t>
  </si>
  <si>
    <t>10-12/JUNIO</t>
  </si>
  <si>
    <t>B0100000117</t>
  </si>
  <si>
    <t>B0100000118</t>
  </si>
  <si>
    <t>B0100000119</t>
  </si>
  <si>
    <t>B0100000120</t>
  </si>
  <si>
    <t>B0100000121</t>
  </si>
  <si>
    <t>B1500000167</t>
  </si>
  <si>
    <t>10-12/JULIO</t>
  </si>
  <si>
    <t>B0100000122</t>
  </si>
  <si>
    <t>B0100000123</t>
  </si>
  <si>
    <t>B0100000124</t>
  </si>
  <si>
    <t>B0100000125</t>
  </si>
  <si>
    <t>Futuro</t>
  </si>
  <si>
    <t>B0100000126</t>
  </si>
  <si>
    <t>Renacer</t>
  </si>
  <si>
    <t>B0100000127</t>
  </si>
  <si>
    <t>integral 3</t>
  </si>
  <si>
    <t>B0100000128</t>
  </si>
  <si>
    <t>B0100000129</t>
  </si>
  <si>
    <t>B1500000168</t>
  </si>
  <si>
    <t>B0100000130</t>
  </si>
  <si>
    <t>B0100000131</t>
  </si>
  <si>
    <t>B0100000132</t>
  </si>
  <si>
    <t>METASALUD</t>
  </si>
  <si>
    <t>B0100000133</t>
  </si>
  <si>
    <t>B0100000134</t>
  </si>
  <si>
    <t>B1500000169</t>
  </si>
  <si>
    <t>10-12/octubre</t>
  </si>
  <si>
    <t>B0100000135</t>
  </si>
  <si>
    <t>B0100000136</t>
  </si>
  <si>
    <t>se pago 19,000</t>
  </si>
  <si>
    <t>B0100000137</t>
  </si>
  <si>
    <t>B0100000138</t>
  </si>
  <si>
    <t>BANCO CENTRAL</t>
  </si>
  <si>
    <t>B1500000170</t>
  </si>
  <si>
    <t>B1500000171</t>
  </si>
  <si>
    <t>B0100000139</t>
  </si>
  <si>
    <t>B0100000140</t>
  </si>
  <si>
    <t>B0100000141</t>
  </si>
  <si>
    <t>Metasalud</t>
  </si>
  <si>
    <t>B0100000142</t>
  </si>
  <si>
    <t>B0100000143</t>
  </si>
  <si>
    <t>B0100000144</t>
  </si>
  <si>
    <t>BANCO Reservas</t>
  </si>
  <si>
    <t>B0100000145</t>
  </si>
  <si>
    <t>B0100000146</t>
  </si>
  <si>
    <t>integral III</t>
  </si>
  <si>
    <t>B0100000147</t>
  </si>
  <si>
    <t>B0100000148</t>
  </si>
  <si>
    <t>FECHA:14/9/2022</t>
  </si>
  <si>
    <t>B1500000172</t>
  </si>
  <si>
    <t>10-12/noviembre</t>
  </si>
  <si>
    <t>B0100000149</t>
  </si>
  <si>
    <t>B0100000150</t>
  </si>
  <si>
    <t>B0100000151</t>
  </si>
  <si>
    <t>B1500000173</t>
  </si>
  <si>
    <t>10-12/Diciembre</t>
  </si>
  <si>
    <t>B0100000152</t>
  </si>
  <si>
    <t>B0100000153</t>
  </si>
  <si>
    <t>B0100000154</t>
  </si>
  <si>
    <t>B0100000155</t>
  </si>
  <si>
    <t>B0100000156</t>
  </si>
  <si>
    <t>BANCO Central</t>
  </si>
  <si>
    <t>B1500000174</t>
  </si>
  <si>
    <t>Asemap</t>
  </si>
  <si>
    <t>B0100000157</t>
  </si>
  <si>
    <t>Monumantel</t>
  </si>
  <si>
    <t>B0100000158</t>
  </si>
  <si>
    <t>B0100000159</t>
  </si>
  <si>
    <t>B1500000175</t>
  </si>
  <si>
    <t>B0100000160</t>
  </si>
  <si>
    <t>B0100000161</t>
  </si>
  <si>
    <t>SEGUROS YUNEN</t>
  </si>
  <si>
    <t>B0100000162</t>
  </si>
  <si>
    <t>B1500000176</t>
  </si>
  <si>
    <t>B0100000163</t>
  </si>
  <si>
    <t>B0100000164</t>
  </si>
  <si>
    <t>B0100000165</t>
  </si>
  <si>
    <t>B0100000166</t>
  </si>
  <si>
    <t>cli integral 3</t>
  </si>
  <si>
    <t>B0100000167</t>
  </si>
  <si>
    <t>B1500000177</t>
  </si>
  <si>
    <t>10-12/marzo</t>
  </si>
  <si>
    <t>B0100000168</t>
  </si>
  <si>
    <t>B0100000169</t>
  </si>
  <si>
    <t>B0100000170</t>
  </si>
  <si>
    <t>B1500000178</t>
  </si>
  <si>
    <t>10-12/abril</t>
  </si>
  <si>
    <t>B0100000171</t>
  </si>
  <si>
    <t>B0100000172</t>
  </si>
  <si>
    <t>B0100000173</t>
  </si>
  <si>
    <t>B0100000174</t>
  </si>
  <si>
    <t>B0100000175</t>
  </si>
  <si>
    <t>B1500000179</t>
  </si>
  <si>
    <t>10-12/MAYO</t>
  </si>
  <si>
    <t>B0100000176</t>
  </si>
  <si>
    <t>Humano</t>
  </si>
  <si>
    <t>B0100000177</t>
  </si>
  <si>
    <t>Mapfre</t>
  </si>
  <si>
    <t>B0100000178</t>
  </si>
  <si>
    <t>yunen</t>
  </si>
  <si>
    <t>B0100000179</t>
  </si>
  <si>
    <t>B0100000180</t>
  </si>
  <si>
    <t>B0100000181</t>
  </si>
  <si>
    <t>B1500000180</t>
  </si>
  <si>
    <t>10-12/jinio</t>
  </si>
  <si>
    <t>B0100000182</t>
  </si>
  <si>
    <t>B0100000183</t>
  </si>
  <si>
    <t>B0100000184</t>
  </si>
  <si>
    <t>B0100000185</t>
  </si>
  <si>
    <t>B1500000181</t>
  </si>
  <si>
    <t>10-12/Julio</t>
  </si>
  <si>
    <t>B0100000186</t>
  </si>
  <si>
    <t>B0100000187</t>
  </si>
  <si>
    <t>B0100000188</t>
  </si>
  <si>
    <t>B0100000189</t>
  </si>
  <si>
    <t>B0100000190</t>
  </si>
  <si>
    <t>Fututo</t>
  </si>
  <si>
    <t>B0100000191</t>
  </si>
  <si>
    <t>B0100000192</t>
  </si>
  <si>
    <t>CMD</t>
  </si>
  <si>
    <t>B0100000193</t>
  </si>
  <si>
    <t>B0100000194</t>
  </si>
  <si>
    <t>B0100000195</t>
  </si>
  <si>
    <t>B1500000182</t>
  </si>
  <si>
    <t>10-12/agostp</t>
  </si>
  <si>
    <t>B0100000196</t>
  </si>
  <si>
    <t>B0100000197</t>
  </si>
  <si>
    <t>B0100000198</t>
  </si>
  <si>
    <t>B0100000199</t>
  </si>
  <si>
    <t>integrar III</t>
  </si>
  <si>
    <t>B0100000200</t>
  </si>
  <si>
    <t>B1500000183</t>
  </si>
  <si>
    <t>10-12/Sep</t>
  </si>
  <si>
    <t>B0100000201</t>
  </si>
  <si>
    <t>B0100000202</t>
  </si>
  <si>
    <t>B0100000203</t>
  </si>
  <si>
    <t>B0100000204</t>
  </si>
  <si>
    <t>B0100000205</t>
  </si>
  <si>
    <t>B0100000206</t>
  </si>
  <si>
    <t>B1500000184</t>
  </si>
  <si>
    <t>10-12/oct</t>
  </si>
  <si>
    <t>B0100000207</t>
  </si>
  <si>
    <t>B0100000208</t>
  </si>
  <si>
    <t>B0100000209</t>
  </si>
  <si>
    <t>B0100000210</t>
  </si>
  <si>
    <t>Monumental</t>
  </si>
  <si>
    <t>B0100000211</t>
  </si>
  <si>
    <t>B0100000212</t>
  </si>
  <si>
    <t>B1500000185</t>
  </si>
  <si>
    <t>10-12/nov</t>
  </si>
  <si>
    <t>B0100000213</t>
  </si>
  <si>
    <t>B0100000214</t>
  </si>
  <si>
    <t>B0100000215</t>
  </si>
  <si>
    <t>B0100000216</t>
  </si>
  <si>
    <t>B0100000217</t>
  </si>
  <si>
    <t>B0100000218</t>
  </si>
  <si>
    <t xml:space="preserve">senasa </t>
  </si>
  <si>
    <t>B1500000187</t>
  </si>
  <si>
    <t>Meta Salud</t>
  </si>
  <si>
    <t>B0100000219</t>
  </si>
  <si>
    <t>Semma</t>
  </si>
  <si>
    <t>B1500000186</t>
  </si>
  <si>
    <t>10-12/dic</t>
  </si>
  <si>
    <t>B1500000188</t>
  </si>
  <si>
    <t>P-Humano</t>
  </si>
  <si>
    <t>B0100000220</t>
  </si>
  <si>
    <t>B1500000189</t>
  </si>
  <si>
    <t>Mapfre Salud</t>
  </si>
  <si>
    <t>B0100000221</t>
  </si>
  <si>
    <t>B1500000190</t>
  </si>
  <si>
    <t>B0100000222</t>
  </si>
  <si>
    <t>B1500000191</t>
  </si>
  <si>
    <t>B0100000223</t>
  </si>
  <si>
    <t>meta salud</t>
  </si>
  <si>
    <t>B0100000224</t>
  </si>
  <si>
    <t>PH</t>
  </si>
  <si>
    <t>B0100000225</t>
  </si>
  <si>
    <t>B0100000226</t>
  </si>
  <si>
    <t>universal</t>
  </si>
  <si>
    <t>B0100000227</t>
  </si>
  <si>
    <t>B0100000228</t>
  </si>
  <si>
    <t>B1500000192</t>
  </si>
  <si>
    <t>B0100000232</t>
  </si>
  <si>
    <t>B0100000231</t>
  </si>
  <si>
    <t>B0100000230</t>
  </si>
  <si>
    <t>B1500000193</t>
  </si>
  <si>
    <t>B1500000194</t>
  </si>
  <si>
    <t>05/0/2024</t>
  </si>
  <si>
    <t>B0100000233</t>
  </si>
  <si>
    <t>B0100000234</t>
  </si>
  <si>
    <t>B0100000235</t>
  </si>
  <si>
    <t>B1500000195</t>
  </si>
  <si>
    <t>Nulo</t>
  </si>
  <si>
    <t>se elimino comprobante fiscar</t>
  </si>
  <si>
    <t>P-H</t>
  </si>
  <si>
    <t>B0100000236</t>
  </si>
  <si>
    <t>B0100000237</t>
  </si>
  <si>
    <t>INTEGRAL</t>
  </si>
  <si>
    <t>B0100000238</t>
  </si>
  <si>
    <t>B1500000196</t>
  </si>
  <si>
    <t>B1500000197</t>
  </si>
  <si>
    <t>B0100000239</t>
  </si>
  <si>
    <t>B0100000240</t>
  </si>
  <si>
    <t>B0100000241</t>
  </si>
  <si>
    <t>B0100000242</t>
  </si>
  <si>
    <t>B0100000243</t>
  </si>
  <si>
    <t>B0100000244</t>
  </si>
  <si>
    <t>B1500000198</t>
  </si>
  <si>
    <t>12/010/2024</t>
  </si>
  <si>
    <t>B0100000247</t>
  </si>
  <si>
    <t>B0100000246</t>
  </si>
  <si>
    <t>B0100000245</t>
  </si>
  <si>
    <t>B0100000248</t>
  </si>
  <si>
    <t>B0100000249</t>
  </si>
  <si>
    <t>B0100000250</t>
  </si>
  <si>
    <t>B1500000199</t>
  </si>
  <si>
    <t>B0100000252</t>
  </si>
  <si>
    <t>B0100000253</t>
  </si>
  <si>
    <t>(Todas)</t>
  </si>
  <si>
    <t>B0100000254</t>
  </si>
  <si>
    <t>B1500000201</t>
  </si>
  <si>
    <t>semma</t>
  </si>
  <si>
    <t>B1500000200</t>
  </si>
  <si>
    <t>Etiquetas de fila</t>
  </si>
  <si>
    <t>Suma de MONTO FACTURADO</t>
  </si>
  <si>
    <t>B0100000251</t>
  </si>
  <si>
    <t>2021</t>
  </si>
  <si>
    <t>B0100000255</t>
  </si>
  <si>
    <t>2022</t>
  </si>
  <si>
    <t>B1500000202</t>
  </si>
  <si>
    <t>2023</t>
  </si>
  <si>
    <t>B0100000256</t>
  </si>
  <si>
    <t>2024</t>
  </si>
  <si>
    <t>B0100000257</t>
  </si>
  <si>
    <t>2025</t>
  </si>
  <si>
    <t>B0100000258</t>
  </si>
  <si>
    <t>Integral 3</t>
  </si>
  <si>
    <t>B0100000259</t>
  </si>
  <si>
    <t>B1500000203</t>
  </si>
  <si>
    <t>pagada</t>
  </si>
  <si>
    <t>B0100000260</t>
  </si>
  <si>
    <t>B0100000261</t>
  </si>
  <si>
    <t>Pendiente de pago</t>
  </si>
  <si>
    <t>B1500000204</t>
  </si>
  <si>
    <t>retencion a la renta</t>
  </si>
  <si>
    <t xml:space="preserve"> B1500000205</t>
  </si>
  <si>
    <t>B0100000262</t>
  </si>
  <si>
    <t>B0100000263</t>
  </si>
  <si>
    <t xml:space="preserve"> B1500000206</t>
  </si>
  <si>
    <t>Suma de MONTO RETENIDO(RENTA)</t>
  </si>
  <si>
    <t>B0100000264</t>
  </si>
  <si>
    <t>CONSOLIDADOS DE PAGOS POR ARS</t>
  </si>
  <si>
    <t>ENCABEZADO</t>
  </si>
  <si>
    <t>FACTURA PENDIENTE POR PAGO</t>
  </si>
  <si>
    <t>FACTURA DEVUELTA</t>
  </si>
  <si>
    <t>FACTURA PAGADA</t>
  </si>
  <si>
    <t>TOTAL</t>
  </si>
  <si>
    <t>Mes de Julio-Agosto</t>
  </si>
  <si>
    <t>MES AGOSTO-SEPTIEMBRE</t>
  </si>
  <si>
    <t>MES SEPTIEMBRE-OCTUBRE 2021</t>
  </si>
  <si>
    <t>MES octubre - Noviembre 2021</t>
  </si>
  <si>
    <t>MES NOVIEMBRE -DICIEMBRE 2021</t>
  </si>
  <si>
    <t>Nuevo Año</t>
  </si>
  <si>
    <t>MES Enero 2022</t>
  </si>
  <si>
    <t>MES FEBRERO 2022</t>
  </si>
  <si>
    <t>Mes de marzo 2022</t>
  </si>
  <si>
    <t>factura mes de febrero</t>
  </si>
  <si>
    <t>Mes de Abril 2022</t>
  </si>
  <si>
    <t>MES DE MAYO 2022</t>
  </si>
  <si>
    <t>Mes de Junio 2022</t>
  </si>
  <si>
    <t>Mes de Julio 2022</t>
  </si>
  <si>
    <t>Mes de Agosto2022</t>
  </si>
  <si>
    <t>Mes de Septiembre 2022</t>
  </si>
  <si>
    <t>ahorro 15%</t>
  </si>
  <si>
    <t>A PAGAR</t>
  </si>
  <si>
    <t>Mes de Otubre 2022</t>
  </si>
  <si>
    <t>ahorros</t>
  </si>
  <si>
    <t>Mes de Noviembre 2022</t>
  </si>
  <si>
    <t>Dolares</t>
  </si>
  <si>
    <t>Mes de Diciembre 2022</t>
  </si>
  <si>
    <t>Mes de Enero 2023</t>
  </si>
  <si>
    <t>Mes de Febrero 2023</t>
  </si>
  <si>
    <t>Mes de MARZO 2023</t>
  </si>
  <si>
    <t>Mes de ABRIL 023</t>
  </si>
  <si>
    <t>Mes de Mayo 2023</t>
  </si>
  <si>
    <t>Mes de Junio 2023</t>
  </si>
  <si>
    <t>Mes de Julio 2023</t>
  </si>
  <si>
    <t>Mes de Agosto 2023</t>
  </si>
  <si>
    <t>Mes de Sept 2023</t>
  </si>
  <si>
    <t>R422DMU5NQJF43AJS6MG3K6W</t>
  </si>
  <si>
    <t>codigo de tradestation</t>
  </si>
  <si>
    <t>Mes de Octubre 2023</t>
  </si>
  <si>
    <t>Mes de Noviembre 2023</t>
  </si>
  <si>
    <t>Mes de Diciembre 2023</t>
  </si>
  <si>
    <t>Mes de Enero 2024</t>
  </si>
  <si>
    <t>Mes de febrero 2024</t>
  </si>
  <si>
    <t>Mes de abril 2024</t>
  </si>
  <si>
    <t>Mes de MAYO 2024</t>
  </si>
  <si>
    <t>Mes de Junio 2024</t>
  </si>
  <si>
    <t>NULO</t>
  </si>
  <si>
    <t>.</t>
  </si>
  <si>
    <t>Mes de Julio 2024</t>
  </si>
  <si>
    <t>Mes de Agosto 2024</t>
  </si>
  <si>
    <t>Mes de Octubre 2024</t>
  </si>
  <si>
    <t>Mes Noviembre 2024</t>
  </si>
  <si>
    <t>MesDiciembre 2024</t>
  </si>
  <si>
    <t>Mes Febrero 2025</t>
  </si>
  <si>
    <t>Mes Marzo 2025</t>
  </si>
  <si>
    <t>Mes Abril 2025</t>
  </si>
  <si>
    <t xml:space="preserve">SUELDOS Y/O HONORARIOS PRIVADOS </t>
  </si>
  <si>
    <t>Año</t>
  </si>
  <si>
    <t>Mes</t>
  </si>
  <si>
    <t>ERD</t>
  </si>
  <si>
    <t>HONORARIOS</t>
  </si>
  <si>
    <t>CONSULTAS</t>
  </si>
  <si>
    <t>TOTAL DEL MES</t>
  </si>
  <si>
    <t>Julio</t>
  </si>
  <si>
    <t>Agosto</t>
  </si>
  <si>
    <t>Septiembre</t>
  </si>
  <si>
    <t>Octubre</t>
  </si>
  <si>
    <t>Noviembre</t>
  </si>
  <si>
    <t>Diciembre</t>
  </si>
  <si>
    <t>Enero</t>
  </si>
  <si>
    <t>Febrero</t>
  </si>
  <si>
    <t>Marzo</t>
  </si>
  <si>
    <t>Abril</t>
  </si>
  <si>
    <t>Mayo</t>
  </si>
  <si>
    <t>Junio</t>
  </si>
  <si>
    <t>Columna1</t>
  </si>
  <si>
    <t>Columna2</t>
  </si>
  <si>
    <t>Proveedor</t>
  </si>
  <si>
    <t>GASTO DE PERSONAL</t>
  </si>
  <si>
    <t>00100796911</t>
  </si>
  <si>
    <t>Dr. Alejandro Soto Mendez</t>
  </si>
  <si>
    <t>GASTOS POR TRABAJOS, SUMINISTROS Y SERVICIOS</t>
  </si>
  <si>
    <t>00102420817</t>
  </si>
  <si>
    <t>Manuel de Js. Sosa Sanchez</t>
  </si>
  <si>
    <t>ARRENDAMIENTOS</t>
  </si>
  <si>
    <t>01100286119</t>
  </si>
  <si>
    <t>Lorenzo Ernesto Otaño Santiago</t>
  </si>
  <si>
    <t>GASTOS DE ACTIVOS FIJO</t>
  </si>
  <si>
    <t>401010062</t>
  </si>
  <si>
    <t>Banco de Reservas de la República Dominicana Banco de Servicios Multiples//BanReservas</t>
  </si>
  <si>
    <t>GASTOS DE REPRESENTACION</t>
  </si>
  <si>
    <t>101136792</t>
  </si>
  <si>
    <t>Banco Multiple BHD León, S. A.</t>
  </si>
  <si>
    <t>OTRAS DEDUCCIONES ADMITIDAS</t>
  </si>
  <si>
    <t>101010632</t>
  </si>
  <si>
    <t>Banco Popular Dominicano, S. A. Banco Multiple</t>
  </si>
  <si>
    <t>GASTOS FINANCIEROS</t>
  </si>
  <si>
    <t>101043598</t>
  </si>
  <si>
    <t>Banco Dominicano del Progreso, S. A.//Banco Multiple</t>
  </si>
  <si>
    <t>GASTOS EXTRAORDINARIOS</t>
  </si>
  <si>
    <t>101001577</t>
  </si>
  <si>
    <t>CLARO//CODETEL</t>
  </si>
  <si>
    <t>C.Y GTOS. QUE FORMAN PARTE DEL COSTO DE VENTA</t>
  </si>
  <si>
    <t>101821248</t>
  </si>
  <si>
    <t>EDESUR</t>
  </si>
  <si>
    <t>ADQUISICIONES DE ACTIVOS</t>
  </si>
  <si>
    <t>101502525</t>
  </si>
  <si>
    <t>Tricom, S.A.</t>
  </si>
  <si>
    <t>GASTOS DE SEGUROS</t>
  </si>
  <si>
    <t>101019921</t>
  </si>
  <si>
    <t>Centro Cuesta Nacional S.A.S.//Supermercados Nacional//Casa Cuesta//Ferretería Cuesta//JUMBO//Bebemundo</t>
  </si>
  <si>
    <t>GASTOS MENORES</t>
  </si>
  <si>
    <t>101796822</t>
  </si>
  <si>
    <t>Grupo Ramos, S. A.//Super Pola//La Sirena</t>
  </si>
  <si>
    <t>101793198</t>
  </si>
  <si>
    <t>Mercatodo S.A.S.//Supermercados La Cadena</t>
  </si>
  <si>
    <t>101602465</t>
  </si>
  <si>
    <t>Bravo, S.A.//Supermercados Bravo</t>
  </si>
  <si>
    <t>101035129</t>
  </si>
  <si>
    <t>Supermercado El Dragon de Oro S. A.</t>
  </si>
  <si>
    <t>101617871</t>
  </si>
  <si>
    <t>El Cordel S.R.L.//Supermercado La Placita</t>
  </si>
  <si>
    <t>101801875</t>
  </si>
  <si>
    <t>Pricesmart Dominicana S. A.</t>
  </si>
  <si>
    <t>101171111</t>
  </si>
  <si>
    <t>Plaza Lama, S. A.</t>
  </si>
  <si>
    <t>101532483</t>
  </si>
  <si>
    <t>Hipermercados, Ole, S. A.</t>
  </si>
  <si>
    <t>130265135</t>
  </si>
  <si>
    <t>Inversiones Inmobiliarias E &amp; D C. por A.//Supermercado Caribe</t>
  </si>
  <si>
    <t>101600225</t>
  </si>
  <si>
    <t>Comercial Gala, S.R.L. / Supermercado Gala</t>
  </si>
  <si>
    <t>102000476</t>
  </si>
  <si>
    <t>Daniel Espinal C. por A.//Farmax</t>
  </si>
  <si>
    <t>101040302</t>
  </si>
  <si>
    <t>Farmaco Quimica Nacional, S.A.//Farmaconal</t>
  </si>
  <si>
    <t>101871865</t>
  </si>
  <si>
    <t>Grupo Carol, S. A.//Farmacia Carol</t>
  </si>
  <si>
    <t>130064423</t>
  </si>
  <si>
    <t>Farmacía Medicar GBC, A. H.</t>
  </si>
  <si>
    <t>101053089</t>
  </si>
  <si>
    <t>Los Hidalgos, S.A.S.</t>
  </si>
  <si>
    <t>101011612</t>
  </si>
  <si>
    <t>Oscar A. Renta Negron , S. A.</t>
  </si>
  <si>
    <t>101783044</t>
  </si>
  <si>
    <t>Farmacia Romaplex, S.R.L.</t>
  </si>
  <si>
    <t>130775761</t>
  </si>
  <si>
    <t>Farmacia Extra, S.R.L.</t>
  </si>
  <si>
    <t>101864427</t>
  </si>
  <si>
    <t>ARS Humano</t>
  </si>
  <si>
    <t>101009918</t>
  </si>
  <si>
    <t>Ferreteria Americana, S.A.S.</t>
  </si>
  <si>
    <t>101005831</t>
  </si>
  <si>
    <t>La Innovacion, S.R.L.</t>
  </si>
  <si>
    <t>102000077</t>
  </si>
  <si>
    <t>Antonio P. Hache &amp; Co., S.A.S.</t>
  </si>
  <si>
    <t>101013834</t>
  </si>
  <si>
    <t>Almacenes Unidos, S.A.S.</t>
  </si>
  <si>
    <t>130218935</t>
  </si>
  <si>
    <t>Asogadom S.R.L.</t>
  </si>
  <si>
    <t>101525012</t>
  </si>
  <si>
    <t>Administracion de Estaciones de Servicios S.A.S.</t>
  </si>
  <si>
    <t>130083916</t>
  </si>
  <si>
    <t>Estacion de Servicios Arroyo Hondo S.R.L.</t>
  </si>
  <si>
    <t>130192731</t>
  </si>
  <si>
    <t>Sunix Petroleum S R L</t>
  </si>
  <si>
    <t>130785155</t>
  </si>
  <si>
    <t>Operadora de Estaciones de Servicio A L Dominicana S.R.L.</t>
  </si>
  <si>
    <t>130045763</t>
  </si>
  <si>
    <t>Star Services, C x A.</t>
  </si>
  <si>
    <t>101631742</t>
  </si>
  <si>
    <t>Automarket Limited, C. por A.//Estación ESSO - La Lira</t>
  </si>
  <si>
    <t>101767766</t>
  </si>
  <si>
    <t>Estación ESSO El Millón</t>
  </si>
  <si>
    <t>101578653</t>
  </si>
  <si>
    <t>Lubri- Auto S R L</t>
  </si>
  <si>
    <t>101820896</t>
  </si>
  <si>
    <t>Lavacar, S.R.L.</t>
  </si>
  <si>
    <t>101789433</t>
  </si>
  <si>
    <t>Super Estación Esso On the Boulevard, S. A.</t>
  </si>
  <si>
    <t>101799064</t>
  </si>
  <si>
    <t>Estación Combustible Atlantica</t>
  </si>
  <si>
    <t>101008172</t>
  </si>
  <si>
    <t>Isla Dominicana de Petroleo, Corp.</t>
  </si>
  <si>
    <t>101830719</t>
  </si>
  <si>
    <t>Estacion de Servicios H. E. Nuevo Milenio</t>
  </si>
  <si>
    <t>101055571</t>
  </si>
  <si>
    <t>Magna Motors, S. A.</t>
  </si>
  <si>
    <t>130853665</t>
  </si>
  <si>
    <t>Princity, etc..</t>
  </si>
  <si>
    <t>130214298</t>
  </si>
  <si>
    <t>Mister Copy &amp; Design S.R.L.</t>
  </si>
  <si>
    <t>101001402</t>
  </si>
  <si>
    <t>Papeleria CCC</t>
  </si>
  <si>
    <t>101743123</t>
  </si>
  <si>
    <t>Copi Centro Diall S A</t>
  </si>
  <si>
    <t>101013761</t>
  </si>
  <si>
    <t>Disesa</t>
  </si>
  <si>
    <t>101162058</t>
  </si>
  <si>
    <t>Logomarca S. A.</t>
  </si>
  <si>
    <t>130058032</t>
  </si>
  <si>
    <t>Papelería Dumé Naco</t>
  </si>
  <si>
    <t>101637854</t>
  </si>
  <si>
    <t>Mercería Dumé, S. A.</t>
  </si>
  <si>
    <t>101103957</t>
  </si>
  <si>
    <t>Industrias Ibarra/Ibarra Party</t>
  </si>
  <si>
    <t>130570592</t>
  </si>
  <si>
    <t>Grupo Astro S.R.L.</t>
  </si>
  <si>
    <t>101889561</t>
  </si>
  <si>
    <t>Grabo Estilo, C. por A.</t>
  </si>
  <si>
    <t>101619262</t>
  </si>
  <si>
    <t>Omnimedia S. A.</t>
  </si>
  <si>
    <t>101031948</t>
  </si>
  <si>
    <t>La Francesa Repostería y Panadería S.R.L.</t>
  </si>
  <si>
    <t>130174393</t>
  </si>
  <si>
    <t>Patisserie La Libanesa C por A.</t>
  </si>
  <si>
    <t>101069392</t>
  </si>
  <si>
    <t>Bona S. A.//Pizzarelli</t>
  </si>
  <si>
    <t>101630932</t>
  </si>
  <si>
    <t>France Croissant S R L</t>
  </si>
  <si>
    <t>101808152</t>
  </si>
  <si>
    <t>De La Casa Pastelería S. A.</t>
  </si>
  <si>
    <t>00112085329</t>
  </si>
  <si>
    <t>Antonio Lopez Rodriguez/Españolería</t>
  </si>
  <si>
    <t>122017951</t>
  </si>
  <si>
    <t>Franpovi, S. A, / Pollos Victorina</t>
  </si>
  <si>
    <t>130808848</t>
  </si>
  <si>
    <t>WOK Cocina Asiatica S.R.L.</t>
  </si>
  <si>
    <t>130414661</t>
  </si>
  <si>
    <t>DOMINSPEC S A/Krispy Kream</t>
  </si>
  <si>
    <t>130167877</t>
  </si>
  <si>
    <t>El Agave Restaurant Bar &amp; Grill, S. A.</t>
  </si>
  <si>
    <t>101568224</t>
  </si>
  <si>
    <t>Concesiones y Servicios, S. A. / Burger King</t>
  </si>
  <si>
    <t>101004411</t>
  </si>
  <si>
    <t>Pasteurizadora Rica, S. A.</t>
  </si>
  <si>
    <t>101175885</t>
  </si>
  <si>
    <t>Cerdo Centro</t>
  </si>
  <si>
    <t>130246491</t>
  </si>
  <si>
    <t>Raya Food Dominicana,S.R.L.//Wendys</t>
  </si>
  <si>
    <t>101570611</t>
  </si>
  <si>
    <t>Pala Pizza, S.R.L.</t>
  </si>
  <si>
    <t>101662158</t>
  </si>
  <si>
    <t>La Boulangerie, C x A.</t>
  </si>
  <si>
    <t>101744928</t>
  </si>
  <si>
    <t>Expreso de Jade/Galeria 360</t>
  </si>
  <si>
    <t>101719265</t>
  </si>
  <si>
    <t>Mc Donalds Los Pinos</t>
  </si>
  <si>
    <t>101875798</t>
  </si>
  <si>
    <t>La Cuchara de Madera Pastelería</t>
  </si>
  <si>
    <t>101733659</t>
  </si>
  <si>
    <t>La Casa de las Paellas</t>
  </si>
  <si>
    <t>124003091</t>
  </si>
  <si>
    <t>Kentucky Foods Group Limited//KFC</t>
  </si>
  <si>
    <t>130471533</t>
  </si>
  <si>
    <t>Inversiones Linfardo, S.A./Chef Pepper</t>
  </si>
  <si>
    <t>130635277</t>
  </si>
  <si>
    <t>Provocon 4to.</t>
  </si>
  <si>
    <t>130299188</t>
  </si>
  <si>
    <t>La Dolcerie de Natalia</t>
  </si>
  <si>
    <t>101664584</t>
  </si>
  <si>
    <t>Ruta de la Lincoln//Lincoln Road</t>
  </si>
  <si>
    <t>130501467</t>
  </si>
  <si>
    <t>Lobarnechea Food Investment, S.R.L./Quiznos</t>
  </si>
  <si>
    <t>101658347</t>
  </si>
  <si>
    <t>Bell Dominicana, S. A.//Tacos Bell</t>
  </si>
  <si>
    <t>130403899</t>
  </si>
  <si>
    <t>Sarton Dominicana, S. A./IKEA Santo Domingo</t>
  </si>
  <si>
    <t>130848661</t>
  </si>
  <si>
    <t>Franquicias del Atlantico, S.R.L.//Casa Ideas</t>
  </si>
  <si>
    <t>101001151</t>
  </si>
  <si>
    <t>Celso Perez, C. por A.</t>
  </si>
  <si>
    <t>101039574</t>
  </si>
  <si>
    <t>Almacenes SEMA, C. x A.</t>
  </si>
  <si>
    <t>101822635</t>
  </si>
  <si>
    <t>MS Enterprises C. por A.</t>
  </si>
  <si>
    <t>101175852</t>
  </si>
  <si>
    <t>Orquideas Santo Domingo, S.R.L.</t>
  </si>
  <si>
    <t>00108954447</t>
  </si>
  <si>
    <t>Jardín Constanza</t>
  </si>
  <si>
    <t>101577983</t>
  </si>
  <si>
    <t>Encajes La Rosario, S.R.L.</t>
  </si>
  <si>
    <t>101739274</t>
  </si>
  <si>
    <t>Casa Luam, S. A.</t>
  </si>
  <si>
    <t>130652562</t>
  </si>
  <si>
    <t>Dignas Bodas &amp; Cumpleaños</t>
  </si>
  <si>
    <t>124003156</t>
  </si>
  <si>
    <t>KB Importadora, S.R.L.</t>
  </si>
  <si>
    <t>101137002</t>
  </si>
  <si>
    <t>Prin SAS</t>
  </si>
  <si>
    <t>101863528</t>
  </si>
  <si>
    <t>Payless Shoesource</t>
  </si>
  <si>
    <t>101553405</t>
  </si>
  <si>
    <t>Casa Mora</t>
  </si>
  <si>
    <t>101668695</t>
  </si>
  <si>
    <t>Business Mail, S.A.</t>
  </si>
  <si>
    <t>130745765</t>
  </si>
  <si>
    <t>Bisumanía, S.R.L.</t>
  </si>
  <si>
    <t>101884231</t>
  </si>
  <si>
    <t>Accessorymanía, S. A.</t>
  </si>
  <si>
    <t>130889432</t>
  </si>
  <si>
    <t>PHOENIX PFS SRL/Parfois</t>
  </si>
  <si>
    <t>101113197</t>
  </si>
  <si>
    <t>Tiendas La Nacional, S. A./Home Gallery</t>
  </si>
  <si>
    <t>101078022</t>
  </si>
  <si>
    <t>Alfredo Comercial &amp; Co, S.R.L.</t>
  </si>
  <si>
    <t>101871695</t>
  </si>
  <si>
    <t>Inversiones Lucayas S.A.S.//Zara</t>
  </si>
  <si>
    <t>130593515</t>
  </si>
  <si>
    <t>Accessory Stop, S.R.L.</t>
  </si>
  <si>
    <t>101003693</t>
  </si>
  <si>
    <t>Distribuidora Corripio, S.A.S.</t>
  </si>
  <si>
    <t>130571791</t>
  </si>
  <si>
    <t>Turey Agroindustrial, S.R.L.</t>
  </si>
  <si>
    <t>130791279</t>
  </si>
  <si>
    <t>Medlatin Dominicana, E.I.R.L.</t>
  </si>
  <si>
    <t>101088222</t>
  </si>
  <si>
    <t>Antonio Chahin M., S.A.//Anthony s</t>
  </si>
  <si>
    <t>101819103</t>
  </si>
  <si>
    <t>Centro EXPLORA de Educación Inicial, S.R.L.</t>
  </si>
  <si>
    <t>Jaime Velez Bello</t>
  </si>
  <si>
    <t>00101133635</t>
  </si>
  <si>
    <t>Hector Antonio Pereyra Espaillat//Pereyra Espaillat &amp; Asocs.</t>
  </si>
  <si>
    <t>07300002750</t>
  </si>
  <si>
    <t>Maura Minaya</t>
  </si>
  <si>
    <t>00101974616</t>
  </si>
  <si>
    <t>Jenifer Duarte</t>
  </si>
  <si>
    <t>00000000001</t>
  </si>
  <si>
    <t>Bibiana Perez</t>
  </si>
  <si>
    <t>00000000002</t>
  </si>
  <si>
    <t>Delmaris Ramirez</t>
  </si>
  <si>
    <t>00000000003</t>
  </si>
  <si>
    <t>Dra. Martinez</t>
  </si>
  <si>
    <t>00000000004</t>
  </si>
  <si>
    <t>Mildred Jimenez</t>
  </si>
  <si>
    <t>00000000005</t>
  </si>
  <si>
    <t>Natalia Montero</t>
  </si>
  <si>
    <t>130777871</t>
  </si>
  <si>
    <t>Farmaland, S.R.L.</t>
  </si>
  <si>
    <t>101605391</t>
  </si>
  <si>
    <t>Hizpizza, S.R.L./Domino s Pizza</t>
  </si>
  <si>
    <t>130060304</t>
  </si>
  <si>
    <t>Tapas de Plata, S.R.L.</t>
  </si>
  <si>
    <t>130950946</t>
  </si>
  <si>
    <t>Farmacia del Parque, S.R.L.</t>
  </si>
  <si>
    <t>130934525</t>
  </si>
  <si>
    <t>Electromex, S.R.L.</t>
  </si>
  <si>
    <t>101555815</t>
  </si>
  <si>
    <t>Narex, S.A.//Pizza Hut</t>
  </si>
  <si>
    <t>130183742</t>
  </si>
  <si>
    <t>Inversiones Dabor, S.R.L.</t>
  </si>
  <si>
    <t>122009452</t>
  </si>
  <si>
    <t>Lucami, C. por A.</t>
  </si>
  <si>
    <t>131057713</t>
  </si>
  <si>
    <t>Liramed, S.R.L.</t>
  </si>
  <si>
    <t>101099161</t>
  </si>
  <si>
    <t>Amable Aristy Castro, S.R.L.</t>
  </si>
  <si>
    <t>101115793</t>
  </si>
  <si>
    <t>Repuestos Dat-Colt, C. por A.</t>
  </si>
  <si>
    <t>130349479</t>
  </si>
  <si>
    <t>Bar Restaurant La Tabara</t>
  </si>
  <si>
    <t>131026494</t>
  </si>
  <si>
    <t>Inversiones KCMM, E.I.R.L.</t>
  </si>
  <si>
    <t>130266603</t>
  </si>
  <si>
    <t>Drink 2 Go, S.A.</t>
  </si>
  <si>
    <t>101874155</t>
  </si>
  <si>
    <t>M Nuclear, S.R.L.</t>
  </si>
  <si>
    <t>130194491</t>
  </si>
  <si>
    <t>Inversiones Blumaro, S.R.L.</t>
  </si>
  <si>
    <t>102621381</t>
  </si>
  <si>
    <t>Optimo Gas, S.A.</t>
  </si>
  <si>
    <t>101831936</t>
  </si>
  <si>
    <t>Distribuidores Internacionales de Petroleo, S.A.</t>
  </si>
  <si>
    <t>124018722</t>
  </si>
  <si>
    <t>Cafer, S.A.</t>
  </si>
  <si>
    <t>130360219</t>
  </si>
  <si>
    <t>Inversiones Kayud, S.R.L.</t>
  </si>
  <si>
    <t>130494959</t>
  </si>
  <si>
    <t>Beachside Investments, S.A.</t>
  </si>
  <si>
    <t>124001978</t>
  </si>
  <si>
    <t>Operadora de Servicios Alimenticios LM, S.R.L.</t>
  </si>
  <si>
    <t>130728722</t>
  </si>
  <si>
    <t>Servicios Técnicos y de Recursos Humanos Avanzados 4V, S.R.L.</t>
  </si>
  <si>
    <t>130770727</t>
  </si>
  <si>
    <t>DTC Albere &amp; Asociados, S.R.L.</t>
  </si>
  <si>
    <t>122014195</t>
  </si>
  <si>
    <t>Mesón Iberia, S.R.L.</t>
  </si>
  <si>
    <t>101128542</t>
  </si>
  <si>
    <t>Referencia Laboratorio Clinico, S.A.</t>
  </si>
  <si>
    <t>401033941</t>
  </si>
  <si>
    <t>Instituto de Ayuda al Sordo Santa Rosa Inc.</t>
  </si>
  <si>
    <t>130774341</t>
  </si>
  <si>
    <t>TCD Beauty Salón &amp; Supply, S.R.L.</t>
  </si>
  <si>
    <t>101192895</t>
  </si>
  <si>
    <t>Almacenes Orientales, C. POR A.//El Canal</t>
  </si>
  <si>
    <t>101028645</t>
  </si>
  <si>
    <t>Wometco Dominicana, S.A.S.</t>
  </si>
  <si>
    <t>401019051</t>
  </si>
  <si>
    <t>Colegio Serafín de Asís</t>
  </si>
  <si>
    <t>130720649</t>
  </si>
  <si>
    <t>More Than Bread VF, S.R.L.</t>
  </si>
  <si>
    <t>124011736</t>
  </si>
  <si>
    <t>La Boutique del Médico, S.R.L.</t>
  </si>
  <si>
    <t>130069591</t>
  </si>
  <si>
    <t>Pastrys Repostería y Servicio de Catering, S.R.L.</t>
  </si>
  <si>
    <t>102006067</t>
  </si>
  <si>
    <t>Librería Lendoiro S.A.S.</t>
  </si>
  <si>
    <t>101619074</t>
  </si>
  <si>
    <t>Farmacia Alicia, S.R.L.</t>
  </si>
  <si>
    <t>130557845</t>
  </si>
  <si>
    <t>International Meal Company DR, S.R.L.</t>
  </si>
  <si>
    <t>101660635</t>
  </si>
  <si>
    <t>Diagnosticos Médicos Siglo XXL</t>
  </si>
  <si>
    <t>101640014</t>
  </si>
  <si>
    <t>Sarraff &amp; Co., S.R.L.</t>
  </si>
  <si>
    <t>122001085</t>
  </si>
  <si>
    <t>Centro de Frenos David, C. por A.</t>
  </si>
  <si>
    <t>101865431</t>
  </si>
  <si>
    <t>Conformatic, S.R.L.</t>
  </si>
  <si>
    <t>101638001</t>
  </si>
  <si>
    <t>H B Confecciones, E.I.R.L.</t>
  </si>
  <si>
    <t>130539987</t>
  </si>
  <si>
    <t>Jardín Constanza, S.R.L.</t>
  </si>
  <si>
    <t>00113132674</t>
  </si>
  <si>
    <t>Francisco Rivera Ramirez</t>
  </si>
  <si>
    <t>101019433</t>
  </si>
  <si>
    <t>Grupo Cometa, S.A.S.</t>
  </si>
  <si>
    <t>101204648</t>
  </si>
  <si>
    <t>Centro Médico Dominicano</t>
  </si>
  <si>
    <t>101508051</t>
  </si>
  <si>
    <t>Cerarte, S.A.</t>
  </si>
  <si>
    <t>02301153413</t>
  </si>
  <si>
    <t>David de los Santos Aquino</t>
  </si>
  <si>
    <t>101081945</t>
  </si>
  <si>
    <t>González &amp; Stefan, S.R.L.</t>
  </si>
  <si>
    <t>101030186</t>
  </si>
  <si>
    <t>Optica Lopez, S.R.L.</t>
  </si>
  <si>
    <t>130971528</t>
  </si>
  <si>
    <t>Comercializadora Ancorage, S.A.S.</t>
  </si>
  <si>
    <t>101142316</t>
  </si>
  <si>
    <t>A.T. Internacional, S.R.L.</t>
  </si>
  <si>
    <t>130285942</t>
  </si>
  <si>
    <t>Borda 2, S.R.L.</t>
  </si>
  <si>
    <t>101618787</t>
  </si>
  <si>
    <t>Altice Hispaniola, S.A.</t>
  </si>
  <si>
    <t>101751436</t>
  </si>
  <si>
    <t>Stylus Joyería y Relojería, S.A.</t>
  </si>
  <si>
    <t>101163283</t>
  </si>
  <si>
    <t>Ferreteria Colón, S.R.L.</t>
  </si>
  <si>
    <t>130818886</t>
  </si>
  <si>
    <t>Braca Breast Care Center, S.R.L.</t>
  </si>
  <si>
    <t>101807199</t>
  </si>
  <si>
    <t>Autocentro Navarro, C. por A.</t>
  </si>
  <si>
    <t>130046115</t>
  </si>
  <si>
    <t>Farmacia Deya, S.R.L.</t>
  </si>
  <si>
    <t>101704659</t>
  </si>
  <si>
    <t>David Crockett Dominicana, S.A./David Crocket Grill Restaurant</t>
  </si>
  <si>
    <t>130675651</t>
  </si>
  <si>
    <t>Servicios Namocari. S.R.L.</t>
  </si>
  <si>
    <t>131164579</t>
  </si>
  <si>
    <t>Tapitextil, S.R.L.</t>
  </si>
  <si>
    <t>130027498</t>
  </si>
  <si>
    <t>Estacion Bella Norte S.R.L.</t>
  </si>
  <si>
    <t>117011481</t>
  </si>
  <si>
    <t>Sucre A. Arias Valera, S.R.L.</t>
  </si>
  <si>
    <t>130650551</t>
  </si>
  <si>
    <t>Delgado Dini &amp; Asociados S.R.L.</t>
  </si>
  <si>
    <t>117011546</t>
  </si>
  <si>
    <t>Feliz Ruiz &amp; Co. S.R.L.</t>
  </si>
  <si>
    <t>122019642</t>
  </si>
  <si>
    <t>Farmacia Yamila S.R.L.</t>
  </si>
  <si>
    <t>101774967</t>
  </si>
  <si>
    <t>Inversiones Torres Serrata S.R.L.</t>
  </si>
  <si>
    <t>02800095008</t>
  </si>
  <si>
    <t>Santiago Alberto Rodriguez Cuesto</t>
  </si>
  <si>
    <t>131022294</t>
  </si>
  <si>
    <t>Estacion de Servicios El Acordeon S.R.L.</t>
  </si>
  <si>
    <t>05600717762</t>
  </si>
  <si>
    <t>Ana María Quisqueya Arias Perez//Ideas Graficas AYV</t>
  </si>
  <si>
    <t>130052336</t>
  </si>
  <si>
    <t>Grupo Alterra, S.R.L.</t>
  </si>
  <si>
    <t>130872783</t>
  </si>
  <si>
    <t>Delicias Alma, S.R.L.</t>
  </si>
  <si>
    <t>101855541</t>
  </si>
  <si>
    <t>D Luis Parrillada C. por A.</t>
  </si>
  <si>
    <t>130889937</t>
  </si>
  <si>
    <t>Phoenix ZPY, S.R.L.</t>
  </si>
  <si>
    <t>130695407</t>
  </si>
  <si>
    <t>OD Dominicana Corp.</t>
  </si>
  <si>
    <t>130641412</t>
  </si>
  <si>
    <t>Francisco Antonio Estevez De León/Estación TEXACO</t>
  </si>
  <si>
    <t>Administración de Estaciones de Servicios, S.A.S.</t>
  </si>
  <si>
    <t>101156562</t>
  </si>
  <si>
    <t>Hector V Valenzuela CxA</t>
  </si>
  <si>
    <t>130025177</t>
  </si>
  <si>
    <t>Moruno, S.R.L.</t>
  </si>
  <si>
    <t>130798397</t>
  </si>
  <si>
    <t>Fresco del Horno, S.R.L.</t>
  </si>
  <si>
    <t>101151889</t>
  </si>
  <si>
    <t>De Dios Jimenez, S.R.L.</t>
  </si>
  <si>
    <t>101588561</t>
  </si>
  <si>
    <t>Ferreteria CIMA, S.R.L.</t>
  </si>
  <si>
    <t>101597811</t>
  </si>
  <si>
    <t>Medi-equipos, S.R.L.</t>
  </si>
  <si>
    <t>101090294</t>
  </si>
  <si>
    <t>Diagnostica, S.A.</t>
  </si>
  <si>
    <t>130605661</t>
  </si>
  <si>
    <t>Luis Maximo Jacobo Armach</t>
  </si>
  <si>
    <t>105080214</t>
  </si>
  <si>
    <t>Caribbean Concession Services, S.R.L.</t>
  </si>
  <si>
    <t>130256128</t>
  </si>
  <si>
    <t>Wildfire Investments, S.R.L.</t>
  </si>
  <si>
    <t>101519292</t>
  </si>
  <si>
    <t>Estación Gasolinera Marino Done, S.R.L.</t>
  </si>
  <si>
    <t>130794987</t>
  </si>
  <si>
    <t>Strata, S.R.L.</t>
  </si>
  <si>
    <t>131147976</t>
  </si>
  <si>
    <t>Lamarche S Carnes, S.R.L.</t>
  </si>
  <si>
    <t>130056358</t>
  </si>
  <si>
    <t>Gastronomia Mexicana, S.R.L.</t>
  </si>
  <si>
    <t>00101424463</t>
  </si>
  <si>
    <t>Mirna Delfia Roselin Hernandez de la Rosa</t>
  </si>
  <si>
    <t>124010543</t>
  </si>
  <si>
    <t>Farmacia Tania, S.R.L.</t>
  </si>
  <si>
    <t>00117933937</t>
  </si>
  <si>
    <t>John Fredy Ramirez Gomez//Inksumi</t>
  </si>
  <si>
    <t>01000165868</t>
  </si>
  <si>
    <t>Rafael Argelio Peña Matos/Estación TEXACO</t>
  </si>
  <si>
    <t>130894035</t>
  </si>
  <si>
    <t>Dandelion, S.R.L.</t>
  </si>
  <si>
    <t>130389586</t>
  </si>
  <si>
    <t>Jade Teriyaki, S.A.</t>
  </si>
  <si>
    <t>101751657</t>
  </si>
  <si>
    <t>Librería y Papelería Hermanos Solano, S.R.L.</t>
  </si>
  <si>
    <t>101697271</t>
  </si>
  <si>
    <t>Petromovil, S.A.</t>
  </si>
  <si>
    <t>130075565</t>
  </si>
  <si>
    <t>A Ortiz, S.R.L.</t>
  </si>
  <si>
    <t>131163041</t>
  </si>
  <si>
    <t>Dominican Food Investments, S.A.</t>
  </si>
  <si>
    <t>101175931</t>
  </si>
  <si>
    <t>Anthuriana Dominicana, S.R.L.</t>
  </si>
  <si>
    <t>401004178</t>
  </si>
  <si>
    <t>Instituto Cultural Dominico-Americano</t>
  </si>
  <si>
    <t>131007732</t>
  </si>
  <si>
    <t>Comercial Cabeza, S.R.L.</t>
  </si>
  <si>
    <t>130158282</t>
  </si>
  <si>
    <t>Importadora Dominicana de Ceramica, S.R.L.</t>
  </si>
  <si>
    <t>101799986</t>
  </si>
  <si>
    <t>El Bodegón de la Ceramica, S.R.L.</t>
  </si>
  <si>
    <t>101653264</t>
  </si>
  <si>
    <t>Pasteleria del Jardín, S.R.L.</t>
  </si>
  <si>
    <t>130764591</t>
  </si>
  <si>
    <t>R N E E, S.R.L.</t>
  </si>
  <si>
    <t>130730091</t>
  </si>
  <si>
    <t>DNE CORP, S.R.L.</t>
  </si>
  <si>
    <t>101068744</t>
  </si>
  <si>
    <t>V Energy, S.A.</t>
  </si>
  <si>
    <t>131020712</t>
  </si>
  <si>
    <t>E C Sabroso, E.I.R.L.</t>
  </si>
  <si>
    <t>131200362</t>
  </si>
  <si>
    <t>Asadero del Parque, S.R.L.</t>
  </si>
  <si>
    <t>130065871</t>
  </si>
  <si>
    <t>Inversiones Bruselas, S.R.L.//Hard Rock</t>
  </si>
  <si>
    <t>130689164</t>
  </si>
  <si>
    <t>Sigma Petroleum Corp, S.R.L.</t>
  </si>
  <si>
    <t>101627336</t>
  </si>
  <si>
    <t>Heladom, S.R.L./Basking Robbins</t>
  </si>
  <si>
    <t>101000414</t>
  </si>
  <si>
    <t>Andrés Dauhajre, S.A.//La Novia de Villa</t>
  </si>
  <si>
    <t>124003458</t>
  </si>
  <si>
    <t>Atracciones el Lago, S.R.L.</t>
  </si>
  <si>
    <t>130945934</t>
  </si>
  <si>
    <t>R y D Suplidores, S.R.L.</t>
  </si>
  <si>
    <t>101018941</t>
  </si>
  <si>
    <t>Bonanza Dominicana, S.A.S.</t>
  </si>
  <si>
    <t>101671807</t>
  </si>
  <si>
    <t>Cabañas de la Montaña A.C., S.A.</t>
  </si>
  <si>
    <t>130066183</t>
  </si>
  <si>
    <t>Cresa Santo Domingo, S.R.L.</t>
  </si>
  <si>
    <t>130874573</t>
  </si>
  <si>
    <t>Kleding J H Uniformes Institucionales, S.R.L.</t>
  </si>
  <si>
    <t>101150612</t>
  </si>
  <si>
    <t>Vitasalud, S.R.L.</t>
  </si>
  <si>
    <t>101781302</t>
  </si>
  <si>
    <t>Promotora RDC, S.R.L.</t>
  </si>
  <si>
    <t>131334415</t>
  </si>
  <si>
    <t>Petroleo y sus Derivados Fermín Curiel, S.R.L.</t>
  </si>
  <si>
    <t>101668492</t>
  </si>
  <si>
    <t>Cardigas, S.R.L.</t>
  </si>
  <si>
    <t>130344932</t>
  </si>
  <si>
    <t>Valenzuela Mateo Comercial, S.R.L.</t>
  </si>
  <si>
    <t>130878587</t>
  </si>
  <si>
    <t>B2M, S.R.L.</t>
  </si>
  <si>
    <t>00112263355</t>
  </si>
  <si>
    <t>Antonio Benitez Camporro</t>
  </si>
  <si>
    <t>130752771</t>
  </si>
  <si>
    <t>Empastelo, S.R.L.</t>
  </si>
  <si>
    <t>130338159</t>
  </si>
  <si>
    <t>Laboratorio de Referencia de Anatomía Patología y Especialidades,  S.A.</t>
  </si>
  <si>
    <t>131273612</t>
  </si>
  <si>
    <t>Three Wishes, S.R.L.</t>
  </si>
  <si>
    <t>101854693</t>
  </si>
  <si>
    <t>Grupo PYV, S.R.L.</t>
  </si>
  <si>
    <t>101004551</t>
  </si>
  <si>
    <t>Parque Comercial Freixas, S.R.L.</t>
  </si>
  <si>
    <t>101672137</t>
  </si>
  <si>
    <t>Climica Odontologica Oraldent Dominicana, S.R.L.</t>
  </si>
  <si>
    <t>131090508</t>
  </si>
  <si>
    <t>LB La Canasta del Pueblo, S.R.L.</t>
  </si>
  <si>
    <t>131232728</t>
  </si>
  <si>
    <t>Blue WI SDQ, S.R.L.</t>
  </si>
  <si>
    <t>00101577021</t>
  </si>
  <si>
    <t>María Antonia Rosario Mejía//Centro Educativo El Millón</t>
  </si>
  <si>
    <t>130528251</t>
  </si>
  <si>
    <t>Inverlogic, S.R.L.</t>
  </si>
  <si>
    <t>112107388</t>
  </si>
  <si>
    <t>D Melanea Comercial, S.R.L.</t>
  </si>
  <si>
    <t>101594292</t>
  </si>
  <si>
    <t>Deli Bely, S.R.L.</t>
  </si>
  <si>
    <t>130341397</t>
  </si>
  <si>
    <t>Centro Veterinario Hollywoof, S.R.L.</t>
  </si>
  <si>
    <t>131349099</t>
  </si>
  <si>
    <t>GP GAZ Plus, S.R.L.</t>
  </si>
  <si>
    <t>124004993</t>
  </si>
  <si>
    <t>BUNNIES, S.A.</t>
  </si>
  <si>
    <t>131311751</t>
  </si>
  <si>
    <t>Pasión Kafe &amp; Kacao, S.R.L.//La Locanda Nuñez</t>
  </si>
  <si>
    <t>101001588</t>
  </si>
  <si>
    <t>NO APARECE</t>
  </si>
  <si>
    <t>130985898</t>
  </si>
  <si>
    <t>Zucca Catering y Servicios, S.R.L.</t>
  </si>
  <si>
    <t>131254731</t>
  </si>
  <si>
    <t>Restaurant &amp; Drink Food to Chare. S.R.L.</t>
  </si>
  <si>
    <t>124019117</t>
  </si>
  <si>
    <t>V I P Multiplex Plaza, S.A.</t>
  </si>
  <si>
    <t>430094811</t>
  </si>
  <si>
    <t>Hospital Docente Universiario Feliz María Goico</t>
  </si>
  <si>
    <t>130925658</t>
  </si>
  <si>
    <t>CARIBBEAN FASHION TRENDS CFT SRL</t>
  </si>
  <si>
    <t>130949222</t>
  </si>
  <si>
    <t>MASTER BRANDS MB SRL</t>
  </si>
  <si>
    <t>131369537</t>
  </si>
  <si>
    <t>INVERSIONES DESUCRE SRL</t>
  </si>
  <si>
    <t>130554307</t>
  </si>
  <si>
    <t>AUTO SERVICIOS LA GOMA SRL</t>
  </si>
  <si>
    <t>131369529</t>
  </si>
  <si>
    <t>INVERSIONES CORIANDER SRL</t>
  </si>
  <si>
    <t>130984034</t>
  </si>
  <si>
    <t>Priyanka Administradora de Restaurantes, S.R.L./Restaurant Tony Roma s</t>
  </si>
  <si>
    <t>130276498</t>
  </si>
  <si>
    <t>CENTRO DE SERVICIOS AUTOMAX SRL</t>
  </si>
  <si>
    <t>131371231</t>
  </si>
  <si>
    <t>AVEX CORPORATION SRL</t>
  </si>
  <si>
    <t>131204262</t>
  </si>
  <si>
    <t>SELVATICA PET STORE SRL</t>
  </si>
  <si>
    <t>130892385</t>
  </si>
  <si>
    <t>CELL TEST ARC INTERNATIONAL SRL</t>
  </si>
  <si>
    <t>130714312</t>
  </si>
  <si>
    <t>FIFI POSTRES CASEROS SRL</t>
  </si>
  <si>
    <t>130600368</t>
  </si>
  <si>
    <t>LOURDES ASJANA MAREWA</t>
  </si>
  <si>
    <t>130482594</t>
  </si>
  <si>
    <t>INVERSIONES SOL DE MAYO SRL</t>
  </si>
  <si>
    <t>131260594</t>
  </si>
  <si>
    <t>PROVOSERVICIOS SRL</t>
  </si>
  <si>
    <t>131168701</t>
  </si>
  <si>
    <t>DNEP &amp; L SERVICES SRL</t>
  </si>
  <si>
    <t>130643822</t>
  </si>
  <si>
    <t>HELADERIA LAS PRADERAS &amp; ALGO MAS EIRL</t>
  </si>
  <si>
    <t>131307787</t>
  </si>
  <si>
    <t>MISZ CARTERAS D ADALBERTO SRL</t>
  </si>
  <si>
    <t>130168301</t>
  </si>
  <si>
    <t>EXPRESS DRY CLEAN CINCO ESTRELLA SRL</t>
  </si>
  <si>
    <t>101033738</t>
  </si>
  <si>
    <t xml:space="preserve">PROPANO Y DERIVADOS S A </t>
  </si>
  <si>
    <t>130751366</t>
  </si>
  <si>
    <t>MMI GROUP SERVICES SRL</t>
  </si>
  <si>
    <t>101148861</t>
  </si>
  <si>
    <t>BATISSA SRL</t>
  </si>
  <si>
    <t>131065783</t>
  </si>
  <si>
    <t>FRAMA DE LEON &amp; ASOCIADOS SRL</t>
  </si>
  <si>
    <t>131417442</t>
  </si>
  <si>
    <t xml:space="preserve"> REYSA FOOD SRL</t>
  </si>
  <si>
    <t>131651208</t>
  </si>
  <si>
    <t>CARNETTO SRL</t>
  </si>
  <si>
    <t>101628431</t>
  </si>
  <si>
    <t xml:space="preserve"> INVERSIONES MIGS SRL</t>
  </si>
  <si>
    <t>130597952</t>
  </si>
  <si>
    <t>CYNGUSVILLE S R L</t>
  </si>
  <si>
    <t>130395446</t>
  </si>
  <si>
    <t>JIREH MENSAJES CRISTIANOS SRL</t>
  </si>
  <si>
    <t>101049847</t>
  </si>
  <si>
    <t>MUEBLES OMAR S A</t>
  </si>
  <si>
    <t>131097952</t>
  </si>
  <si>
    <t>RESPOTERIA MIGUELINA SRL</t>
  </si>
  <si>
    <t>131151167</t>
  </si>
  <si>
    <t>NUÑEZ RETAIL INVESTMENT CORP SRL</t>
  </si>
  <si>
    <t>130897026</t>
  </si>
  <si>
    <t>BAKERS DR LLC</t>
  </si>
  <si>
    <t>101556072</t>
  </si>
  <si>
    <t>IBEROCOMERCIAL DEL CARIBE S A</t>
  </si>
  <si>
    <t>101111356</t>
  </si>
  <si>
    <t>LABORATORIO CLINICO AMADITA P DE GONZALEZ S A S</t>
  </si>
  <si>
    <t>131301462</t>
  </si>
  <si>
    <t>PASTELITOS VALERIO SRL</t>
  </si>
  <si>
    <t>130720169</t>
  </si>
  <si>
    <t>CERAMIBANOS MODERNOS EF SRL</t>
  </si>
  <si>
    <t>130843767</t>
  </si>
  <si>
    <t>FARMACIA LOS PRADOS SRL</t>
  </si>
  <si>
    <t>130652912</t>
  </si>
  <si>
    <t>SUPER FARMACIA JOSE NEPO SRL</t>
  </si>
  <si>
    <t>Fundacion Cristiana de Consolacion y Ayuda</t>
  </si>
  <si>
    <t>101025794</t>
  </si>
  <si>
    <t>Envasadora Gas Caribe Principal</t>
  </si>
  <si>
    <t>131233465</t>
  </si>
  <si>
    <t>NOCCIOLA FOOD HALL SRL</t>
  </si>
  <si>
    <t>101820217</t>
  </si>
  <si>
    <t>EDEESTE</t>
  </si>
  <si>
    <t>130196796</t>
  </si>
  <si>
    <t>ACADEMIA EUROPEA</t>
  </si>
  <si>
    <t>430030341</t>
  </si>
  <si>
    <t>COLEGIO SANTA ROSA DE LIMA</t>
  </si>
  <si>
    <t>101651555</t>
  </si>
  <si>
    <t>INDY PLAZA</t>
  </si>
  <si>
    <t>132345657</t>
  </si>
  <si>
    <t>MARYSOF IS GOOD SRL</t>
  </si>
  <si>
    <t>131208371</t>
  </si>
  <si>
    <t>U.S. POLO ASSN</t>
  </si>
  <si>
    <t>131341136</t>
  </si>
  <si>
    <t>Little Ceasars Pizza Alma Rosa</t>
  </si>
  <si>
    <t>131436781</t>
  </si>
  <si>
    <t>Floremch Importaciones SRL</t>
  </si>
  <si>
    <t>131649122</t>
  </si>
  <si>
    <t>Abastek Marketing SRL</t>
  </si>
  <si>
    <t>131039499</t>
  </si>
  <si>
    <t>Farmacia VIP Mendo SRL</t>
  </si>
  <si>
    <t>131153666</t>
  </si>
  <si>
    <t>Grupo VARNET</t>
  </si>
  <si>
    <t>130647811</t>
  </si>
  <si>
    <t>EL CORRIDO TAQUERIA RESTAURANT</t>
  </si>
  <si>
    <t>131751253</t>
  </si>
  <si>
    <t>FERRETERIA Y ELECTODOSMETICOS PUERTO RICO SRL</t>
  </si>
  <si>
    <t>101023163</t>
  </si>
  <si>
    <t>Almacenes Garrido</t>
  </si>
  <si>
    <t>133025515</t>
  </si>
  <si>
    <t>Ferreziro SRL</t>
  </si>
  <si>
    <t>RNC o Cédula</t>
  </si>
  <si>
    <t>Tipo Id</t>
  </si>
  <si>
    <t>Tipo Bienes y Servicios Comprados</t>
  </si>
  <si>
    <t>Descripción</t>
  </si>
  <si>
    <t>NCF</t>
  </si>
  <si>
    <t>Fecha Comprobante</t>
  </si>
  <si>
    <t>Dia</t>
  </si>
  <si>
    <t>Dia Semana</t>
  </si>
  <si>
    <t>Fecha</t>
  </si>
  <si>
    <t>Miembro Familia</t>
  </si>
  <si>
    <t>Producto</t>
  </si>
  <si>
    <t>Monto Facturado en Servicios</t>
  </si>
  <si>
    <t>Monto Facturado en Bienes</t>
  </si>
  <si>
    <t>Total Monto Facturado</t>
  </si>
  <si>
    <t>ITBIS Facturado</t>
  </si>
  <si>
    <t>ITBIS Retenido</t>
  </si>
  <si>
    <t>Monto Propina Legal</t>
  </si>
  <si>
    <t>Forma de Pago</t>
  </si>
  <si>
    <t>Suplidor</t>
  </si>
  <si>
    <t>Yahelis</t>
  </si>
  <si>
    <t>Seguimiento Odontologico Yahelis</t>
  </si>
  <si>
    <t>Tarjata de credito</t>
  </si>
  <si>
    <t>0</t>
  </si>
  <si>
    <t>Andres</t>
  </si>
  <si>
    <t>Liga de baseball</t>
  </si>
  <si>
    <t>Transferencia bancaria</t>
  </si>
  <si>
    <t>Javier</t>
  </si>
  <si>
    <t>B0100045296</t>
  </si>
  <si>
    <t>Ernesto</t>
  </si>
  <si>
    <t>Café</t>
  </si>
  <si>
    <t>B0101396124</t>
  </si>
  <si>
    <t>Diesel</t>
  </si>
  <si>
    <t>B0101358304</t>
  </si>
  <si>
    <t>B0101384645</t>
  </si>
  <si>
    <t>B0101377121</t>
  </si>
  <si>
    <t>B01018657107</t>
  </si>
  <si>
    <t>Casa</t>
  </si>
  <si>
    <t>Gas Domestico</t>
  </si>
  <si>
    <t>B0101369091</t>
  </si>
  <si>
    <t>B0100145993</t>
  </si>
  <si>
    <t>B0101193605</t>
  </si>
  <si>
    <t>B0101186499</t>
  </si>
  <si>
    <t>B0101205083</t>
  </si>
  <si>
    <t>00101352929</t>
  </si>
  <si>
    <t>B0100038002</t>
  </si>
  <si>
    <t>B0100004392</t>
  </si>
  <si>
    <t>E310000002110</t>
  </si>
  <si>
    <t>E310003929628</t>
  </si>
  <si>
    <t>E310003931395</t>
  </si>
  <si>
    <t>E310003932338</t>
  </si>
  <si>
    <t>B0114461355</t>
  </si>
  <si>
    <t>E310003528970</t>
  </si>
  <si>
    <t>B0100053568</t>
  </si>
  <si>
    <t>B0100053388</t>
  </si>
  <si>
    <t>130857865</t>
  </si>
  <si>
    <t>B0100056091</t>
  </si>
  <si>
    <t>E310003956081</t>
  </si>
  <si>
    <t>131619046</t>
  </si>
  <si>
    <t>B0100001472</t>
  </si>
  <si>
    <t>101876077</t>
  </si>
  <si>
    <t>B0100003560</t>
  </si>
  <si>
    <t>131156398</t>
  </si>
  <si>
    <t>B0100033027</t>
  </si>
  <si>
    <t>B0100012571</t>
  </si>
  <si>
    <t>B0100012572</t>
  </si>
  <si>
    <t>B0100012573</t>
  </si>
  <si>
    <t>B0100012768</t>
  </si>
  <si>
    <t>B0100012769</t>
  </si>
  <si>
    <t>B0100012770</t>
  </si>
  <si>
    <t>B0101805031</t>
  </si>
  <si>
    <t>E310008741475</t>
  </si>
  <si>
    <t>E310008744559</t>
  </si>
  <si>
    <t>B0185964421</t>
  </si>
  <si>
    <t>B0185895065</t>
  </si>
  <si>
    <t>E310118055012</t>
  </si>
  <si>
    <t>B0101199417</t>
  </si>
  <si>
    <t>B0100126326</t>
  </si>
  <si>
    <t>B0101207136</t>
  </si>
  <si>
    <t>B0101197334</t>
  </si>
  <si>
    <t>B0105915412</t>
  </si>
  <si>
    <t>119017191</t>
  </si>
  <si>
    <t>B0101221570</t>
  </si>
  <si>
    <t>B0100263953</t>
  </si>
  <si>
    <t>B0100266519</t>
  </si>
  <si>
    <t>B0100584345</t>
  </si>
  <si>
    <t>B0100375847</t>
  </si>
  <si>
    <t>B0113793606</t>
  </si>
  <si>
    <t>E310004336398</t>
  </si>
  <si>
    <t>E310002301031</t>
  </si>
  <si>
    <t>E310004176176</t>
  </si>
  <si>
    <t>E310001348750</t>
  </si>
  <si>
    <t>E310004176965</t>
  </si>
  <si>
    <t>E310004178560</t>
  </si>
  <si>
    <t>B0114154295</t>
  </si>
  <si>
    <t>E310004054564</t>
  </si>
  <si>
    <t>B0100054417</t>
  </si>
  <si>
    <t>B0100054418</t>
  </si>
  <si>
    <t>B0100054419</t>
  </si>
  <si>
    <t>B0100055443</t>
  </si>
  <si>
    <t>B0100054491</t>
  </si>
  <si>
    <t>B0100013050</t>
  </si>
  <si>
    <t>B0100013051</t>
  </si>
  <si>
    <t>B0100013052</t>
  </si>
  <si>
    <t>E310008901348</t>
  </si>
  <si>
    <t>E310008898278</t>
  </si>
  <si>
    <t>B0110183279</t>
  </si>
  <si>
    <t>B0188189014</t>
  </si>
  <si>
    <t>B0188105841</t>
  </si>
  <si>
    <t>E310118732833</t>
  </si>
  <si>
    <t>B0105615434</t>
  </si>
  <si>
    <t>B0105615435</t>
  </si>
  <si>
    <t>B0105638590</t>
  </si>
  <si>
    <t>B0105638591</t>
  </si>
  <si>
    <t>B0105615433</t>
  </si>
  <si>
    <t>B0101212423</t>
  </si>
  <si>
    <t>B0101218839</t>
  </si>
  <si>
    <t>B0101215540</t>
  </si>
  <si>
    <t>131141201</t>
  </si>
  <si>
    <t>B0100043985</t>
  </si>
  <si>
    <t>130762716</t>
  </si>
  <si>
    <t>B0100002937</t>
  </si>
  <si>
    <t>B0101702945</t>
  </si>
  <si>
    <t>B0100034524</t>
  </si>
  <si>
    <t>243,31</t>
  </si>
  <si>
    <t>130832447</t>
  </si>
  <si>
    <t>B0100007670</t>
  </si>
  <si>
    <t>B0102844307</t>
  </si>
  <si>
    <t>B0106222313</t>
  </si>
  <si>
    <t>B0114156957</t>
  </si>
  <si>
    <t>72,28</t>
  </si>
  <si>
    <t>B0100491067</t>
  </si>
  <si>
    <t>B0105983516</t>
  </si>
  <si>
    <t>B0114459203</t>
  </si>
  <si>
    <t>E310004339465</t>
  </si>
  <si>
    <t>E310004463612</t>
  </si>
  <si>
    <t>E310004464811</t>
  </si>
  <si>
    <t>E310004587935</t>
  </si>
  <si>
    <t>B0100056456</t>
  </si>
  <si>
    <t>B0100056454</t>
  </si>
  <si>
    <t>B0100056455</t>
  </si>
  <si>
    <t>B0100056714</t>
  </si>
  <si>
    <t>131092659</t>
  </si>
  <si>
    <t>B0100457526</t>
  </si>
  <si>
    <t>E310009058506</t>
  </si>
  <si>
    <t>E310009055453</t>
  </si>
  <si>
    <t>B0101862499</t>
  </si>
  <si>
    <t>E310119268921</t>
  </si>
  <si>
    <t>B0105692805</t>
  </si>
  <si>
    <t>B0105692807</t>
  </si>
  <si>
    <t>B0105717263</t>
  </si>
  <si>
    <t>B0105717264</t>
  </si>
  <si>
    <t>B0105692806</t>
  </si>
  <si>
    <t>B0101224302</t>
  </si>
  <si>
    <t>B0101227934</t>
  </si>
  <si>
    <t>B0101228926</t>
  </si>
  <si>
    <t>B0101233342</t>
  </si>
  <si>
    <t>101177896</t>
  </si>
  <si>
    <t>B0100020159</t>
  </si>
  <si>
    <t>130323372</t>
  </si>
  <si>
    <t>B0100028291</t>
  </si>
  <si>
    <t>B0115898328</t>
  </si>
  <si>
    <t>130616477</t>
  </si>
  <si>
    <t>B0100067411</t>
  </si>
  <si>
    <t>101795557</t>
  </si>
  <si>
    <t>B0100145927</t>
  </si>
  <si>
    <t>101862327</t>
  </si>
  <si>
    <t>B0100026313</t>
  </si>
  <si>
    <t>B0101269635</t>
  </si>
  <si>
    <t>B0100043020</t>
  </si>
  <si>
    <t>B0100145480</t>
  </si>
  <si>
    <t>B0100028251</t>
  </si>
  <si>
    <t>130294242</t>
  </si>
  <si>
    <t>B0100064355</t>
  </si>
  <si>
    <t>E310004589971</t>
  </si>
  <si>
    <t>132369537</t>
  </si>
  <si>
    <t>E310000046412</t>
  </si>
  <si>
    <t>132098102</t>
  </si>
  <si>
    <t>B0100007089</t>
  </si>
  <si>
    <t>B0105957062</t>
  </si>
  <si>
    <t>B0114164443</t>
  </si>
  <si>
    <t>E310004591232</t>
  </si>
  <si>
    <t>132664086</t>
  </si>
  <si>
    <t>E310000001796</t>
  </si>
  <si>
    <t>B0114476949</t>
  </si>
  <si>
    <t>B0100792656</t>
  </si>
  <si>
    <t>E310004719661</t>
  </si>
  <si>
    <t>B0100058057</t>
  </si>
  <si>
    <t>B0100013307</t>
  </si>
  <si>
    <t>B0100013308</t>
  </si>
  <si>
    <t>B0100013309</t>
  </si>
  <si>
    <t>B0100061227</t>
  </si>
  <si>
    <t>E310004806967</t>
  </si>
  <si>
    <t>B0100013499</t>
  </si>
  <si>
    <t>B0100013500</t>
  </si>
  <si>
    <t>B0100013501</t>
  </si>
  <si>
    <t>E310009212841</t>
  </si>
  <si>
    <t>E310009215883</t>
  </si>
  <si>
    <t>B0101889562</t>
  </si>
  <si>
    <t>E310000288270</t>
  </si>
  <si>
    <t>E310000292277</t>
  </si>
  <si>
    <t>E310000334302</t>
  </si>
  <si>
    <t>E310119813505</t>
  </si>
  <si>
    <t>B0105769859</t>
  </si>
  <si>
    <t>B0105793601</t>
  </si>
  <si>
    <t>B0105793602</t>
  </si>
  <si>
    <t>B0105769861</t>
  </si>
  <si>
    <t>B0105769860</t>
  </si>
  <si>
    <t>B0101234876</t>
  </si>
  <si>
    <t>B0119584149</t>
  </si>
  <si>
    <t>B0100047965</t>
  </si>
  <si>
    <t>B0100048258</t>
  </si>
  <si>
    <t>B0101239995</t>
  </si>
  <si>
    <t>B0101238864</t>
  </si>
  <si>
    <t>B0107708416</t>
  </si>
  <si>
    <t>B0101246262</t>
  </si>
  <si>
    <t>111157013</t>
  </si>
  <si>
    <t>B0100304592</t>
  </si>
  <si>
    <t>130510865</t>
  </si>
  <si>
    <t>B0100037613</t>
  </si>
  <si>
    <t>101756314</t>
  </si>
  <si>
    <t>B0100040028</t>
  </si>
  <si>
    <t>B0100346213</t>
  </si>
  <si>
    <t>B0100376965</t>
  </si>
  <si>
    <t>B0100376964</t>
  </si>
  <si>
    <t>132333977</t>
  </si>
  <si>
    <t>B0100182641</t>
  </si>
  <si>
    <t>B0100112352</t>
  </si>
  <si>
    <t>B0100376892</t>
  </si>
  <si>
    <t>132382838</t>
  </si>
  <si>
    <t>B0100000384</t>
  </si>
  <si>
    <t>E310000014382</t>
  </si>
  <si>
    <t>E310000073196</t>
  </si>
  <si>
    <t>E310000044620</t>
  </si>
  <si>
    <t>101802456</t>
  </si>
  <si>
    <t>E310000061936</t>
  </si>
  <si>
    <t>E310004873114</t>
  </si>
  <si>
    <t>E310004879368</t>
  </si>
  <si>
    <t>B0114169596</t>
  </si>
  <si>
    <t>E310004880903</t>
  </si>
  <si>
    <t>B0114480657</t>
  </si>
  <si>
    <t>E310000038598</t>
  </si>
  <si>
    <t>E310004881463</t>
  </si>
  <si>
    <t>E310005019874</t>
  </si>
  <si>
    <t>B0102021762</t>
  </si>
  <si>
    <t>E310005021623</t>
  </si>
  <si>
    <t>B0100059485</t>
  </si>
  <si>
    <t>B0100059505</t>
  </si>
  <si>
    <t>B0100059507</t>
  </si>
  <si>
    <t>B0100059509</t>
  </si>
  <si>
    <t>B0100013799</t>
  </si>
  <si>
    <t>B0100013800</t>
  </si>
  <si>
    <t>B0100013801</t>
  </si>
  <si>
    <t>B0100013872</t>
  </si>
  <si>
    <t>B0100013873</t>
  </si>
  <si>
    <t>E310009370524</t>
  </si>
  <si>
    <t>E310009373548</t>
  </si>
  <si>
    <t>E310000696696</t>
  </si>
  <si>
    <t>E310000700274</t>
  </si>
  <si>
    <t>E310120374213</t>
  </si>
  <si>
    <t>B0105869939</t>
  </si>
  <si>
    <t>B0105869940</t>
  </si>
  <si>
    <t>B0105846819</t>
  </si>
  <si>
    <t>B0105846818</t>
  </si>
  <si>
    <t>B0105846817</t>
  </si>
  <si>
    <t>B0101253693</t>
  </si>
  <si>
    <t>B0101254691</t>
  </si>
  <si>
    <t>B0100111753</t>
  </si>
  <si>
    <t>B0100020700</t>
  </si>
  <si>
    <t>B0100585043</t>
  </si>
  <si>
    <t>B0101784060</t>
  </si>
  <si>
    <t>B0100026360</t>
  </si>
  <si>
    <t>B0100026368</t>
  </si>
  <si>
    <t>101173203</t>
  </si>
  <si>
    <t>B0100046956</t>
  </si>
  <si>
    <t>B0116647976</t>
  </si>
  <si>
    <t>B0114482844</t>
  </si>
  <si>
    <t>B0100016687</t>
  </si>
  <si>
    <t>E310001362049</t>
  </si>
  <si>
    <t>132525698</t>
  </si>
  <si>
    <t>B0100004809</t>
  </si>
  <si>
    <t>B0101809976</t>
  </si>
  <si>
    <t>E310005129864</t>
  </si>
  <si>
    <t>E310005127776</t>
  </si>
  <si>
    <t>E310005128651</t>
  </si>
  <si>
    <t>E310000234830</t>
  </si>
  <si>
    <t>E310005126189</t>
  </si>
  <si>
    <t>B0100060383</t>
  </si>
  <si>
    <t>B0100060169</t>
  </si>
  <si>
    <t>B0100060168</t>
  </si>
  <si>
    <t>B0100014204</t>
  </si>
  <si>
    <t>B0100014205</t>
  </si>
  <si>
    <t>B0100014206</t>
  </si>
  <si>
    <t>B0100014207</t>
  </si>
  <si>
    <t>B0100362068</t>
  </si>
  <si>
    <t>B0100036344</t>
  </si>
  <si>
    <t>E310009528324</t>
  </si>
  <si>
    <t>E310009531310</t>
  </si>
  <si>
    <t>E310000926178</t>
  </si>
  <si>
    <t>E310000929186</t>
  </si>
  <si>
    <t>E310000971289</t>
  </si>
  <si>
    <t>E310120979086</t>
  </si>
  <si>
    <t>B0105942260</t>
  </si>
  <si>
    <t>B0105942261</t>
  </si>
  <si>
    <t>B0105919975</t>
  </si>
  <si>
    <t>B0105919973</t>
  </si>
  <si>
    <t>B0105919974</t>
  </si>
  <si>
    <t>1010080172</t>
  </si>
  <si>
    <t>B0107884928</t>
  </si>
  <si>
    <t>B0101262446</t>
  </si>
  <si>
    <t>B0101262445</t>
  </si>
  <si>
    <t>B0101262802</t>
  </si>
  <si>
    <t>B0101266524</t>
  </si>
  <si>
    <t>B0101281308</t>
  </si>
  <si>
    <t>B0101281766</t>
  </si>
  <si>
    <t>131290744</t>
  </si>
  <si>
    <t>B0100009204</t>
  </si>
  <si>
    <t>B0100585386</t>
  </si>
  <si>
    <t>101501731</t>
  </si>
  <si>
    <t>B0100003199</t>
  </si>
  <si>
    <t>131435781</t>
  </si>
  <si>
    <t>B0100016961</t>
  </si>
  <si>
    <t>131289053</t>
  </si>
  <si>
    <t>B0100022008</t>
  </si>
  <si>
    <t>123001045</t>
  </si>
  <si>
    <t>B0100213631</t>
  </si>
  <si>
    <t>401005921</t>
  </si>
  <si>
    <t>B0100031805</t>
  </si>
  <si>
    <t>B0100000456</t>
  </si>
  <si>
    <t>B0100041392</t>
  </si>
  <si>
    <t>E310000053790</t>
  </si>
  <si>
    <t>E310005273934</t>
  </si>
  <si>
    <t>E310000149336</t>
  </si>
  <si>
    <t>E310000035695</t>
  </si>
  <si>
    <t>E310001365431</t>
  </si>
  <si>
    <t>E310005284579</t>
  </si>
  <si>
    <t>E310000019682</t>
  </si>
  <si>
    <t>E310000053170</t>
  </si>
  <si>
    <t>E310005406562</t>
  </si>
  <si>
    <t>B0100061792</t>
  </si>
  <si>
    <t>B0100060853</t>
  </si>
  <si>
    <t>B0100060855</t>
  </si>
  <si>
    <t>B0100060856</t>
  </si>
  <si>
    <t>B0100051959</t>
  </si>
  <si>
    <t>B0101975316</t>
  </si>
  <si>
    <t>E310009689316</t>
  </si>
  <si>
    <t>E310001176264</t>
  </si>
  <si>
    <t>E310001191841</t>
  </si>
  <si>
    <t>E310121666567</t>
  </si>
  <si>
    <t>B0106016779</t>
  </si>
  <si>
    <t>B0105993440</t>
  </si>
  <si>
    <t>B0105993439</t>
  </si>
  <si>
    <t>B0101289772</t>
  </si>
  <si>
    <t>B0101288664</t>
  </si>
  <si>
    <t>B0100004342</t>
  </si>
  <si>
    <t>101109556</t>
  </si>
  <si>
    <t>B0100007359</t>
  </si>
  <si>
    <t>B0101873517</t>
  </si>
  <si>
    <t>B0101870676</t>
  </si>
  <si>
    <t>B0101861037</t>
  </si>
  <si>
    <t>B0100000467</t>
  </si>
  <si>
    <t>130632022</t>
  </si>
  <si>
    <t>E310000010650</t>
  </si>
  <si>
    <t>E310000040836</t>
  </si>
  <si>
    <t>B0100292135</t>
  </si>
  <si>
    <t>E310001367693</t>
  </si>
  <si>
    <t>E310001367694</t>
  </si>
  <si>
    <t>E310001367700</t>
  </si>
  <si>
    <t>E310001367696</t>
  </si>
  <si>
    <t>E310001367698</t>
  </si>
  <si>
    <t>E310001367701</t>
  </si>
  <si>
    <t>E31000555158</t>
  </si>
  <si>
    <t>E310000079538</t>
  </si>
  <si>
    <t>E310002316256</t>
  </si>
  <si>
    <t>E310002315255</t>
  </si>
  <si>
    <t>E310004003122</t>
  </si>
  <si>
    <t>E310001368516</t>
  </si>
  <si>
    <t>E310005557846</t>
  </si>
  <si>
    <t>E310002315253</t>
  </si>
  <si>
    <t>E310002315250</t>
  </si>
  <si>
    <t>E310002315252</t>
  </si>
  <si>
    <t>E310002315257</t>
  </si>
  <si>
    <t>B0100071427</t>
  </si>
  <si>
    <t>E310005697366</t>
  </si>
  <si>
    <t>E310002316878</t>
  </si>
  <si>
    <t>E310000029623</t>
  </si>
  <si>
    <t>E310004009042</t>
  </si>
  <si>
    <t>E310004009041</t>
  </si>
  <si>
    <t>E310004009043</t>
  </si>
  <si>
    <t>E310000032707</t>
  </si>
  <si>
    <t>E310005698593</t>
  </si>
  <si>
    <t>B0100061104</t>
  </si>
  <si>
    <t>B0100061102</t>
  </si>
  <si>
    <t>B0100062886</t>
  </si>
  <si>
    <t>B0100062885</t>
  </si>
  <si>
    <t>B0100062882</t>
  </si>
  <si>
    <t>B0100062881</t>
  </si>
  <si>
    <t>101787945</t>
  </si>
  <si>
    <t>B0100001294</t>
  </si>
  <si>
    <t>E310005556868</t>
  </si>
  <si>
    <t>E310009844629</t>
  </si>
  <si>
    <t>E310009847545</t>
  </si>
  <si>
    <t xml:space="preserve"> </t>
  </si>
  <si>
    <t>E310001428465</t>
  </si>
  <si>
    <t>E310001469171</t>
  </si>
  <si>
    <t>E310001427728</t>
  </si>
  <si>
    <t>E310122217922</t>
  </si>
  <si>
    <t>B0106066501</t>
  </si>
  <si>
    <t>B0106089468</t>
  </si>
  <si>
    <t>B0106066499</t>
  </si>
  <si>
    <t>B0106066500</t>
  </si>
  <si>
    <t>B0101301424</t>
  </si>
  <si>
    <t>B0101308783</t>
  </si>
  <si>
    <t>B0100017858</t>
  </si>
  <si>
    <t>B0101924489</t>
  </si>
  <si>
    <t>B0100309577</t>
  </si>
  <si>
    <t>B0101918884</t>
  </si>
  <si>
    <t>B0114194774</t>
  </si>
  <si>
    <t>E310005179890</t>
  </si>
  <si>
    <t>E310000037661</t>
  </si>
  <si>
    <t>E310000050335</t>
  </si>
  <si>
    <t>B0114502229</t>
  </si>
  <si>
    <t>B0114503601</t>
  </si>
  <si>
    <t>E310000060346</t>
  </si>
  <si>
    <t>E310000088947</t>
  </si>
  <si>
    <t>E310005700643</t>
  </si>
  <si>
    <t>E310005851118</t>
  </si>
  <si>
    <t>E310005854251</t>
  </si>
  <si>
    <t>B0100014552</t>
  </si>
  <si>
    <t>B0100014553</t>
  </si>
  <si>
    <t>B0100014554</t>
  </si>
  <si>
    <t>B0114502419</t>
  </si>
  <si>
    <t>B0100063084</t>
  </si>
  <si>
    <t>B0100065487</t>
  </si>
  <si>
    <t>E310010197062</t>
  </si>
  <si>
    <t>E310010199957</t>
  </si>
  <si>
    <t>B0102034644</t>
  </si>
  <si>
    <t>E310001674660</t>
  </si>
  <si>
    <t>E310001715233</t>
  </si>
  <si>
    <t>E310001675266</t>
  </si>
  <si>
    <t>E310122803899</t>
  </si>
  <si>
    <t>B0106144616</t>
  </si>
  <si>
    <t>B0106126159</t>
  </si>
  <si>
    <t>B0106126158</t>
  </si>
  <si>
    <t>B0101317607</t>
  </si>
  <si>
    <t>B0108238181</t>
  </si>
  <si>
    <t>B0100216199</t>
  </si>
  <si>
    <t>B0101944050</t>
  </si>
  <si>
    <t>B0100000539</t>
  </si>
  <si>
    <t>B0101952453</t>
  </si>
  <si>
    <t>B0100047320</t>
  </si>
  <si>
    <t>B0114196283</t>
  </si>
  <si>
    <t>E310000998540</t>
  </si>
  <si>
    <t>E310005020342</t>
  </si>
  <si>
    <t>B0114198097</t>
  </si>
  <si>
    <t>E310000013933</t>
  </si>
  <si>
    <t>E310006023662</t>
  </si>
  <si>
    <t>E310006022213</t>
  </si>
  <si>
    <t>E310000050653</t>
  </si>
  <si>
    <t>E310000067291</t>
  </si>
  <si>
    <t>B0100054713</t>
  </si>
  <si>
    <t>B0100054831</t>
  </si>
  <si>
    <t>B0100014817</t>
  </si>
  <si>
    <t>B0100014818</t>
  </si>
  <si>
    <t>B0100014819</t>
  </si>
  <si>
    <t>B0100065813</t>
  </si>
  <si>
    <t>E310010356323</t>
  </si>
  <si>
    <t>E310010359210</t>
  </si>
  <si>
    <t>B0102064257</t>
  </si>
  <si>
    <t>E310001915570</t>
  </si>
  <si>
    <t>E310001916045</t>
  </si>
  <si>
    <t>E310123398458</t>
  </si>
  <si>
    <t>E310000046991</t>
  </si>
  <si>
    <t>E310000077630</t>
  </si>
  <si>
    <t>E310000077629</t>
  </si>
  <si>
    <t>B0101328748</t>
  </si>
  <si>
    <t>B0100140634</t>
  </si>
  <si>
    <t>B0101337073</t>
  </si>
  <si>
    <t>B0101336787</t>
  </si>
  <si>
    <t>101733934</t>
  </si>
  <si>
    <t>B0100111537</t>
  </si>
  <si>
    <t>B0100809344</t>
  </si>
  <si>
    <t>B0100029744</t>
  </si>
  <si>
    <t>B0100160410</t>
  </si>
  <si>
    <t>B0100002447</t>
  </si>
  <si>
    <t>B0100018291</t>
  </si>
  <si>
    <t>B0100044076</t>
  </si>
  <si>
    <t>B0101986715</t>
  </si>
  <si>
    <t>B0100029602</t>
  </si>
  <si>
    <t>B0114202752</t>
  </si>
  <si>
    <t>E310006305284</t>
  </si>
  <si>
    <t>E310006164281</t>
  </si>
  <si>
    <t>B0114512585</t>
  </si>
  <si>
    <t>E310002323927</t>
  </si>
  <si>
    <t>E310000067564</t>
  </si>
  <si>
    <t>E310006304255</t>
  </si>
  <si>
    <t>B0100015040</t>
  </si>
  <si>
    <t>B0100015041</t>
  </si>
  <si>
    <t>B0100015042</t>
  </si>
  <si>
    <t>B0100066118</t>
  </si>
  <si>
    <t>B0100066188</t>
  </si>
  <si>
    <t>E310010515712</t>
  </si>
  <si>
    <t>E310010518571</t>
  </si>
  <si>
    <t>B0100003731</t>
  </si>
  <si>
    <t>B0100003733</t>
  </si>
  <si>
    <t>B0100003734</t>
  </si>
  <si>
    <t>B0100003735</t>
  </si>
  <si>
    <t>B0100003736</t>
  </si>
  <si>
    <t>B0100003737</t>
  </si>
  <si>
    <t>B0100003738</t>
  </si>
  <si>
    <t>E310002158044</t>
  </si>
  <si>
    <t>E310002158456</t>
  </si>
  <si>
    <t>E310002198257</t>
  </si>
  <si>
    <t>E310002198256</t>
  </si>
  <si>
    <t>E310124012612</t>
  </si>
  <si>
    <t>E310000112195</t>
  </si>
  <si>
    <t>E310000141049</t>
  </si>
  <si>
    <t>E310000141048</t>
  </si>
  <si>
    <t>B0100142545</t>
  </si>
  <si>
    <t>B0100055995</t>
  </si>
  <si>
    <t>B0101349194</t>
  </si>
  <si>
    <t>130196559</t>
  </si>
  <si>
    <t>B0100139204</t>
  </si>
  <si>
    <t>B0100056833</t>
  </si>
  <si>
    <t>130893659</t>
  </si>
  <si>
    <t>B0100061715</t>
  </si>
  <si>
    <t>130869529</t>
  </si>
  <si>
    <t>B0100013463</t>
  </si>
  <si>
    <t>B0102016219</t>
  </si>
  <si>
    <t>B0100006544</t>
  </si>
  <si>
    <t>B0100140965</t>
  </si>
  <si>
    <t>132540298</t>
  </si>
  <si>
    <t>B0100011089</t>
  </si>
  <si>
    <t>B0100011088</t>
  </si>
  <si>
    <t>E310000021692</t>
  </si>
  <si>
    <t>E310000021691</t>
  </si>
  <si>
    <t>B0100076426</t>
  </si>
  <si>
    <t>B0100018736</t>
  </si>
  <si>
    <t>B0100032895</t>
  </si>
  <si>
    <t>B0100141575</t>
  </si>
  <si>
    <t>B0114207013</t>
  </si>
  <si>
    <t>E310006483760</t>
  </si>
  <si>
    <t>E310005481549</t>
  </si>
  <si>
    <t>E310000815843</t>
  </si>
  <si>
    <t>E310006308070</t>
  </si>
  <si>
    <t>E310006485094</t>
  </si>
  <si>
    <t>E310006487096</t>
  </si>
  <si>
    <t>E310010675651</t>
  </si>
  <si>
    <t>E310010678507</t>
  </si>
  <si>
    <t>E310002395412</t>
  </si>
  <si>
    <t>E310002395825</t>
  </si>
  <si>
    <t>E310002456854</t>
  </si>
  <si>
    <t>E310002456855</t>
  </si>
  <si>
    <t>E310124606995</t>
  </si>
  <si>
    <t>E310000205413</t>
  </si>
  <si>
    <t>E310000205412</t>
  </si>
  <si>
    <t>E310000175557</t>
  </si>
  <si>
    <t>Dia de la semana</t>
  </si>
  <si>
    <t>NCF ó Documento Modificado</t>
  </si>
  <si>
    <t xml:space="preserve">Fecha Pago   </t>
  </si>
  <si>
    <t>Monto Facturado</t>
  </si>
  <si>
    <t>ITBIS sujeto a Proporcionalidad (Art. 349)</t>
  </si>
  <si>
    <t>ITBIS llevado al Costo</t>
  </si>
  <si>
    <t>ITBIS por Adelantar</t>
  </si>
  <si>
    <t>ITBIS percibido en compras</t>
  </si>
  <si>
    <t>Tipo de Retención en ISR</t>
  </si>
  <si>
    <t>Monto Retención Renta</t>
  </si>
  <si>
    <t>ISR Percibido en compras</t>
  </si>
  <si>
    <t>Impuesto Selectivo al Consumo</t>
  </si>
  <si>
    <t>Otros Impuesto/Tasas</t>
  </si>
  <si>
    <t>Total Facturado</t>
  </si>
  <si>
    <t>Objeto del gasto</t>
  </si>
  <si>
    <t>B0101358927</t>
  </si>
  <si>
    <t>Tarjeta de Credito</t>
  </si>
  <si>
    <t>Gasolina</t>
  </si>
  <si>
    <t>CRV</t>
  </si>
  <si>
    <t>HILUX</t>
  </si>
  <si>
    <t>B0100026718</t>
  </si>
  <si>
    <t>tienda</t>
  </si>
  <si>
    <t>casa</t>
  </si>
  <si>
    <t>B0100703682</t>
  </si>
  <si>
    <t>Cena Familiar</t>
  </si>
  <si>
    <t>Restorant</t>
  </si>
  <si>
    <t>000000001</t>
  </si>
  <si>
    <t>Transferencia Bancaria</t>
  </si>
  <si>
    <t>Mesada</t>
  </si>
  <si>
    <t>Yajaira</t>
  </si>
  <si>
    <t>000000002</t>
  </si>
  <si>
    <t>000000003</t>
  </si>
  <si>
    <t>Efectivo</t>
  </si>
  <si>
    <t>000000004</t>
  </si>
  <si>
    <t>Lorena</t>
  </si>
  <si>
    <t>000000005</t>
  </si>
  <si>
    <t>Hipoteca</t>
  </si>
  <si>
    <t>Prestamo</t>
  </si>
  <si>
    <t>4453939</t>
  </si>
  <si>
    <t>BHD</t>
  </si>
  <si>
    <t>835651126</t>
  </si>
  <si>
    <t>Popular</t>
  </si>
  <si>
    <t>4458538</t>
  </si>
  <si>
    <t>B0100019983</t>
  </si>
  <si>
    <t>B0102042097</t>
  </si>
  <si>
    <t>salud</t>
  </si>
  <si>
    <t>Salud</t>
  </si>
  <si>
    <t>B0100144365</t>
  </si>
  <si>
    <t>B0100096375</t>
  </si>
  <si>
    <t>B0100006053</t>
  </si>
  <si>
    <t>B0100048701</t>
  </si>
  <si>
    <t>Mantenimiento de CRV</t>
  </si>
  <si>
    <t>E310006681341</t>
  </si>
  <si>
    <t>Compra supermercado</t>
  </si>
  <si>
    <t>E310000121980</t>
  </si>
  <si>
    <t>E310001078218</t>
  </si>
  <si>
    <t>B012052147</t>
  </si>
  <si>
    <t>Compra de libros</t>
  </si>
  <si>
    <t>E310006676912</t>
  </si>
  <si>
    <t>E310006677922</t>
  </si>
  <si>
    <t>E310006487720</t>
  </si>
  <si>
    <t>E310006487814</t>
  </si>
  <si>
    <t>B0100048709</t>
  </si>
  <si>
    <t>Mantenimiento Hilux</t>
  </si>
  <si>
    <t>E310000002078</t>
  </si>
  <si>
    <t>Cumpleaños de Javier</t>
  </si>
  <si>
    <t>E310000652384</t>
  </si>
  <si>
    <t>E310006679660</t>
  </si>
  <si>
    <t>B0100069506</t>
  </si>
  <si>
    <t>Ingles</t>
  </si>
  <si>
    <t>B0100069579</t>
  </si>
  <si>
    <t>B0100015374</t>
  </si>
  <si>
    <t>Colegio</t>
  </si>
  <si>
    <t>B0100015375</t>
  </si>
  <si>
    <t>B0100015376</t>
  </si>
  <si>
    <t>B0100015534</t>
  </si>
  <si>
    <t>B0100015535</t>
  </si>
  <si>
    <t>B0100015536</t>
  </si>
  <si>
    <t>enero</t>
  </si>
  <si>
    <t>jueves</t>
  </si>
  <si>
    <t xml:space="preserve">GASTOS POR TRABAJOS, SUMINISTROS Y SERVICIOS </t>
  </si>
  <si>
    <t>B0100069864</t>
  </si>
  <si>
    <t>ingles</t>
  </si>
  <si>
    <t>B0100069761</t>
  </si>
  <si>
    <t>E310010838524</t>
  </si>
  <si>
    <t xml:space="preserve">Telefono </t>
  </si>
  <si>
    <t>E310010835663</t>
  </si>
  <si>
    <t>Celular</t>
  </si>
  <si>
    <t>E310000046093</t>
  </si>
  <si>
    <t>Luz</t>
  </si>
  <si>
    <t>00000000</t>
  </si>
  <si>
    <t>Liga Baseball</t>
  </si>
  <si>
    <t>Gimnasio</t>
  </si>
  <si>
    <t>Odontologo</t>
  </si>
  <si>
    <t>101010020</t>
  </si>
  <si>
    <t>Netflix</t>
  </si>
  <si>
    <t>020101011</t>
  </si>
  <si>
    <t>0000000011</t>
  </si>
  <si>
    <t>Chatgpt</t>
  </si>
  <si>
    <t>B0108657107</t>
  </si>
  <si>
    <t>Gas Propano</t>
  </si>
  <si>
    <t>B0101366307</t>
  </si>
  <si>
    <t>B0101370926</t>
  </si>
  <si>
    <t>B0100703870</t>
  </si>
  <si>
    <t>B0100008568</t>
  </si>
  <si>
    <t>B0102092152</t>
  </si>
  <si>
    <t>B0100097038</t>
  </si>
  <si>
    <t>E310000146373</t>
  </si>
  <si>
    <t>E310000115333</t>
  </si>
  <si>
    <t>E310006808261</t>
  </si>
  <si>
    <t>E310006804353</t>
  </si>
  <si>
    <t>B0120521908</t>
  </si>
  <si>
    <t>E310006806385</t>
  </si>
  <si>
    <t>E310006807573</t>
  </si>
  <si>
    <t>E310000132865</t>
  </si>
  <si>
    <t>B0120525262</t>
  </si>
  <si>
    <t>B0119458232</t>
  </si>
  <si>
    <t>E310005488429</t>
  </si>
  <si>
    <t>E310006969133</t>
  </si>
  <si>
    <t>B0100058136</t>
  </si>
  <si>
    <t>Herramientas</t>
  </si>
  <si>
    <t>B0100070048</t>
  </si>
  <si>
    <t>B0100070225</t>
  </si>
  <si>
    <t>E310010999069</t>
  </si>
  <si>
    <t>E310010996240</t>
  </si>
  <si>
    <t>E310000075985</t>
  </si>
  <si>
    <t>B0101376535</t>
  </si>
  <si>
    <t>B0101384315</t>
  </si>
  <si>
    <t>B0100704170</t>
  </si>
  <si>
    <t>B0100033537</t>
  </si>
  <si>
    <t>Materiar Escolar</t>
  </si>
  <si>
    <t>B0102123646</t>
  </si>
  <si>
    <t>B0229305648</t>
  </si>
  <si>
    <t>Ropa</t>
  </si>
  <si>
    <t>E310007122244</t>
  </si>
  <si>
    <t>E310007121258</t>
  </si>
  <si>
    <t>E310007122869</t>
  </si>
  <si>
    <t>E310007120069</t>
  </si>
  <si>
    <t>E310005493300</t>
  </si>
  <si>
    <t>E310005122036</t>
  </si>
  <si>
    <t>Materiales de pc</t>
  </si>
  <si>
    <t>B022628144</t>
  </si>
  <si>
    <t>E310000000039</t>
  </si>
  <si>
    <t>Cumpleaños de Yajaira</t>
  </si>
  <si>
    <t>E310000115492</t>
  </si>
  <si>
    <t>E310006973341</t>
  </si>
  <si>
    <t>E310009058708</t>
  </si>
  <si>
    <t>E310009059166</t>
  </si>
  <si>
    <t>B0100073517</t>
  </si>
  <si>
    <t>B0100070420</t>
  </si>
  <si>
    <t>B0100073607</t>
  </si>
  <si>
    <t>B0100015955</t>
  </si>
  <si>
    <t>B0100015956</t>
  </si>
  <si>
    <t>B0100015957</t>
  </si>
  <si>
    <t>B0100016125</t>
  </si>
  <si>
    <t>B0100016126</t>
  </si>
  <si>
    <t>B0100016127</t>
  </si>
  <si>
    <t>E310011159455</t>
  </si>
  <si>
    <t>E310011156616</t>
  </si>
  <si>
    <t>E310000105851</t>
  </si>
  <si>
    <t>430078549</t>
  </si>
  <si>
    <t>yahelis</t>
  </si>
  <si>
    <t>B0100018113</t>
  </si>
  <si>
    <t>Lave del Lava manos del baño</t>
  </si>
  <si>
    <t>B0101392608</t>
  </si>
  <si>
    <t>B0100011257</t>
  </si>
  <si>
    <t>B0102182188</t>
  </si>
  <si>
    <t>B0100036671</t>
  </si>
  <si>
    <t>Dermatologia</t>
  </si>
  <si>
    <t>B0119465624</t>
  </si>
  <si>
    <t>Teclado</t>
  </si>
  <si>
    <t>B0119464159</t>
  </si>
  <si>
    <t>E310002084729</t>
  </si>
  <si>
    <t>Libro</t>
  </si>
  <si>
    <t>E310000130445</t>
  </si>
  <si>
    <t>131370047</t>
  </si>
  <si>
    <t>E310000033898</t>
  </si>
  <si>
    <t>E310000197125</t>
  </si>
  <si>
    <t>Comida Familiar</t>
  </si>
  <si>
    <t>E310005495075</t>
  </si>
  <si>
    <t>E310007230641</t>
  </si>
  <si>
    <t>E310000000274</t>
  </si>
  <si>
    <t>0000000006</t>
  </si>
  <si>
    <t>pago a tito</t>
  </si>
  <si>
    <t>B0100021035</t>
  </si>
  <si>
    <t xml:space="preserve">Compra de picadera </t>
  </si>
  <si>
    <t>B0100162875</t>
  </si>
  <si>
    <t>materiales para colegio</t>
  </si>
  <si>
    <t>E310007403914</t>
  </si>
  <si>
    <t>E310007404092</t>
  </si>
  <si>
    <t>B0100101877</t>
  </si>
  <si>
    <t>Material para el colegio</t>
  </si>
  <si>
    <t>Total</t>
  </si>
  <si>
    <t>Categoría</t>
  </si>
  <si>
    <t>Subcategoría</t>
  </si>
  <si>
    <t>Monto</t>
  </si>
  <si>
    <t>Tipo</t>
  </si>
  <si>
    <t>Educacion</t>
  </si>
  <si>
    <t>Mensualidad</t>
  </si>
  <si>
    <t>Gasto</t>
  </si>
  <si>
    <t>Clases Extracurriculares</t>
  </si>
  <si>
    <t>Egreso</t>
  </si>
  <si>
    <t>Suma de Monto</t>
  </si>
  <si>
    <t>Ingresos</t>
  </si>
  <si>
    <t>Alimentacion</t>
  </si>
  <si>
    <t>supermercado</t>
  </si>
  <si>
    <t>compra quincenal</t>
  </si>
  <si>
    <t>Ingreso</t>
  </si>
  <si>
    <t>Deudas</t>
  </si>
  <si>
    <t>Pago de préstamos personales</t>
  </si>
  <si>
    <t>Credimas</t>
  </si>
  <si>
    <t>Gasto Financieros</t>
  </si>
  <si>
    <t>Cobro pendiente</t>
  </si>
  <si>
    <t>Prestamo BHD2</t>
  </si>
  <si>
    <t>Total general</t>
  </si>
  <si>
    <t>Prestamo Popular</t>
  </si>
  <si>
    <t>Prestamo BHD1</t>
  </si>
  <si>
    <t>Vivieda</t>
  </si>
  <si>
    <t>servicio</t>
  </si>
  <si>
    <t>Restauran</t>
  </si>
  <si>
    <t>Salir a Cenar</t>
  </si>
  <si>
    <t>Sueldo principal</t>
  </si>
  <si>
    <t>Salario mensual</t>
  </si>
  <si>
    <t>Medicamentos</t>
  </si>
  <si>
    <t>Hipertension</t>
  </si>
  <si>
    <t>Entretenimiento</t>
  </si>
  <si>
    <t>Suscrpciones</t>
  </si>
  <si>
    <t>Streaming</t>
  </si>
  <si>
    <t>Academia Europea</t>
  </si>
  <si>
    <t>Pago mensual</t>
  </si>
  <si>
    <t>Airplus</t>
  </si>
  <si>
    <t>Higiene</t>
  </si>
  <si>
    <t>Salon de Belleza</t>
  </si>
  <si>
    <t>Peluqueria</t>
  </si>
  <si>
    <t>Transporte</t>
  </si>
  <si>
    <t>Comunicación</t>
  </si>
  <si>
    <t>celulares</t>
  </si>
  <si>
    <t>Microsof-iclou</t>
  </si>
  <si>
    <t>compras varias</t>
  </si>
  <si>
    <t>Crv</t>
  </si>
  <si>
    <t>Telecomunicaciones</t>
  </si>
  <si>
    <t>Internet</t>
  </si>
  <si>
    <t>Honorarios</t>
  </si>
  <si>
    <t>Ars</t>
  </si>
  <si>
    <t>Método de pago</t>
  </si>
  <si>
    <t>Persona</t>
  </si>
  <si>
    <t>(Varios elementos)</t>
  </si>
  <si>
    <t>Educación</t>
  </si>
  <si>
    <t>Clases extracurriculares</t>
  </si>
  <si>
    <t xml:space="preserve">Deudad y Gastos Fijo de la casa </t>
  </si>
  <si>
    <t>Ahorro</t>
  </si>
  <si>
    <t>Etiquetas de columna</t>
  </si>
  <si>
    <t>Alimentación</t>
  </si>
  <si>
    <t>Restaurantes</t>
  </si>
  <si>
    <t>Regalos de cumpleaños</t>
  </si>
  <si>
    <t>Tarjeta de crédito</t>
  </si>
  <si>
    <t>Gastos</t>
  </si>
  <si>
    <t>abr</t>
  </si>
  <si>
    <t>Prestamos</t>
  </si>
  <si>
    <t xml:space="preserve">Ingresos </t>
  </si>
  <si>
    <t>Ahorro e Inversion</t>
  </si>
  <si>
    <t>Otros gastos</t>
  </si>
  <si>
    <t>Cafeterías</t>
  </si>
  <si>
    <t>Diferencia en clinica</t>
  </si>
  <si>
    <t>Empresa Cesar Iglecia</t>
  </si>
  <si>
    <t>Total de prestamo Bhd</t>
  </si>
  <si>
    <t>Supermecado Asia</t>
  </si>
  <si>
    <t>Insentivo del Hospital</t>
  </si>
  <si>
    <t>Exodus</t>
  </si>
  <si>
    <t>Total de prestamo Hipotecario</t>
  </si>
  <si>
    <t>Interative Broker</t>
  </si>
  <si>
    <t>Total prestamo popular</t>
  </si>
  <si>
    <t>Quik</t>
  </si>
  <si>
    <t>Total tarjeta de credito</t>
  </si>
  <si>
    <t>Vivienda</t>
  </si>
  <si>
    <t>Servicios públicos</t>
  </si>
  <si>
    <t>Gas</t>
  </si>
  <si>
    <t>Ropa y Calzado</t>
  </si>
  <si>
    <t>Supermercado</t>
  </si>
  <si>
    <t>Ropa especial</t>
  </si>
  <si>
    <t>Telecomunicacion</t>
  </si>
  <si>
    <t>Encaje La Rosario</t>
  </si>
  <si>
    <t>Tarjeta de debito</t>
  </si>
  <si>
    <t>Retiro de cajero</t>
  </si>
  <si>
    <t>Supermercado Bravo</t>
  </si>
  <si>
    <t>Compras quincenales</t>
  </si>
  <si>
    <t>Mantenimiento del hogar</t>
  </si>
  <si>
    <t>Ferrecentro</t>
  </si>
  <si>
    <t xml:space="preserve">Honorarios </t>
  </si>
  <si>
    <t>Ferreteria Celma</t>
  </si>
  <si>
    <t>Suscripciones</t>
  </si>
  <si>
    <t>Disney</t>
  </si>
  <si>
    <t>Salida a cenar</t>
  </si>
  <si>
    <t>Banreservas</t>
  </si>
  <si>
    <t>Tarjeta de débito</t>
  </si>
  <si>
    <t>Almacen el Nazareno LMF</t>
  </si>
  <si>
    <t>Mercado local</t>
  </si>
  <si>
    <t>Gasoil</t>
  </si>
  <si>
    <t>Combustible Hilux</t>
  </si>
  <si>
    <t>Bonificaciones</t>
  </si>
  <si>
    <t>Servicio de Supervisor Hospital Central</t>
  </si>
  <si>
    <t>Supermercado Sirena</t>
  </si>
  <si>
    <t>Supermercado Jumbo</t>
  </si>
  <si>
    <t>Odontología</t>
  </si>
  <si>
    <t>Ortodonsia</t>
  </si>
  <si>
    <t>Pizza Hut</t>
  </si>
  <si>
    <t>Internet / Cable</t>
  </si>
  <si>
    <t>Pago de internet</t>
  </si>
  <si>
    <t>Celular Yajaira</t>
  </si>
  <si>
    <t>Celular Ernesto</t>
  </si>
  <si>
    <t>Deportes</t>
  </si>
  <si>
    <t>Torneo Sanky</t>
  </si>
  <si>
    <t>Combustible CRV</t>
  </si>
  <si>
    <t>iCloud</t>
  </si>
  <si>
    <t>Microsoft</t>
  </si>
  <si>
    <t>Ropa diaria</t>
  </si>
  <si>
    <t>Compra de ropa casual</t>
  </si>
  <si>
    <t>Inversión</t>
  </si>
  <si>
    <t>Acciones Nacionales</t>
  </si>
  <si>
    <t>Acciones Internacionales</t>
  </si>
  <si>
    <t>Certificado de Ahorro</t>
  </si>
  <si>
    <t>Criptomonedas</t>
  </si>
  <si>
    <t>Pendiente</t>
  </si>
  <si>
    <t>Peajes</t>
  </si>
  <si>
    <t>Colegiatura</t>
  </si>
  <si>
    <t>Pago de tarjetas de crédito</t>
  </si>
  <si>
    <t>Pediatras que refiaran al consultorio</t>
  </si>
  <si>
    <t>Diagnostico</t>
  </si>
  <si>
    <t>Cantidad</t>
  </si>
  <si>
    <t>Porcentaje</t>
  </si>
  <si>
    <t>Total para el consultorio</t>
  </si>
  <si>
    <t>utilidad</t>
  </si>
  <si>
    <t xml:space="preserve">porcentaje para el pago del consultorio por pacientes </t>
  </si>
  <si>
    <t>Fimosis</t>
  </si>
  <si>
    <t>Hernia Umbilical</t>
  </si>
  <si>
    <t>Hernia Inguinal</t>
  </si>
  <si>
    <t xml:space="preserve">Regalias para pediatras que refieran al consultorio cada trimestre </t>
  </si>
  <si>
    <t>Total de regalia</t>
  </si>
  <si>
    <t>Estos Valores no incluyen la deducion del 10% de las ARS</t>
  </si>
  <si>
    <t>Descripcion</t>
  </si>
  <si>
    <t>Método de Pago</t>
  </si>
  <si>
    <t>Detalle Ejemplo</t>
  </si>
  <si>
    <t>Salario mensual del trabajo principal</t>
  </si>
  <si>
    <t>Ventas</t>
  </si>
  <si>
    <t>Ingresos extra</t>
  </si>
  <si>
    <t>Freelance, ventas ocasionales</t>
  </si>
  <si>
    <t>Bono anual, bono de desempeño</t>
  </si>
  <si>
    <t>Intereses / Dividendos</t>
  </si>
  <si>
    <t>Consulta</t>
  </si>
  <si>
    <t>Intereses de cuentas bancarias, dividendos</t>
  </si>
  <si>
    <t>Otros ingresos</t>
  </si>
  <si>
    <t>Alquiler de propiedades, herencias</t>
  </si>
  <si>
    <t>Domiciliación bancaria</t>
  </si>
  <si>
    <t>Compras de alimentos, productos de limpieza</t>
  </si>
  <si>
    <t>Verduras / Frutas mercado</t>
  </si>
  <si>
    <t>Compras en mercados locales</t>
  </si>
  <si>
    <t>Salidas a comer</t>
  </si>
  <si>
    <t>Supermercado Nacional</t>
  </si>
  <si>
    <t>Café, pastelerías</t>
  </si>
  <si>
    <t>Seguros</t>
  </si>
  <si>
    <t>Delivery / Comida rápida</t>
  </si>
  <si>
    <t>Pedidos por apps (UberEats, Rappi, etc.)</t>
  </si>
  <si>
    <t>Ahorros</t>
  </si>
  <si>
    <t>Alquiler / Hipoteca</t>
  </si>
  <si>
    <t>Pago mensual de alquiler o hipoteca</t>
  </si>
  <si>
    <t>Agua, electricidad, gas natural</t>
  </si>
  <si>
    <t>Internet residencial, televisión por cable</t>
  </si>
  <si>
    <t>Mascotas</t>
  </si>
  <si>
    <t>Reparaciones, fontanería, electricidad</t>
  </si>
  <si>
    <t>Donaciones</t>
  </si>
  <si>
    <t>Viveres</t>
  </si>
  <si>
    <t>Seguro del hogar</t>
  </si>
  <si>
    <t>Prima del seguro de la vivienda</t>
  </si>
  <si>
    <t>Ingresos de inversiones</t>
  </si>
  <si>
    <t>Combustible de automóvil</t>
  </si>
  <si>
    <t>Finca</t>
  </si>
  <si>
    <t>Mantenimiento del vehículo</t>
  </si>
  <si>
    <t>Cambio de aceite, llantas, mecánico</t>
  </si>
  <si>
    <t>Seguro vehicular</t>
  </si>
  <si>
    <t>Seguro anual del automóvil</t>
  </si>
  <si>
    <t>Transporte público</t>
  </si>
  <si>
    <t>Pasajes de bus, metro, tren</t>
  </si>
  <si>
    <t>Delivery</t>
  </si>
  <si>
    <t>Renta</t>
  </si>
  <si>
    <t>Peajes / Estacionamientos</t>
  </si>
  <si>
    <t>Pago de autopistas, parqueos</t>
  </si>
  <si>
    <t>Comida Rapida</t>
  </si>
  <si>
    <t>Seguro médico</t>
  </si>
  <si>
    <t>Póliza de salud familiar o individual</t>
  </si>
  <si>
    <t>Farmacia, recetas médicas</t>
  </si>
  <si>
    <t>Consultas médicas</t>
  </si>
  <si>
    <t>Visitas a médicos, especialistas</t>
  </si>
  <si>
    <t>Limpiezas, tratamientos dentales</t>
  </si>
  <si>
    <t>Emergencias médicas</t>
  </si>
  <si>
    <t>Urgencias hospitalarias</t>
  </si>
  <si>
    <t>Colegiatura / Universidad</t>
  </si>
  <si>
    <t>Pago de matrícula escolar o universitaria</t>
  </si>
  <si>
    <t>Materiales escolares</t>
  </si>
  <si>
    <t>Cuadernos, libros, uniformes</t>
  </si>
  <si>
    <t>Cursos / Talleres</t>
  </si>
  <si>
    <t>Cursos extracurriculares, talleres de formación</t>
  </si>
  <si>
    <t>Café diario</t>
  </si>
  <si>
    <t>Clases de música, deportes, idiomas</t>
  </si>
  <si>
    <t>Pedidos online</t>
  </si>
  <si>
    <t>Cine / Teatro</t>
  </si>
  <si>
    <t>Entradas de cine, teatro</t>
  </si>
  <si>
    <t>Netflix, Spotify, Amazon Prime</t>
  </si>
  <si>
    <t>Libros</t>
  </si>
  <si>
    <t>Compra de libros físicos o digitales</t>
  </si>
  <si>
    <t>Estacionamiento</t>
  </si>
  <si>
    <t>Salidas / Actividades recreativas</t>
  </si>
  <si>
    <t>Parque, excursiones, deportes</t>
  </si>
  <si>
    <t>Compras de ropa de uso cotidiano</t>
  </si>
  <si>
    <t>Prima anual</t>
  </si>
  <si>
    <t>Calzado</t>
  </si>
  <si>
    <t>Zapatos, sandalias, deportivas</t>
  </si>
  <si>
    <t>Trajes, vestidos de fiesta, uniformes</t>
  </si>
  <si>
    <t>Seguro de vida</t>
  </si>
  <si>
    <t>Prima anual del seguro de vida</t>
  </si>
  <si>
    <t>Cambio de aceite</t>
  </si>
  <si>
    <t>Seguro de accidentes</t>
  </si>
  <si>
    <t>Seguro por accidentes personales</t>
  </si>
  <si>
    <t>Póliza anual</t>
  </si>
  <si>
    <t>Otros seguros</t>
  </si>
  <si>
    <t>Seguro de viaje, seguro de gadgets</t>
  </si>
  <si>
    <t>Universidad</t>
  </si>
  <si>
    <t>Pasajes de metro</t>
  </si>
  <si>
    <t>Ahorros e Inversión</t>
  </si>
  <si>
    <t>Ahorro a cuenta bancaria</t>
  </si>
  <si>
    <t>Transferencias a cuenta de ahorro</t>
  </si>
  <si>
    <t>Pago de autopista</t>
  </si>
  <si>
    <t>Fondo de emergencia</t>
  </si>
  <si>
    <t>Ahorro destinado para imprevistos</t>
  </si>
  <si>
    <t>Póliza familiar</t>
  </si>
  <si>
    <t>Compra de acciones, fondos mutuos</t>
  </si>
  <si>
    <t>Cuotas de préstamo bancario</t>
  </si>
  <si>
    <t>Pago mensual de tarjetas</t>
  </si>
  <si>
    <t>Pago de créditos de auto</t>
  </si>
  <si>
    <t>Crédito vehicular</t>
  </si>
  <si>
    <t>Alimento</t>
  </si>
  <si>
    <t>Comida de mascotas</t>
  </si>
  <si>
    <t xml:space="preserve">Cine </t>
  </si>
  <si>
    <t>Compra de medicinas</t>
  </si>
  <si>
    <t>Veterinario</t>
  </si>
  <si>
    <t>Consultas y tratamientos veterinarios</t>
  </si>
  <si>
    <t>Visita médica</t>
  </si>
  <si>
    <t>Accesorios / Higiene</t>
  </si>
  <si>
    <t>Correas, arena, juguetes</t>
  </si>
  <si>
    <t>Limpieza dental</t>
  </si>
  <si>
    <t>Caridad</t>
  </si>
  <si>
    <t>Aportaciones a causas benéficas</t>
  </si>
  <si>
    <t>Iglesia / ONG</t>
  </si>
  <si>
    <t>Diezmos, donaciones recurrentes</t>
  </si>
  <si>
    <t>Actividades recreativas</t>
  </si>
  <si>
    <t>Regalos</t>
  </si>
  <si>
    <t>Cumpleaños, bodas, Navidad</t>
  </si>
  <si>
    <t>Reparaciones imprevistas</t>
  </si>
  <si>
    <t>Reparaciones no planificadas en casa o auto</t>
  </si>
  <si>
    <t>Urgencia hospitalaria</t>
  </si>
  <si>
    <t>Multas / Sanciones</t>
  </si>
  <si>
    <t>Multas de tráfico, cargos bancarios</t>
  </si>
  <si>
    <t>Pago de matrícula</t>
  </si>
  <si>
    <t>Materiales gastables</t>
  </si>
  <si>
    <t>Taller de música</t>
  </si>
  <si>
    <t>Clases de natación</t>
  </si>
  <si>
    <t>Voleiball</t>
  </si>
  <si>
    <t>Entradas de cine</t>
  </si>
  <si>
    <t>Excursión al parque</t>
  </si>
  <si>
    <t>Compra de zapatos</t>
  </si>
  <si>
    <t>Vestido para boda</t>
  </si>
  <si>
    <t>Seguro personal</t>
  </si>
  <si>
    <t>Seguro de dispositivos</t>
  </si>
  <si>
    <t xml:space="preserve">Multas </t>
  </si>
  <si>
    <t>Ahorro programado</t>
  </si>
  <si>
    <t>Transferencia a fondo</t>
  </si>
  <si>
    <t>Compra de fondos mutuos</t>
  </si>
  <si>
    <t>Prestamo Scotiabank</t>
  </si>
  <si>
    <t>Pago total de tarjeta</t>
  </si>
  <si>
    <t>Pago mínimo de tarjeta</t>
  </si>
  <si>
    <t>Crédito automotriz</t>
  </si>
  <si>
    <t>Donaciones a ONG</t>
  </si>
  <si>
    <t>Diezmos y ofrendas</t>
  </si>
  <si>
    <t>Regalos de  navidad</t>
  </si>
  <si>
    <t>Reparaciones de electrodomésticos</t>
  </si>
  <si>
    <t xml:space="preserve">Multas de tráfico </t>
  </si>
  <si>
    <t>Suma de Total Facturado</t>
  </si>
  <si>
    <t>suplidores</t>
  </si>
  <si>
    <t>Dias de la semana</t>
  </si>
  <si>
    <t>Suma de TOTAL DEL MES</t>
  </si>
  <si>
    <t>domingo</t>
  </si>
  <si>
    <t>lunes</t>
  </si>
  <si>
    <t>martes</t>
  </si>
  <si>
    <t>miércoles</t>
  </si>
  <si>
    <t>Utilidad Neta</t>
  </si>
  <si>
    <t>viernes</t>
  </si>
  <si>
    <t>sábado</t>
  </si>
  <si>
    <t>Facturado por producto</t>
  </si>
  <si>
    <t>Gasto por mes</t>
  </si>
  <si>
    <t>ene</t>
  </si>
  <si>
    <t>feb</t>
  </si>
  <si>
    <t>mar</t>
  </si>
  <si>
    <t>No Registrado</t>
  </si>
  <si>
    <t>Ayudantia</t>
  </si>
  <si>
    <t>Patreon</t>
  </si>
  <si>
    <t xml:space="preserve">Mes </t>
  </si>
  <si>
    <t>Desplazamiento</t>
  </si>
  <si>
    <t>Acercamiento</t>
  </si>
  <si>
    <t xml:space="preserve">Meses </t>
  </si>
  <si>
    <t>Sueldo</t>
  </si>
  <si>
    <t>Mes Junio 2025</t>
  </si>
  <si>
    <t>B0100000265</t>
  </si>
  <si>
    <t>Clinica Integral III</t>
  </si>
  <si>
    <t>Mes Julio  2025</t>
  </si>
  <si>
    <t>B1500000207</t>
  </si>
  <si>
    <t>B0100000266</t>
  </si>
  <si>
    <t>B0100000267</t>
  </si>
  <si>
    <t>B0100000268</t>
  </si>
  <si>
    <t>B0100000269</t>
  </si>
  <si>
    <t>Mes Agosto  2025</t>
  </si>
  <si>
    <t>B1500000208</t>
  </si>
  <si>
    <t>B0100000270</t>
  </si>
  <si>
    <t>B0100000271</t>
  </si>
  <si>
    <t>B0100000272</t>
  </si>
  <si>
    <t>B0100000273</t>
  </si>
  <si>
    <t>Mes Septiembre  2025</t>
  </si>
  <si>
    <t>B1500000209</t>
  </si>
  <si>
    <t>B0100000274</t>
  </si>
  <si>
    <t>B0100000275</t>
  </si>
  <si>
    <t>B0100000276</t>
  </si>
  <si>
    <t>B0100000277</t>
  </si>
  <si>
    <t>B0100000278</t>
  </si>
  <si>
    <t>Mes de SEPTIEMBRE 2024</t>
  </si>
  <si>
    <t>Mes Octubre 2025</t>
  </si>
  <si>
    <t>Abel Gonzalez</t>
  </si>
  <si>
    <t>B1500000210</t>
  </si>
  <si>
    <t>B0100000279</t>
  </si>
  <si>
    <t>B0100000280</t>
  </si>
  <si>
    <t>B0100000281</t>
  </si>
  <si>
    <t>Mes Enero 2026</t>
  </si>
  <si>
    <t>MAPFRE SALUD</t>
  </si>
  <si>
    <t>PRIMERA- HUMANO.</t>
  </si>
  <si>
    <t>ARS  HUMANO.</t>
  </si>
  <si>
    <t>ARS UNIVERSAL</t>
  </si>
  <si>
    <t>Diciembre/doble</t>
  </si>
  <si>
    <t>B1500000220</t>
  </si>
  <si>
    <t>B0100000312</t>
  </si>
  <si>
    <t>B0100000313</t>
  </si>
  <si>
    <t>B0100000314</t>
  </si>
  <si>
    <t>B0100000315</t>
  </si>
  <si>
    <t>Mes Febrero 2026</t>
  </si>
  <si>
    <t>B1500000221</t>
  </si>
  <si>
    <t>DASHBOARD — CONSOLIDADOS DE PAGOS POR ARS</t>
  </si>
  <si>
    <t>Período: Junio 2021 — Febrero 2026  |  Fuente: CONSOLIDADOS DE PAGOS</t>
  </si>
  <si>
    <t>TOTAL FACTURADO</t>
  </si>
  <si>
    <t>TOTAL PAGADO</t>
  </si>
  <si>
    <t># PERÍODOS</t>
  </si>
  <si>
    <t># ARS ACTIVAS</t>
  </si>
  <si>
    <t>PROMEDIO MENSUAL</t>
  </si>
  <si>
    <t>Monto Retenido</t>
  </si>
  <si>
    <t>Total Pagado</t>
  </si>
  <si>
    <t>RESUMEN POR AÑO</t>
  </si>
  <si>
    <t>Período</t>
  </si>
  <si>
    <t>Facturado</t>
  </si>
  <si>
    <t>Jun-Ago 21</t>
  </si>
  <si>
    <t>Ago-Sep 21</t>
  </si>
  <si>
    <t>Sep-Oct 21</t>
  </si>
  <si>
    <t>Oct-Nov 21</t>
  </si>
  <si>
    <t>Nov-Dic 21</t>
  </si>
  <si>
    <t>Ene 22</t>
  </si>
  <si>
    <t>Abr 22</t>
  </si>
  <si>
    <t>Ago 22</t>
  </si>
  <si>
    <t>Dic 22</t>
  </si>
  <si>
    <t>Ene 23</t>
  </si>
  <si>
    <t>Abr 23</t>
  </si>
  <si>
    <t>Ago 23</t>
  </si>
  <si>
    <t>Dic 23</t>
  </si>
  <si>
    <t>Ene 24</t>
  </si>
  <si>
    <t>Abr 24</t>
  </si>
  <si>
    <t>Ago 24</t>
  </si>
  <si>
    <t>Dic 24</t>
  </si>
  <si>
    <t>Abr 25</t>
  </si>
  <si>
    <t>Ago 25</t>
  </si>
  <si>
    <t>Ene 26</t>
  </si>
  <si>
    <t>% del Total</t>
  </si>
  <si>
    <t>TOTAL RETENIDO (10%)</t>
  </si>
  <si>
    <t>PROM. MENSUAL FACT.</t>
  </si>
  <si>
    <t>TOP 10 ARS — MONTO FACTURADO ACUMULADO</t>
  </si>
  <si>
    <t>TOTAL TOP 10</t>
  </si>
  <si>
    <t>Retenido</t>
  </si>
  <si>
    <t>EVOLUCIÓN MENSUAL</t>
  </si>
  <si>
    <t>DASHBOARD DE SUELDOS Y HONORARIOS</t>
  </si>
  <si>
    <t>Período: Julio 2021 — Diciembre 2026  |  Incluye Proyecciones  |  Fuente: Hoja SUELDOS</t>
  </si>
  <si>
    <t>TOTAL PAGADO
(Histórico)</t>
  </si>
  <si>
    <t>MES MÁS ALTO</t>
  </si>
  <si>
    <t>MES MÁS BAJO</t>
  </si>
  <si>
    <t>TOTAL ERD
(Histórico)</t>
  </si>
  <si>
    <t>TOTAL HONORARIOS
(Histórico)</t>
  </si>
  <si>
    <t>PROY. TOTAL 2026</t>
  </si>
  <si>
    <t>VARIACIÓN 2025
vs 2024</t>
  </si>
  <si>
    <t>RESUMEN ANUAL</t>
  </si>
  <si>
    <t>Consultas</t>
  </si>
  <si>
    <t>Total Año</t>
  </si>
  <si>
    <t>Var. vs Anterior</t>
  </si>
  <si>
    <t>—</t>
  </si>
  <si>
    <t>COMPOSICIÓN PROMEDIO DEL INGRESO MENSUAL</t>
  </si>
  <si>
    <t>Componente</t>
  </si>
  <si>
    <t>Promedio Mensual</t>
  </si>
  <si>
    <t>EVOLUCIÓN MENSUAL — HISTÓRICO + PROYECCIONES</t>
  </si>
  <si>
    <t>Salario Base</t>
  </si>
  <si>
    <t>GRÁFICO ANUAL</t>
  </si>
  <si>
    <t>COMPOSICIÓN</t>
  </si>
  <si>
    <t>Promedio</t>
  </si>
  <si>
    <t>DESGLOSE ANUAL</t>
  </si>
  <si>
    <t>ANÁLISIS DE PROYECCIONES 2026</t>
  </si>
  <si>
    <t>Concepto</t>
  </si>
  <si>
    <t>2025 Real</t>
  </si>
  <si>
    <t>2026 Proyectado</t>
  </si>
  <si>
    <t>Salario Base (ERD+MARV+HMNSA)</t>
  </si>
  <si>
    <t>Honorarios (ARS)</t>
  </si>
  <si>
    <t>Variación % (2026 vs 2025)</t>
  </si>
  <si>
    <t>📋 NOTAS Y HALLAZGOS CLAVE</t>
  </si>
  <si>
    <t>1.</t>
  </si>
  <si>
    <t>SENASA fue la ARS más rentable en honorarios (61% del total de pagos ARS). El pico fue septiembre 2022 ($926K facturados).</t>
  </si>
  <si>
    <t>2.</t>
  </si>
  <si>
    <t>Los salarios base (ERD+MARVESA+HMNSA) se incrementaron ~15% en 2025 vs 2024, pasando de $688K a $837K anuales para HMNSA.</t>
  </si>
  <si>
    <t>3.</t>
  </si>
  <si>
    <t>Los honorarios por ARS son altamente volátiles — varían de $0 a $926K por mes, creando alta incertidumbre en el ingreso total.</t>
  </si>
  <si>
    <t>4.</t>
  </si>
  <si>
    <t>2023 fue el año pico de ingresos totales ($5.31M), impulsado por honorarios ARS consistentemente altos todo el año.</t>
  </si>
  <si>
    <t>5.</t>
  </si>
  <si>
    <t>PROYECCIÓN 2026: Caída estimada de -23.2% vs 2025, principalmente porque los honorarios de Mar-Dic 2026 aún no tienen valores.</t>
  </si>
  <si>
    <t>6.</t>
  </si>
  <si>
    <t>Las filas en AMARILLO (Mar-Dic 2026) representan proyecciones basadas solo en salario base fijo, sin honorarios estimados.</t>
  </si>
  <si>
    <t>7.</t>
  </si>
  <si>
    <t>RIESGO CLAVE: Los honorarios representan ~47% del ingreso total promedio — alta dependencia de la facturación a aseguradoras.</t>
  </si>
  <si>
    <t>8.</t>
  </si>
  <si>
    <t>Las consultas privadas apenas aportan ~2.8% del ingreso — oportunidad de crecimiento si se incrementa esta fuente.</t>
  </si>
  <si>
    <t>B1500000222</t>
  </si>
  <si>
    <t>B0100000316</t>
  </si>
  <si>
    <t>B0100000317</t>
  </si>
  <si>
    <t>B0100000318</t>
  </si>
  <si>
    <t>ARS Futuro</t>
  </si>
  <si>
    <t>Ars Reservas</t>
  </si>
  <si>
    <t>Mes Marzo 2026</t>
  </si>
  <si>
    <t>B0100000319</t>
  </si>
  <si>
    <t>B0100000320</t>
  </si>
  <si>
    <t>Mes Abril 2026</t>
  </si>
  <si>
    <t>B1500000223</t>
  </si>
  <si>
    <t>B0100000321</t>
  </si>
  <si>
    <t>B0100000322</t>
  </si>
  <si>
    <t>B0100000323</t>
  </si>
  <si>
    <t>Mes Mayo 2026</t>
  </si>
  <si>
    <t>B1500000224</t>
  </si>
  <si>
    <t>B0100000324</t>
  </si>
  <si>
    <t>B0100000325</t>
  </si>
  <si>
    <t>B0100000326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</si>
</sst>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
    <numFmt numFmtId="167" formatCode="&quot;$&quot;#,##0.00"/>
    <numFmt numFmtId="168" formatCode="&quot;$&quot;#,##0"/>
  </numFmts>
  <fonts count="69" x14ac:knownFonts="1">
    <font>
      <sz val="11"/>
      <color theme="1"/>
      <name val="Calibri"/>
      <family val="2"/>
      <scheme val="minor"/>
    </font>
    <font>
      <sz val="11"/>
      <color theme="1"/>
      <name val="Calibri"/>
      <family val="2"/>
      <scheme val="minor"/>
    </font>
    <font>
      <sz val="18"/>
      <color theme="1"/>
      <name val="Calibri"/>
      <family val="2"/>
      <scheme val="minor"/>
    </font>
    <font>
      <b/>
      <sz val="11"/>
      <color theme="1"/>
      <name val="Calibri"/>
      <family val="2"/>
      <scheme val="minor"/>
    </font>
    <font>
      <sz val="11"/>
      <color theme="0" tint="-4.9989318521683403E-2"/>
      <name val="Calibri"/>
      <family val="2"/>
      <scheme val="minor"/>
    </font>
    <font>
      <b/>
      <sz val="12"/>
      <color theme="1"/>
      <name val="Calibri"/>
      <family val="2"/>
      <scheme val="minor"/>
    </font>
    <font>
      <b/>
      <u/>
      <sz val="14"/>
      <color theme="1"/>
      <name val="Calibri"/>
      <family val="2"/>
      <scheme val="minor"/>
    </font>
    <font>
      <b/>
      <u/>
      <sz val="14"/>
      <color theme="8" tint="-0.249977111117893"/>
      <name val="Calibri"/>
      <family val="2"/>
      <scheme val="minor"/>
    </font>
    <font>
      <b/>
      <sz val="20"/>
      <color theme="1"/>
      <name val="Calibri"/>
      <family val="2"/>
      <scheme val="minor"/>
    </font>
    <font>
      <b/>
      <sz val="18"/>
      <color theme="1"/>
      <name val="Calibri"/>
      <family val="2"/>
      <scheme val="minor"/>
    </font>
    <font>
      <b/>
      <u/>
      <sz val="14"/>
      <color theme="8"/>
      <name val="Calibri"/>
      <family val="2"/>
      <scheme val="minor"/>
    </font>
    <font>
      <sz val="28"/>
      <color theme="1"/>
      <name val="Calibri"/>
      <family val="2"/>
      <scheme val="minor"/>
    </font>
    <font>
      <b/>
      <sz val="26"/>
      <color theme="1"/>
      <name val="Calibri"/>
      <family val="2"/>
      <scheme val="minor"/>
    </font>
    <font>
      <sz val="8"/>
      <name val="Calibri"/>
      <family val="2"/>
      <scheme val="minor"/>
    </font>
    <font>
      <b/>
      <sz val="24"/>
      <color theme="1"/>
      <name val="Calibri"/>
      <family val="2"/>
      <scheme val="minor"/>
    </font>
    <font>
      <sz val="24"/>
      <color theme="1"/>
      <name val="Calibri"/>
      <family val="2"/>
      <scheme val="minor"/>
    </font>
    <font>
      <sz val="11"/>
      <color rgb="FFFF0000"/>
      <name val="Calibri"/>
      <family val="2"/>
      <scheme val="minor"/>
    </font>
    <font>
      <b/>
      <sz val="11"/>
      <color rgb="FF0000FF"/>
      <name val="Tahoma"/>
      <family val="2"/>
    </font>
    <font>
      <b/>
      <sz val="10"/>
      <name val="Tahoma"/>
      <family val="2"/>
    </font>
    <font>
      <b/>
      <sz val="10"/>
      <color rgb="FFFF0000"/>
      <name val="Tahoma"/>
      <family val="2"/>
    </font>
    <font>
      <sz val="10"/>
      <name val="Arial"/>
      <family val="2"/>
    </font>
    <font>
      <sz val="11"/>
      <name val="Book Antiqua"/>
      <family val="1"/>
    </font>
    <font>
      <b/>
      <sz val="12"/>
      <color rgb="FFFF0000"/>
      <name val="Calibri"/>
      <family val="2"/>
      <scheme val="minor"/>
    </font>
    <font>
      <sz val="8"/>
      <color rgb="FF0000FF"/>
      <name val="Arial"/>
      <family val="2"/>
    </font>
    <font>
      <b/>
      <sz val="12"/>
      <name val="Calibri"/>
      <family val="2"/>
      <scheme val="minor"/>
    </font>
    <font>
      <b/>
      <sz val="10"/>
      <name val="Arial Black"/>
      <family val="2"/>
    </font>
    <font>
      <sz val="11"/>
      <name val="Calibri"/>
      <family val="2"/>
      <scheme val="minor"/>
    </font>
    <font>
      <sz val="9"/>
      <name val="Arial"/>
      <family val="2"/>
    </font>
    <font>
      <sz val="11"/>
      <color theme="1"/>
      <name val="Book Antiqua"/>
      <family val="1"/>
    </font>
    <font>
      <sz val="10"/>
      <color theme="1"/>
      <name val="Arial"/>
      <family val="2"/>
    </font>
    <font>
      <sz val="10"/>
      <color rgb="FFFF0000"/>
      <name val="Arial"/>
      <family val="2"/>
    </font>
    <font>
      <sz val="11"/>
      <color rgb="FFFF0000"/>
      <name val="Book Antiqua"/>
      <family val="1"/>
    </font>
    <font>
      <sz val="10"/>
      <name val="Book Antiqua"/>
      <family val="1"/>
    </font>
    <font>
      <sz val="10"/>
      <color rgb="FFFF0000"/>
      <name val="Book Antiqua"/>
      <family val="1"/>
    </font>
    <font>
      <b/>
      <sz val="11"/>
      <color rgb="FFFF0000"/>
      <name val="Calibri"/>
      <family val="2"/>
      <scheme val="minor"/>
    </font>
    <font>
      <b/>
      <sz val="10"/>
      <color rgb="FFFF0000"/>
      <name val="Arial"/>
      <family val="2"/>
    </font>
    <font>
      <b/>
      <sz val="6"/>
      <name val="Arial"/>
      <family val="2"/>
    </font>
    <font>
      <b/>
      <sz val="11"/>
      <name val="Arial"/>
      <family val="2"/>
    </font>
    <font>
      <sz val="10"/>
      <color indexed="10"/>
      <name val="Book Antiqua"/>
      <family val="1"/>
    </font>
    <font>
      <sz val="8"/>
      <name val="Arial"/>
      <family val="2"/>
    </font>
    <font>
      <b/>
      <sz val="8"/>
      <color rgb="FF0000FF"/>
      <name val="Arial"/>
      <family val="2"/>
    </font>
    <font>
      <b/>
      <sz val="8"/>
      <name val="Tahoma"/>
      <family val="2"/>
    </font>
    <font>
      <b/>
      <sz val="8"/>
      <color rgb="FFFF0000"/>
      <name val="Tahoma"/>
      <family val="2"/>
    </font>
    <font>
      <b/>
      <sz val="8"/>
      <name val="Arial"/>
      <family val="2"/>
    </font>
    <font>
      <sz val="11"/>
      <color theme="1"/>
      <name val="Roboto black"/>
    </font>
    <font>
      <sz val="8"/>
      <color indexed="10"/>
      <name val="Arial"/>
      <family val="2"/>
    </font>
    <font>
      <b/>
      <sz val="8"/>
      <color rgb="FFFF0000"/>
      <name val="Arial"/>
      <family val="2"/>
    </font>
    <font>
      <b/>
      <sz val="11"/>
      <color theme="0"/>
      <name val="Calibri"/>
      <family val="2"/>
      <scheme val="minor"/>
    </font>
    <font>
      <sz val="11"/>
      <color theme="1"/>
      <name val="Copperplate Gothic Light"/>
      <family val="2"/>
    </font>
    <font>
      <sz val="11"/>
      <color theme="1"/>
      <name val="Copperplate Gothic Bold"/>
      <family val="2"/>
    </font>
    <font>
      <sz val="11"/>
      <color theme="1"/>
      <name val="Calibri"/>
      <family val="2"/>
    </font>
    <font>
      <sz val="10"/>
      <color theme="1"/>
      <name val="Calibri"/>
      <family val="2"/>
      <scheme val="minor"/>
    </font>
    <font>
      <b/>
      <sz val="18"/>
      <color rgb="FFFFFFFF"/>
      <name val="Calibri"/>
      <family val="2"/>
      <scheme val="minor"/>
    </font>
    <font>
      <i/>
      <sz val="10"/>
      <color rgb="FF1F4E79"/>
      <name val="Calibri"/>
      <family val="2"/>
      <scheme val="minor"/>
    </font>
    <font>
      <b/>
      <sz val="9"/>
      <color rgb="FFFFFFFF"/>
      <name val="Calibri"/>
      <family val="2"/>
      <scheme val="minor"/>
    </font>
    <font>
      <b/>
      <sz val="14"/>
      <color rgb="FF1F4E79"/>
      <name val="Calibri"/>
      <family val="2"/>
      <scheme val="minor"/>
    </font>
    <font>
      <b/>
      <sz val="11"/>
      <color rgb="FFFFFFFF"/>
      <name val="Calibri"/>
      <family val="2"/>
      <scheme val="minor"/>
    </font>
    <font>
      <b/>
      <sz val="11"/>
      <color rgb="FF1F4E79"/>
      <name val="Calibri"/>
      <family val="2"/>
      <scheme val="minor"/>
    </font>
    <font>
      <sz val="11"/>
      <color rgb="FFFFFFFF"/>
      <name val="Calibri"/>
      <family val="2"/>
      <scheme val="minor"/>
    </font>
    <font>
      <b/>
      <sz val="8"/>
      <color rgb="FFFFFFFF"/>
      <name val="Calibri"/>
      <family val="2"/>
      <scheme val="minor"/>
    </font>
    <font>
      <b/>
      <sz val="20"/>
      <color rgb="FFFFFFFF"/>
      <name val="Calibri"/>
      <family val="2"/>
      <scheme val="minor"/>
    </font>
    <font>
      <i/>
      <sz val="10"/>
      <color rgb="FF1B3A5C"/>
      <name val="Calibri"/>
      <family val="2"/>
      <scheme val="minor"/>
    </font>
    <font>
      <b/>
      <sz val="14"/>
      <color rgb="FF1B3A5C"/>
      <name val="Calibri"/>
      <family val="2"/>
      <scheme val="minor"/>
    </font>
    <font>
      <b/>
      <sz val="12"/>
      <color rgb="FFFFFFFF"/>
      <name val="Calibri"/>
      <family val="2"/>
      <scheme val="minor"/>
    </font>
    <font>
      <b/>
      <sz val="11"/>
      <color rgb="FF1B3A5C"/>
      <name val="Calibri"/>
      <family val="2"/>
      <scheme val="minor"/>
    </font>
    <font>
      <i/>
      <sz val="11"/>
      <color theme="1"/>
      <name val="Calibri"/>
      <family val="2"/>
      <scheme val="minor"/>
    </font>
    <font>
      <b/>
      <sz val="11"/>
      <color rgb="FFC55A11"/>
      <name val="Calibri"/>
      <family val="2"/>
      <scheme val="minor"/>
    </font>
    <font>
      <b/>
      <sz val="10"/>
      <color rgb="FF548235"/>
      <name val="Calibri"/>
      <family val="2"/>
      <scheme val="minor"/>
    </font>
    <font>
      <b/>
      <i/>
      <sz val="10"/>
      <color rgb="FF548235"/>
      <name val="Calibri"/>
      <family val="2"/>
      <scheme val="minor"/>
    </font>
  </fonts>
  <fills count="29">
    <fill>
      <patternFill patternType="none"/>
    </fill>
    <fill>
      <patternFill patternType="gray125"/>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indexed="65"/>
        <bgColor indexed="64"/>
      </patternFill>
    </fill>
    <fill>
      <patternFill patternType="solid">
        <fgColor rgb="FFFFFFCC"/>
        <bgColor indexed="64"/>
      </patternFill>
    </fill>
    <fill>
      <patternFill patternType="solid">
        <fgColor rgb="FFFFFF99"/>
        <bgColor indexed="64"/>
      </patternFill>
    </fill>
    <fill>
      <patternFill patternType="solid">
        <fgColor indexed="13"/>
        <bgColor indexed="64"/>
      </patternFill>
    </fill>
    <fill>
      <patternFill patternType="solid">
        <fgColor theme="4"/>
        <bgColor theme="4"/>
      </patternFill>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E9EFF7"/>
        <bgColor indexed="64"/>
      </patternFill>
    </fill>
    <fill>
      <patternFill patternType="solid">
        <fgColor rgb="FFF2F7FB"/>
        <bgColor indexed="64"/>
      </patternFill>
    </fill>
    <fill>
      <patternFill patternType="solid">
        <fgColor rgb="FF1B3A5C"/>
        <bgColor indexed="64"/>
      </patternFill>
    </fill>
    <fill>
      <patternFill patternType="solid">
        <fgColor rgb="FFFFF2CC"/>
        <bgColor indexed="64"/>
      </patternFill>
    </fill>
    <fill>
      <patternFill patternType="solid">
        <fgColor rgb="FFC55A11"/>
        <bgColor indexed="64"/>
      </patternFill>
    </fill>
    <fill>
      <patternFill patternType="solid">
        <fgColor rgb="FFFBE5D6"/>
        <bgColor indexed="64"/>
      </patternFill>
    </fill>
    <fill>
      <patternFill patternType="solid">
        <fgColor rgb="FF548235"/>
        <bgColor indexed="64"/>
      </patternFill>
    </fill>
    <fill>
      <patternFill patternType="solid">
        <fgColor rgb="FFF0F7E8"/>
        <bgColor indexed="64"/>
      </patternFill>
    </fill>
  </fills>
  <borders count="9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theme="4" tint="0.39997558519241921"/>
      </top>
      <bottom style="thin">
        <color theme="4" tint="0.39997558519241921"/>
      </bottom>
      <diagonal/>
    </border>
    <border>
      <left style="thin">
        <color theme="4" tint="0.39997558519241921"/>
      </left>
      <right/>
      <top style="medium">
        <color indexed="64"/>
      </top>
      <bottom/>
      <diagonal/>
    </border>
    <border>
      <left style="thin">
        <color theme="4" tint="0.39997558519241921"/>
      </left>
      <right/>
      <top style="thin">
        <color theme="4" tint="0.39997558519241921"/>
      </top>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auto="1"/>
      </bottom>
      <diagonal/>
    </border>
    <border>
      <left style="thin">
        <color rgb="FFB4C6E7"/>
      </left>
      <right style="thin">
        <color rgb="FFB4C6E7"/>
      </right>
      <top style="thin">
        <color auto="1"/>
      </top>
      <bottom style="thin">
        <color rgb="FFB4C6E7"/>
      </bottom>
      <diagonal/>
    </border>
    <border>
      <left style="thin">
        <color auto="1"/>
      </left>
      <right style="thin">
        <color rgb="FFB4C6E7"/>
      </right>
      <top style="thin">
        <color auto="1"/>
      </top>
      <bottom style="thin">
        <color rgb="FFB4C6E7"/>
      </bottom>
      <diagonal/>
    </border>
    <border>
      <left style="thin">
        <color auto="1"/>
      </left>
      <right style="thin">
        <color rgb="FFB4C6E7"/>
      </right>
      <top style="thin">
        <color rgb="FFB4C6E7"/>
      </top>
      <bottom style="thin">
        <color rgb="FFB4C6E7"/>
      </bottom>
      <diagonal/>
    </border>
    <border>
      <left style="thin">
        <color auto="1"/>
      </left>
      <right style="thin">
        <color rgb="FFB4C6E7"/>
      </right>
      <top style="thin">
        <color rgb="FFB4C6E7"/>
      </top>
      <bottom style="thin">
        <color auto="1"/>
      </bottom>
      <diagonal/>
    </border>
    <border>
      <left style="thin">
        <color rgb="FFB4C6E7"/>
      </left>
      <right style="thin">
        <color auto="1"/>
      </right>
      <top style="thin">
        <color auto="1"/>
      </top>
      <bottom style="thin">
        <color rgb="FFB4C6E7"/>
      </bottom>
      <diagonal/>
    </border>
    <border>
      <left style="thin">
        <color rgb="FFB4C6E7"/>
      </left>
      <right style="thin">
        <color auto="1"/>
      </right>
      <top style="thin">
        <color rgb="FFB4C6E7"/>
      </top>
      <bottom style="thin">
        <color rgb="FFB4C6E7"/>
      </bottom>
      <diagonal/>
    </border>
    <border>
      <left style="thin">
        <color rgb="FFB4C6E7"/>
      </left>
      <right style="thin">
        <color auto="1"/>
      </right>
      <top style="thin">
        <color rgb="FFB4C6E7"/>
      </top>
      <bottom style="thin">
        <color auto="1"/>
      </bottom>
      <diagonal/>
    </border>
    <border>
      <left/>
      <right/>
      <top/>
      <bottom style="thick">
        <color rgb="FF2E75B6"/>
      </bottom>
      <diagonal/>
    </border>
    <border>
      <left/>
      <right/>
      <top style="thin">
        <color rgb="FFE0E0E0"/>
      </top>
      <bottom/>
      <diagonal/>
    </border>
    <border>
      <left/>
      <right style="thin">
        <color auto="1"/>
      </right>
      <top style="thin">
        <color rgb="FFE0E0E0"/>
      </top>
      <bottom/>
      <diagonal/>
    </border>
    <border>
      <left style="thin">
        <color auto="1"/>
      </left>
      <right/>
      <top style="thin">
        <color rgb="FFE0E0E0"/>
      </top>
      <bottom/>
      <diagonal/>
    </border>
    <border>
      <left style="thin">
        <color rgb="FFE0E0E0"/>
      </left>
      <right style="thin">
        <color rgb="FFE0E0E0"/>
      </right>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auto="1"/>
      </bottom>
      <diagonal/>
    </border>
    <border>
      <left style="thin">
        <color rgb="FFE0E0E0"/>
      </left>
      <right style="thin">
        <color rgb="FFE0E0E0"/>
      </right>
      <top style="thin">
        <color auto="1"/>
      </top>
      <bottom style="thin">
        <color rgb="FFE0E0E0"/>
      </bottom>
      <diagonal/>
    </border>
    <border>
      <left style="thin">
        <color auto="1"/>
      </left>
      <right style="thin">
        <color rgb="FFE0E0E0"/>
      </right>
      <top style="thin">
        <color auto="1"/>
      </top>
      <bottom style="thin">
        <color rgb="FFE0E0E0"/>
      </bottom>
      <diagonal/>
    </border>
    <border>
      <left style="thin">
        <color auto="1"/>
      </left>
      <right style="thin">
        <color rgb="FFE0E0E0"/>
      </right>
      <top style="thin">
        <color rgb="FFE0E0E0"/>
      </top>
      <bottom style="thin">
        <color rgb="FFE0E0E0"/>
      </bottom>
      <diagonal/>
    </border>
    <border>
      <left style="thin">
        <color auto="1"/>
      </left>
      <right style="thin">
        <color rgb="FFE0E0E0"/>
      </right>
      <top style="thin">
        <color rgb="FFE0E0E0"/>
      </top>
      <bottom style="thin">
        <color auto="1"/>
      </bottom>
      <diagonal/>
    </border>
    <border>
      <left style="thin">
        <color rgb="FFE0E0E0"/>
      </left>
      <right style="thin">
        <color auto="1"/>
      </right>
      <top style="thin">
        <color auto="1"/>
      </top>
      <bottom style="thin">
        <color rgb="FFE0E0E0"/>
      </bottom>
      <diagonal/>
    </border>
    <border>
      <left style="thin">
        <color rgb="FFE0E0E0"/>
      </left>
      <right style="thin">
        <color auto="1"/>
      </right>
      <top style="thin">
        <color rgb="FFE0E0E0"/>
      </top>
      <bottom style="thin">
        <color rgb="FFE0E0E0"/>
      </bottom>
      <diagonal/>
    </border>
    <border>
      <left style="thin">
        <color rgb="FFE0E0E0"/>
      </left>
      <right style="thin">
        <color auto="1"/>
      </right>
      <top style="thin">
        <color rgb="FFE0E0E0"/>
      </top>
      <bottom style="thin">
        <color auto="1"/>
      </bottom>
      <diagonal/>
    </border>
    <border>
      <left style="thin">
        <color rgb="FFE8C8A8"/>
      </left>
      <right style="thin">
        <color rgb="FFE8C8A8"/>
      </right>
      <top style="thin">
        <color rgb="FFE8C8A8"/>
      </top>
      <bottom style="thin">
        <color rgb="FFE8C8A8"/>
      </bottom>
      <diagonal/>
    </border>
    <border>
      <left style="thin">
        <color rgb="FFE8C8A8"/>
      </left>
      <right style="thin">
        <color rgb="FFE8C8A8"/>
      </right>
      <top style="thin">
        <color rgb="FFE8C8A8"/>
      </top>
      <bottom style="thin">
        <color auto="1"/>
      </bottom>
      <diagonal/>
    </border>
    <border>
      <left style="thin">
        <color rgb="FFE8C8A8"/>
      </left>
      <right style="thin">
        <color rgb="FFE8C8A8"/>
      </right>
      <top style="thin">
        <color auto="1"/>
      </top>
      <bottom style="thin">
        <color rgb="FFE8C8A8"/>
      </bottom>
      <diagonal/>
    </border>
    <border>
      <left style="thin">
        <color auto="1"/>
      </left>
      <right style="thin">
        <color rgb="FFE8C8A8"/>
      </right>
      <top style="thin">
        <color auto="1"/>
      </top>
      <bottom style="thin">
        <color rgb="FFE8C8A8"/>
      </bottom>
      <diagonal/>
    </border>
    <border>
      <left style="thin">
        <color auto="1"/>
      </left>
      <right style="thin">
        <color rgb="FFE8C8A8"/>
      </right>
      <top style="thin">
        <color rgb="FFE8C8A8"/>
      </top>
      <bottom style="thin">
        <color rgb="FFE8C8A8"/>
      </bottom>
      <diagonal/>
    </border>
    <border>
      <left style="thin">
        <color auto="1"/>
      </left>
      <right style="thin">
        <color rgb="FFE8C8A8"/>
      </right>
      <top style="thin">
        <color rgb="FFE8C8A8"/>
      </top>
      <bottom style="thin">
        <color auto="1"/>
      </bottom>
      <diagonal/>
    </border>
    <border>
      <left style="thin">
        <color rgb="FFE8C8A8"/>
      </left>
      <right style="thin">
        <color auto="1"/>
      </right>
      <top style="thin">
        <color auto="1"/>
      </top>
      <bottom style="thin">
        <color rgb="FFE8C8A8"/>
      </bottom>
      <diagonal/>
    </border>
    <border>
      <left style="thin">
        <color rgb="FFE8C8A8"/>
      </left>
      <right style="thin">
        <color auto="1"/>
      </right>
      <top style="thin">
        <color rgb="FFE8C8A8"/>
      </top>
      <bottom style="thin">
        <color rgb="FFE8C8A8"/>
      </bottom>
      <diagonal/>
    </border>
    <border>
      <left style="thin">
        <color rgb="FFE8C8A8"/>
      </left>
      <right style="thin">
        <color auto="1"/>
      </right>
      <top style="thin">
        <color rgb="FFE8C8A8"/>
      </top>
      <bottom style="thin">
        <color auto="1"/>
      </bottom>
      <diagonal/>
    </border>
    <border>
      <left/>
      <right/>
      <top style="thin">
        <color rgb="FFC5E0B4"/>
      </top>
      <bottom style="thin">
        <color rgb="FFC5E0B4"/>
      </bottom>
      <diagonal/>
    </border>
    <border>
      <left/>
      <right/>
      <top style="thin">
        <color rgb="FFC5E0B4"/>
      </top>
      <bottom style="thin">
        <color rgb="FF548235"/>
      </bottom>
      <diagonal/>
    </border>
    <border>
      <left/>
      <right style="thin">
        <color rgb="FF548235"/>
      </right>
      <top style="thin">
        <color rgb="FFC5E0B4"/>
      </top>
      <bottom style="thin">
        <color rgb="FFC5E0B4"/>
      </bottom>
      <diagonal/>
    </border>
    <border>
      <left/>
      <right style="thin">
        <color rgb="FF548235"/>
      </right>
      <top style="thin">
        <color rgb="FFC5E0B4"/>
      </top>
      <bottom style="thin">
        <color rgb="FF548235"/>
      </bottom>
      <diagonal/>
    </border>
    <border>
      <left style="thin">
        <color auto="1"/>
      </left>
      <right style="thin">
        <color rgb="FFE0E0E0"/>
      </right>
      <top/>
      <bottom style="thin">
        <color rgb="FFE0E0E0"/>
      </bottom>
      <diagonal/>
    </border>
    <border>
      <left style="thin">
        <color rgb="FFE0E0E0"/>
      </left>
      <right style="thin">
        <color auto="1"/>
      </right>
      <top/>
      <bottom style="thin">
        <color rgb="FFE0E0E0"/>
      </bottom>
      <diagonal/>
    </border>
    <border>
      <left style="thin">
        <color rgb="FFE0E0E0"/>
      </left>
      <right/>
      <top style="thin">
        <color rgb="FFE0E0E0"/>
      </top>
      <bottom style="thin">
        <color rgb="FFC5E0B4"/>
      </bottom>
      <diagonal/>
    </border>
    <border>
      <left/>
      <right/>
      <top style="thin">
        <color rgb="FFE0E0E0"/>
      </top>
      <bottom style="thin">
        <color rgb="FFC5E0B4"/>
      </bottom>
      <diagonal/>
    </border>
    <border>
      <left style="thin">
        <color rgb="FFE0E0E0"/>
      </left>
      <right/>
      <top style="thin">
        <color rgb="FFC5E0B4"/>
      </top>
      <bottom style="thin">
        <color rgb="FFC5E0B4"/>
      </bottom>
      <diagonal/>
    </border>
    <border>
      <left style="thin">
        <color rgb="FFE0E0E0"/>
      </left>
      <right/>
      <top style="thin">
        <color rgb="FFC5E0B4"/>
      </top>
      <bottom style="thin">
        <color rgb="FF548235"/>
      </bottom>
      <diagonal/>
    </border>
    <border>
      <left style="thin">
        <color rgb="FF548235"/>
      </left>
      <right style="thin">
        <color rgb="FFE0E0E0"/>
      </right>
      <top style="thin">
        <color rgb="FFE0E0E0"/>
      </top>
      <bottom style="thin">
        <color rgb="FFC5E0B4"/>
      </bottom>
      <diagonal/>
    </border>
    <border>
      <left style="thin">
        <color rgb="FF548235"/>
      </left>
      <right style="thin">
        <color rgb="FFE0E0E0"/>
      </right>
      <top style="thin">
        <color rgb="FFC5E0B4"/>
      </top>
      <bottom style="thin">
        <color rgb="FFC5E0B4"/>
      </bottom>
      <diagonal/>
    </border>
    <border>
      <left style="thin">
        <color rgb="FF548235"/>
      </left>
      <right style="thin">
        <color rgb="FFE0E0E0"/>
      </right>
      <top style="thin">
        <color rgb="FFC5E0B4"/>
      </top>
      <bottom style="thin">
        <color rgb="FF548235"/>
      </bottom>
      <diagonal/>
    </border>
    <border>
      <left/>
      <right style="thin">
        <color rgb="FF548235"/>
      </right>
      <top style="thin">
        <color rgb="FFE0E0E0"/>
      </top>
      <bottom style="thin">
        <color rgb="FFC5E0B4"/>
      </bottom>
      <diagonal/>
    </border>
  </borders>
  <cellStyleXfs count="7">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20" fillId="0" borderId="0"/>
    <xf numFmtId="43" fontId="20" fillId="0" borderId="0" applyFont="0" applyFill="0" applyBorder="0" applyAlignment="0" applyProtection="0"/>
    <xf numFmtId="0" fontId="20" fillId="0" borderId="0"/>
  </cellStyleXfs>
  <cellXfs count="448">
    <xf numFmtId="0" fontId="0" fillId="0" borderId="0" xfId="0"/>
    <xf numFmtId="0" fontId="0" fillId="0" borderId="3" xfId="0" applyBorder="1"/>
    <xf numFmtId="0" fontId="0" fillId="0" borderId="5" xfId="0" applyBorder="1"/>
    <xf numFmtId="0" fontId="0" fillId="0" borderId="7" xfId="0" applyBorder="1"/>
    <xf numFmtId="0" fontId="0" fillId="0" borderId="9" xfId="0" applyBorder="1"/>
    <xf numFmtId="0" fontId="0" fillId="0" borderId="10" xfId="0" applyBorder="1"/>
    <xf numFmtId="0" fontId="0" fillId="0" borderId="1" xfId="0" applyBorder="1"/>
    <xf numFmtId="14" fontId="0" fillId="0" borderId="5" xfId="0" applyNumberFormat="1" applyBorder="1"/>
    <xf numFmtId="0" fontId="0" fillId="0" borderId="3" xfId="0" applyBorder="1" applyAlignment="1">
      <alignment horizontal="center"/>
    </xf>
    <xf numFmtId="0" fontId="0" fillId="0" borderId="9" xfId="0" applyBorder="1" applyAlignment="1">
      <alignment horizontal="center"/>
    </xf>
    <xf numFmtId="0" fontId="0" fillId="2" borderId="1" xfId="0" applyFill="1" applyBorder="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5" borderId="6" xfId="0" applyFill="1" applyBorder="1"/>
    <xf numFmtId="0" fontId="0" fillId="5" borderId="3" xfId="0" applyFill="1" applyBorder="1"/>
    <xf numFmtId="0" fontId="0" fillId="5" borderId="3" xfId="0" applyFill="1" applyBorder="1" applyAlignment="1">
      <alignment horizontal="center"/>
    </xf>
    <xf numFmtId="0" fontId="0" fillId="2" borderId="11" xfId="0" applyFill="1" applyBorder="1"/>
    <xf numFmtId="0" fontId="0" fillId="0" borderId="14" xfId="0" applyBorder="1"/>
    <xf numFmtId="0" fontId="0" fillId="0" borderId="15" xfId="0" applyBorder="1"/>
    <xf numFmtId="0" fontId="0" fillId="2" borderId="2" xfId="0" applyFill="1" applyBorder="1"/>
    <xf numFmtId="0" fontId="0" fillId="0" borderId="17" xfId="0" applyBorder="1"/>
    <xf numFmtId="0" fontId="0" fillId="2" borderId="18" xfId="0" applyFill="1" applyBorder="1"/>
    <xf numFmtId="0" fontId="0" fillId="2" borderId="19" xfId="0" applyFill="1" applyBorder="1"/>
    <xf numFmtId="0" fontId="0" fillId="2" borderId="20" xfId="0" applyFill="1" applyBorder="1"/>
    <xf numFmtId="0" fontId="0" fillId="0" borderId="21" xfId="0" applyBorder="1"/>
    <xf numFmtId="14" fontId="0" fillId="4" borderId="3" xfId="0" applyNumberFormat="1" applyFill="1" applyBorder="1"/>
    <xf numFmtId="0" fontId="0" fillId="6" borderId="17" xfId="0" applyFill="1" applyBorder="1"/>
    <xf numFmtId="0" fontId="0" fillId="8" borderId="0" xfId="0" applyFill="1"/>
    <xf numFmtId="0" fontId="0" fillId="9" borderId="12" xfId="0" applyFill="1" applyBorder="1"/>
    <xf numFmtId="0" fontId="0" fillId="9" borderId="13" xfId="0" applyFill="1" applyBorder="1"/>
    <xf numFmtId="0" fontId="0" fillId="9" borderId="14" xfId="0" applyFill="1" applyBorder="1"/>
    <xf numFmtId="14" fontId="0" fillId="9" borderId="3" xfId="0" applyNumberFormat="1" applyFill="1" applyBorder="1"/>
    <xf numFmtId="0" fontId="0" fillId="9" borderId="16" xfId="0" applyFill="1" applyBorder="1"/>
    <xf numFmtId="0" fontId="0" fillId="9" borderId="17" xfId="0" applyFill="1" applyBorder="1"/>
    <xf numFmtId="0" fontId="0" fillId="9" borderId="0" xfId="0" applyFill="1"/>
    <xf numFmtId="0" fontId="0" fillId="6" borderId="17" xfId="0" applyFill="1" applyBorder="1" applyAlignment="1">
      <alignment horizontal="center"/>
    </xf>
    <xf numFmtId="0" fontId="0" fillId="6" borderId="3" xfId="0" applyFill="1" applyBorder="1" applyAlignment="1">
      <alignment horizontal="center"/>
    </xf>
    <xf numFmtId="14" fontId="0" fillId="4" borderId="3" xfId="0" applyNumberFormat="1" applyFill="1" applyBorder="1" applyAlignment="1">
      <alignment horizontal="center"/>
    </xf>
    <xf numFmtId="0" fontId="0" fillId="4" borderId="5" xfId="0" applyFill="1" applyBorder="1" applyAlignment="1">
      <alignment horizontal="center"/>
    </xf>
    <xf numFmtId="0" fontId="0" fillId="4" borderId="3" xfId="0" applyFill="1" applyBorder="1" applyAlignment="1">
      <alignment horizontal="center"/>
    </xf>
    <xf numFmtId="0" fontId="0" fillId="5" borderId="17" xfId="0" applyFill="1" applyBorder="1" applyAlignment="1">
      <alignment horizontal="center"/>
    </xf>
    <xf numFmtId="0" fontId="0" fillId="9" borderId="3" xfId="0" applyFill="1" applyBorder="1"/>
    <xf numFmtId="0" fontId="0" fillId="2" borderId="3" xfId="0" applyFill="1" applyBorder="1"/>
    <xf numFmtId="0" fontId="0" fillId="7" borderId="3" xfId="0" applyFill="1" applyBorder="1"/>
    <xf numFmtId="0" fontId="4" fillId="2" borderId="1" xfId="0" applyFont="1" applyFill="1" applyBorder="1"/>
    <xf numFmtId="0" fontId="4" fillId="2" borderId="2" xfId="0" applyFont="1" applyFill="1" applyBorder="1"/>
    <xf numFmtId="0" fontId="4" fillId="2" borderId="11" xfId="0" applyFont="1" applyFill="1" applyBorder="1"/>
    <xf numFmtId="0" fontId="0" fillId="11" borderId="0" xfId="0" applyFill="1"/>
    <xf numFmtId="0" fontId="2" fillId="0" borderId="0" xfId="0" applyFont="1" applyAlignment="1">
      <alignment vertical="center" wrapText="1"/>
    </xf>
    <xf numFmtId="164" fontId="0" fillId="0" borderId="3" xfId="1" applyFont="1" applyBorder="1"/>
    <xf numFmtId="0" fontId="0" fillId="7" borderId="6" xfId="0" applyFill="1" applyBorder="1"/>
    <xf numFmtId="14" fontId="0" fillId="7" borderId="3" xfId="0" applyNumberFormat="1" applyFill="1" applyBorder="1"/>
    <xf numFmtId="0" fontId="0" fillId="9" borderId="7" xfId="0" applyFill="1" applyBorder="1"/>
    <xf numFmtId="0" fontId="0" fillId="7" borderId="4" xfId="0" applyFill="1" applyBorder="1"/>
    <xf numFmtId="0" fontId="0" fillId="7" borderId="5" xfId="0" applyFill="1" applyBorder="1"/>
    <xf numFmtId="14" fontId="0" fillId="7" borderId="5" xfId="0" applyNumberFormat="1" applyFill="1" applyBorder="1"/>
    <xf numFmtId="0" fontId="0" fillId="7" borderId="22" xfId="0" applyFill="1" applyBorder="1"/>
    <xf numFmtId="0" fontId="0" fillId="7" borderId="13" xfId="0" applyFill="1" applyBorder="1"/>
    <xf numFmtId="0" fontId="0" fillId="5" borderId="13" xfId="0" applyFill="1" applyBorder="1"/>
    <xf numFmtId="164" fontId="0" fillId="9" borderId="3" xfId="1" applyFont="1" applyFill="1" applyBorder="1"/>
    <xf numFmtId="164" fontId="0" fillId="7" borderId="3" xfId="1" applyFont="1" applyFill="1" applyBorder="1"/>
    <xf numFmtId="0" fontId="6" fillId="0" borderId="8" xfId="0" applyFont="1" applyBorder="1"/>
    <xf numFmtId="0" fontId="6" fillId="0" borderId="9" xfId="0" applyFont="1" applyBorder="1"/>
    <xf numFmtId="164" fontId="6" fillId="0" borderId="9" xfId="1" applyFont="1" applyBorder="1" applyAlignment="1">
      <alignment horizontal="center"/>
    </xf>
    <xf numFmtId="164" fontId="7" fillId="0" borderId="9" xfId="1" applyFont="1" applyBorder="1" applyAlignment="1">
      <alignment horizontal="center"/>
    </xf>
    <xf numFmtId="0" fontId="0" fillId="9" borderId="31" xfId="0" applyFill="1" applyBorder="1"/>
    <xf numFmtId="14" fontId="0" fillId="9" borderId="31" xfId="0" applyNumberFormat="1" applyFill="1" applyBorder="1"/>
    <xf numFmtId="0" fontId="0" fillId="9" borderId="27" xfId="0" applyFill="1" applyBorder="1"/>
    <xf numFmtId="0" fontId="0" fillId="7" borderId="30" xfId="0" applyFill="1" applyBorder="1"/>
    <xf numFmtId="0" fontId="0" fillId="7" borderId="31" xfId="0" applyFill="1" applyBorder="1"/>
    <xf numFmtId="14" fontId="0" fillId="7" borderId="31" xfId="0" applyNumberFormat="1" applyFill="1" applyBorder="1"/>
    <xf numFmtId="0" fontId="0" fillId="7" borderId="27" xfId="0" applyFill="1" applyBorder="1"/>
    <xf numFmtId="165" fontId="0" fillId="0" borderId="0" xfId="2" applyFont="1"/>
    <xf numFmtId="0" fontId="0" fillId="7" borderId="7" xfId="0" applyFill="1" applyBorder="1"/>
    <xf numFmtId="0" fontId="8" fillId="0" borderId="0" xfId="0" applyFont="1"/>
    <xf numFmtId="164" fontId="0" fillId="7" borderId="5" xfId="1" applyFont="1" applyFill="1" applyBorder="1" applyAlignment="1">
      <alignment horizontal="center"/>
    </xf>
    <xf numFmtId="14" fontId="0" fillId="7" borderId="5" xfId="0" applyNumberFormat="1" applyFill="1" applyBorder="1" applyAlignment="1">
      <alignment horizontal="center"/>
    </xf>
    <xf numFmtId="0" fontId="0" fillId="7" borderId="15" xfId="0" applyFill="1" applyBorder="1"/>
    <xf numFmtId="164" fontId="0" fillId="7" borderId="3" xfId="1" applyFont="1" applyFill="1" applyBorder="1" applyAlignment="1">
      <alignment horizontal="center"/>
    </xf>
    <xf numFmtId="14" fontId="0" fillId="7" borderId="3" xfId="0" applyNumberFormat="1" applyFill="1" applyBorder="1" applyAlignment="1">
      <alignment horizontal="center"/>
    </xf>
    <xf numFmtId="0" fontId="9" fillId="0" borderId="0" xfId="0" applyFont="1"/>
    <xf numFmtId="164" fontId="10" fillId="0" borderId="9" xfId="1" applyFont="1" applyBorder="1" applyAlignment="1">
      <alignment horizontal="center"/>
    </xf>
    <xf numFmtId="164" fontId="0" fillId="7" borderId="26" xfId="1" applyFont="1" applyFill="1" applyBorder="1" applyAlignment="1">
      <alignment horizontal="center"/>
    </xf>
    <xf numFmtId="14" fontId="0" fillId="7" borderId="31" xfId="0" applyNumberFormat="1" applyFill="1" applyBorder="1" applyAlignment="1">
      <alignment horizontal="center"/>
    </xf>
    <xf numFmtId="0" fontId="0" fillId="7" borderId="28" xfId="0" applyFill="1" applyBorder="1"/>
    <xf numFmtId="0" fontId="0" fillId="7" borderId="25" xfId="0" applyFill="1" applyBorder="1"/>
    <xf numFmtId="164" fontId="0" fillId="7" borderId="31" xfId="1" applyFont="1" applyFill="1" applyBorder="1" applyAlignment="1">
      <alignment horizontal="center"/>
    </xf>
    <xf numFmtId="0" fontId="0" fillId="7" borderId="29" xfId="0" applyFill="1" applyBorder="1"/>
    <xf numFmtId="0" fontId="0" fillId="7" borderId="23" xfId="0" applyFill="1" applyBorder="1"/>
    <xf numFmtId="164" fontId="0" fillId="7" borderId="23" xfId="1" applyFont="1" applyFill="1" applyBorder="1" applyAlignment="1">
      <alignment horizontal="center"/>
    </xf>
    <xf numFmtId="14" fontId="0" fillId="7" borderId="23" xfId="0" applyNumberFormat="1" applyFill="1" applyBorder="1" applyAlignment="1">
      <alignment horizontal="right"/>
    </xf>
    <xf numFmtId="14" fontId="0" fillId="7" borderId="23" xfId="0" applyNumberFormat="1" applyFill="1" applyBorder="1" applyAlignment="1">
      <alignment horizontal="center"/>
    </xf>
    <xf numFmtId="0" fontId="11" fillId="0" borderId="0" xfId="0" applyFont="1" applyAlignment="1">
      <alignment horizontal="center" vertical="center"/>
    </xf>
    <xf numFmtId="164" fontId="0" fillId="0" borderId="0" xfId="0" applyNumberFormat="1"/>
    <xf numFmtId="0" fontId="12" fillId="0" borderId="0" xfId="0" applyFont="1"/>
    <xf numFmtId="0" fontId="0" fillId="0" borderId="25" xfId="0" applyBorder="1"/>
    <xf numFmtId="0" fontId="0" fillId="0" borderId="28" xfId="0" applyBorder="1"/>
    <xf numFmtId="14" fontId="0" fillId="7" borderId="23" xfId="0" applyNumberFormat="1" applyFill="1" applyBorder="1"/>
    <xf numFmtId="0" fontId="6" fillId="7" borderId="8" xfId="0" applyFont="1" applyFill="1" applyBorder="1"/>
    <xf numFmtId="0" fontId="6" fillId="7" borderId="9" xfId="0" applyFont="1" applyFill="1" applyBorder="1"/>
    <xf numFmtId="164" fontId="6" fillId="7" borderId="9" xfId="1" applyFont="1" applyFill="1" applyBorder="1" applyAlignment="1">
      <alignment horizontal="center"/>
    </xf>
    <xf numFmtId="164" fontId="10" fillId="7" borderId="9" xfId="1" applyFont="1" applyFill="1" applyBorder="1" applyAlignment="1">
      <alignment horizontal="center"/>
    </xf>
    <xf numFmtId="0" fontId="0" fillId="7" borderId="9" xfId="0" applyFill="1" applyBorder="1"/>
    <xf numFmtId="0" fontId="14" fillId="0" borderId="0" xfId="0" applyFont="1"/>
    <xf numFmtId="164" fontId="0" fillId="9" borderId="3" xfId="1" applyFont="1" applyFill="1" applyBorder="1" applyAlignment="1">
      <alignment horizontal="center"/>
    </xf>
    <xf numFmtId="14" fontId="0" fillId="9" borderId="3" xfId="0" applyNumberFormat="1" applyFill="1" applyBorder="1" applyAlignment="1">
      <alignment horizontal="center"/>
    </xf>
    <xf numFmtId="0" fontId="0" fillId="0" borderId="31" xfId="0" applyBorder="1"/>
    <xf numFmtId="164" fontId="0" fillId="0" borderId="31" xfId="1" applyFont="1" applyBorder="1" applyAlignment="1">
      <alignment horizontal="center"/>
    </xf>
    <xf numFmtId="164" fontId="0" fillId="0" borderId="26" xfId="1" applyFont="1" applyBorder="1" applyAlignment="1">
      <alignment horizontal="center"/>
    </xf>
    <xf numFmtId="14" fontId="0" fillId="0" borderId="26" xfId="0" applyNumberFormat="1" applyBorder="1"/>
    <xf numFmtId="14" fontId="0" fillId="0" borderId="31" xfId="0" applyNumberFormat="1" applyBorder="1" applyAlignment="1">
      <alignment horizontal="center"/>
    </xf>
    <xf numFmtId="0" fontId="15" fillId="0" borderId="0" xfId="0" applyFont="1"/>
    <xf numFmtId="0" fontId="11" fillId="0" borderId="0" xfId="0" applyFont="1"/>
    <xf numFmtId="0" fontId="0" fillId="0" borderId="30" xfId="0" applyBorder="1"/>
    <xf numFmtId="14" fontId="0" fillId="0" borderId="31" xfId="0" applyNumberFormat="1" applyBorder="1"/>
    <xf numFmtId="0" fontId="0" fillId="0" borderId="27" xfId="0" applyBorder="1"/>
    <xf numFmtId="14" fontId="0" fillId="7" borderId="26" xfId="0" applyNumberFormat="1" applyFill="1" applyBorder="1"/>
    <xf numFmtId="0" fontId="0" fillId="9" borderId="25" xfId="0" applyFill="1" applyBorder="1"/>
    <xf numFmtId="14" fontId="0" fillId="9" borderId="31" xfId="0" applyNumberFormat="1" applyFill="1" applyBorder="1" applyAlignment="1">
      <alignment horizontal="center"/>
    </xf>
    <xf numFmtId="164" fontId="0" fillId="0" borderId="0" xfId="1" applyFont="1"/>
    <xf numFmtId="164" fontId="3" fillId="0" borderId="0" xfId="0" applyNumberFormat="1" applyFont="1"/>
    <xf numFmtId="9" fontId="0" fillId="0" borderId="0" xfId="0" applyNumberFormat="1"/>
    <xf numFmtId="164" fontId="0" fillId="5" borderId="3" xfId="1" applyFont="1" applyFill="1" applyBorder="1" applyAlignment="1">
      <alignment horizontal="center"/>
    </xf>
    <xf numFmtId="164" fontId="0" fillId="5" borderId="5" xfId="1" applyFont="1" applyFill="1" applyBorder="1" applyAlignment="1">
      <alignment horizontal="center"/>
    </xf>
    <xf numFmtId="14" fontId="0" fillId="5" borderId="5" xfId="0" applyNumberFormat="1" applyFill="1" applyBorder="1"/>
    <xf numFmtId="14" fontId="0" fillId="5" borderId="3" xfId="0" applyNumberFormat="1" applyFill="1" applyBorder="1" applyAlignment="1">
      <alignment horizontal="center"/>
    </xf>
    <xf numFmtId="0" fontId="0" fillId="5" borderId="7" xfId="0" applyFill="1" applyBorder="1"/>
    <xf numFmtId="164" fontId="0" fillId="0" borderId="3" xfId="0" applyNumberFormat="1" applyBorder="1"/>
    <xf numFmtId="0" fontId="0" fillId="2" borderId="32" xfId="0" applyFill="1" applyBorder="1"/>
    <xf numFmtId="164" fontId="0" fillId="7" borderId="3" xfId="0" applyNumberFormat="1" applyFill="1" applyBorder="1"/>
    <xf numFmtId="164" fontId="0" fillId="9" borderId="5" xfId="1" applyFont="1" applyFill="1" applyBorder="1" applyAlignment="1">
      <alignment horizontal="center"/>
    </xf>
    <xf numFmtId="14" fontId="0" fillId="9" borderId="5" xfId="0" applyNumberFormat="1" applyFill="1" applyBorder="1"/>
    <xf numFmtId="164" fontId="0" fillId="9" borderId="3" xfId="0" applyNumberFormat="1" applyFill="1" applyBorder="1"/>
    <xf numFmtId="0" fontId="0" fillId="7" borderId="14" xfId="0" applyFill="1" applyBorder="1"/>
    <xf numFmtId="164" fontId="0" fillId="9" borderId="26" xfId="0" applyNumberFormat="1" applyFill="1" applyBorder="1"/>
    <xf numFmtId="44" fontId="0" fillId="0" borderId="0" xfId="0" applyNumberFormat="1"/>
    <xf numFmtId="164" fontId="0" fillId="9" borderId="31" xfId="1" applyFont="1" applyFill="1" applyBorder="1" applyAlignment="1">
      <alignment horizontal="center"/>
    </xf>
    <xf numFmtId="14" fontId="0" fillId="9" borderId="26" xfId="0" applyNumberFormat="1" applyFill="1" applyBorder="1"/>
    <xf numFmtId="0" fontId="0" fillId="4" borderId="16" xfId="0" applyFill="1" applyBorder="1"/>
    <xf numFmtId="0" fontId="0" fillId="4" borderId="12" xfId="0" applyFill="1" applyBorder="1"/>
    <xf numFmtId="0" fontId="0" fillId="4" borderId="13" xfId="0" applyFill="1" applyBorder="1"/>
    <xf numFmtId="0" fontId="0" fillId="6" borderId="3" xfId="0" applyFill="1" applyBorder="1"/>
    <xf numFmtId="0" fontId="0" fillId="9" borderId="30" xfId="0" applyFill="1" applyBorder="1"/>
    <xf numFmtId="14" fontId="0" fillId="0" borderId="0" xfId="0" applyNumberFormat="1" applyAlignment="1">
      <alignment horizontal="left"/>
    </xf>
    <xf numFmtId="0" fontId="0" fillId="0" borderId="0" xfId="0" applyAlignment="1">
      <alignment horizontal="left"/>
    </xf>
    <xf numFmtId="0" fontId="0" fillId="9" borderId="5" xfId="0" applyFill="1" applyBorder="1"/>
    <xf numFmtId="0" fontId="0" fillId="9" borderId="4" xfId="0" applyFill="1" applyBorder="1"/>
    <xf numFmtId="14" fontId="0" fillId="9" borderId="5" xfId="0" applyNumberFormat="1" applyFill="1" applyBorder="1" applyAlignment="1">
      <alignment horizontal="center"/>
    </xf>
    <xf numFmtId="0" fontId="0" fillId="9" borderId="22" xfId="0" applyFill="1" applyBorder="1"/>
    <xf numFmtId="0" fontId="0" fillId="7" borderId="0" xfId="0" applyFill="1" applyAlignment="1">
      <alignment horizontal="left"/>
    </xf>
    <xf numFmtId="0" fontId="0" fillId="7" borderId="3" xfId="0" applyFill="1" applyBorder="1" applyAlignment="1">
      <alignment horizontal="left"/>
    </xf>
    <xf numFmtId="9" fontId="0" fillId="0" borderId="0" xfId="3" applyFont="1"/>
    <xf numFmtId="166" fontId="0" fillId="0" borderId="0" xfId="3" applyNumberFormat="1" applyFont="1"/>
    <xf numFmtId="0" fontId="0" fillId="3" borderId="30" xfId="0" applyFill="1" applyBorder="1"/>
    <xf numFmtId="0" fontId="0" fillId="3" borderId="3" xfId="0" applyFill="1" applyBorder="1"/>
    <xf numFmtId="164" fontId="0" fillId="3" borderId="31" xfId="1" applyFont="1" applyFill="1" applyBorder="1" applyAlignment="1">
      <alignment horizontal="center"/>
    </xf>
    <xf numFmtId="14" fontId="0" fillId="3" borderId="31" xfId="0" applyNumberFormat="1" applyFill="1" applyBorder="1"/>
    <xf numFmtId="14" fontId="0" fillId="3" borderId="31" xfId="0" applyNumberFormat="1" applyFill="1" applyBorder="1" applyAlignment="1">
      <alignment horizontal="center"/>
    </xf>
    <xf numFmtId="0" fontId="0" fillId="3" borderId="27" xfId="0" applyFill="1" applyBorder="1"/>
    <xf numFmtId="164" fontId="0" fillId="3" borderId="3" xfId="0" applyNumberFormat="1" applyFill="1" applyBorder="1"/>
    <xf numFmtId="164" fontId="0" fillId="3" borderId="3" xfId="1" applyFont="1" applyFill="1" applyBorder="1"/>
    <xf numFmtId="165" fontId="0" fillId="0" borderId="0" xfId="0" applyNumberFormat="1"/>
    <xf numFmtId="14" fontId="0" fillId="0" borderId="0" xfId="0" applyNumberFormat="1"/>
    <xf numFmtId="164" fontId="0" fillId="7" borderId="0" xfId="1" applyFont="1" applyFill="1" applyBorder="1" applyAlignment="1">
      <alignment horizontal="center"/>
    </xf>
    <xf numFmtId="14" fontId="0" fillId="7" borderId="0" xfId="0" applyNumberFormat="1" applyFill="1"/>
    <xf numFmtId="14" fontId="0" fillId="7" borderId="0" xfId="0" applyNumberFormat="1" applyFill="1" applyAlignment="1">
      <alignment horizontal="center"/>
    </xf>
    <xf numFmtId="14" fontId="0" fillId="7" borderId="0" xfId="0" applyNumberFormat="1" applyFill="1" applyAlignment="1">
      <alignment horizontal="right"/>
    </xf>
    <xf numFmtId="164" fontId="0" fillId="0" borderId="0" xfId="1" applyFont="1" applyBorder="1" applyAlignment="1">
      <alignment horizontal="center"/>
    </xf>
    <xf numFmtId="14" fontId="0" fillId="0" borderId="0" xfId="0" applyNumberFormat="1" applyAlignment="1">
      <alignment horizontal="center"/>
    </xf>
    <xf numFmtId="164" fontId="0" fillId="5" borderId="0" xfId="1" applyFont="1" applyFill="1" applyBorder="1" applyAlignment="1">
      <alignment horizontal="center"/>
    </xf>
    <xf numFmtId="14" fontId="0" fillId="5" borderId="0" xfId="0" applyNumberFormat="1" applyFill="1"/>
    <xf numFmtId="14" fontId="0" fillId="5" borderId="0" xfId="0" applyNumberFormat="1" applyFill="1" applyAlignment="1">
      <alignment horizontal="center"/>
    </xf>
    <xf numFmtId="164" fontId="0" fillId="9" borderId="0" xfId="1" applyFont="1" applyFill="1" applyBorder="1" applyAlignment="1">
      <alignment horizontal="center"/>
    </xf>
    <xf numFmtId="14" fontId="0" fillId="9" borderId="0" xfId="0" applyNumberFormat="1" applyFill="1"/>
    <xf numFmtId="14" fontId="0" fillId="9" borderId="0" xfId="0" applyNumberFormat="1" applyFill="1" applyAlignment="1">
      <alignment horizontal="center"/>
    </xf>
    <xf numFmtId="164" fontId="0" fillId="3" borderId="0" xfId="1" applyFont="1" applyFill="1" applyBorder="1" applyAlignment="1">
      <alignment horizontal="center"/>
    </xf>
    <xf numFmtId="14" fontId="0" fillId="3" borderId="0" xfId="0" applyNumberFormat="1" applyFill="1"/>
    <xf numFmtId="14" fontId="0" fillId="3" borderId="0" xfId="0" applyNumberFormat="1" applyFill="1" applyAlignment="1">
      <alignment horizontal="center"/>
    </xf>
    <xf numFmtId="165" fontId="1" fillId="0" borderId="0" xfId="2" applyFont="1" applyBorder="1"/>
    <xf numFmtId="0" fontId="0" fillId="0" borderId="0" xfId="0" pivotButton="1"/>
    <xf numFmtId="8" fontId="0" fillId="0" borderId="0" xfId="0" applyNumberFormat="1"/>
    <xf numFmtId="0" fontId="3" fillId="12" borderId="34" xfId="0" applyFont="1" applyFill="1" applyBorder="1"/>
    <xf numFmtId="8" fontId="0" fillId="0" borderId="0" xfId="2" applyNumberFormat="1" applyFont="1"/>
    <xf numFmtId="164" fontId="3" fillId="12" borderId="35" xfId="0" applyNumberFormat="1" applyFont="1" applyFill="1" applyBorder="1"/>
    <xf numFmtId="9" fontId="16" fillId="0" borderId="0" xfId="3" applyFont="1"/>
    <xf numFmtId="8" fontId="0" fillId="9" borderId="0" xfId="0" applyNumberFormat="1" applyFill="1"/>
    <xf numFmtId="165" fontId="1" fillId="7" borderId="0" xfId="2" applyFont="1" applyFill="1"/>
    <xf numFmtId="0" fontId="0" fillId="0" borderId="0" xfId="0" applyAlignment="1">
      <alignment horizontal="center"/>
    </xf>
    <xf numFmtId="49" fontId="21" fillId="13" borderId="26" xfId="4" applyNumberFormat="1" applyFont="1" applyFill="1" applyBorder="1" applyProtection="1">
      <protection locked="0"/>
    </xf>
    <xf numFmtId="0" fontId="3" fillId="0" borderId="0" xfId="0" applyFont="1" applyAlignment="1">
      <alignment horizontal="center"/>
    </xf>
    <xf numFmtId="0" fontId="22" fillId="14" borderId="0" xfId="0" applyFont="1" applyFill="1" applyAlignment="1">
      <alignment horizontal="center"/>
    </xf>
    <xf numFmtId="43" fontId="23" fillId="0" borderId="0" xfId="3" applyNumberFormat="1" applyFont="1" applyFill="1" applyBorder="1" applyAlignment="1" applyProtection="1">
      <alignment horizontal="left"/>
      <protection hidden="1"/>
    </xf>
    <xf numFmtId="0" fontId="24" fillId="0" borderId="0" xfId="0" applyFont="1"/>
    <xf numFmtId="43" fontId="1" fillId="0" borderId="0" xfId="5" applyFont="1"/>
    <xf numFmtId="43" fontId="3" fillId="5" borderId="0" xfId="5" applyFont="1" applyFill="1"/>
    <xf numFmtId="165" fontId="26" fillId="0" borderId="0" xfId="2" applyFont="1"/>
    <xf numFmtId="0" fontId="27" fillId="0" borderId="0" xfId="6" applyFont="1" applyProtection="1">
      <protection hidden="1"/>
    </xf>
    <xf numFmtId="43" fontId="0" fillId="0" borderId="0" xfId="0" applyNumberFormat="1"/>
    <xf numFmtId="0" fontId="5" fillId="0" borderId="0" xfId="0" applyFont="1"/>
    <xf numFmtId="0" fontId="29" fillId="0" borderId="0" xfId="0" applyFont="1" applyAlignment="1">
      <alignment horizontal="center"/>
    </xf>
    <xf numFmtId="0" fontId="30" fillId="0" borderId="0" xfId="0" applyFont="1" applyAlignment="1">
      <alignment horizontal="center"/>
    </xf>
    <xf numFmtId="165" fontId="1" fillId="0" borderId="0" xfId="2" applyFont="1"/>
    <xf numFmtId="0" fontId="22" fillId="0" borderId="0" xfId="0" applyFont="1"/>
    <xf numFmtId="43" fontId="16" fillId="0" borderId="0" xfId="5" applyFont="1"/>
    <xf numFmtId="0" fontId="34" fillId="0" borderId="0" xfId="0" applyFont="1" applyAlignment="1">
      <alignment horizontal="center"/>
    </xf>
    <xf numFmtId="49" fontId="38" fillId="0" borderId="0" xfId="0" applyNumberFormat="1" applyFont="1"/>
    <xf numFmtId="0" fontId="32" fillId="0" borderId="26" xfId="6" applyFont="1" applyBorder="1" applyProtection="1">
      <protection locked="0"/>
    </xf>
    <xf numFmtId="0" fontId="40" fillId="0" borderId="0" xfId="0" applyFont="1"/>
    <xf numFmtId="49" fontId="33" fillId="0" borderId="0" xfId="0" applyNumberFormat="1" applyFont="1"/>
    <xf numFmtId="0" fontId="39" fillId="0" borderId="0" xfId="0" applyFont="1"/>
    <xf numFmtId="49" fontId="32" fillId="0" borderId="0" xfId="3" applyNumberFormat="1" applyFont="1" applyFill="1" applyBorder="1" applyAlignment="1" applyProtection="1">
      <alignment horizontal="left"/>
      <protection hidden="1"/>
    </xf>
    <xf numFmtId="49" fontId="32" fillId="0" borderId="0" xfId="0" applyNumberFormat="1" applyFont="1"/>
    <xf numFmtId="0" fontId="23" fillId="0" borderId="0" xfId="0" applyFont="1"/>
    <xf numFmtId="0" fontId="39" fillId="0" borderId="0" xfId="6" applyFont="1" applyProtection="1">
      <protection locked="0"/>
    </xf>
    <xf numFmtId="0" fontId="32" fillId="0" borderId="0" xfId="6" applyFont="1" applyProtection="1">
      <protection hidden="1"/>
    </xf>
    <xf numFmtId="0" fontId="33" fillId="0" borderId="26" xfId="6" applyFont="1" applyBorder="1" applyProtection="1">
      <protection locked="0"/>
    </xf>
    <xf numFmtId="49" fontId="33" fillId="0" borderId="0" xfId="3" applyNumberFormat="1" applyFont="1" applyFill="1" applyBorder="1" applyAlignment="1" applyProtection="1">
      <alignment horizontal="left"/>
      <protection hidden="1"/>
    </xf>
    <xf numFmtId="43" fontId="34" fillId="5" borderId="0" xfId="5" applyFont="1" applyFill="1"/>
    <xf numFmtId="43" fontId="1" fillId="5" borderId="0" xfId="5" applyFont="1" applyFill="1"/>
    <xf numFmtId="165" fontId="16" fillId="0" borderId="0" xfId="2" applyFont="1"/>
    <xf numFmtId="165" fontId="26" fillId="0" borderId="0" xfId="2" applyFont="1" applyFill="1" applyBorder="1"/>
    <xf numFmtId="0" fontId="37" fillId="16" borderId="23" xfId="6" applyFont="1" applyFill="1" applyBorder="1" applyAlignment="1" applyProtection="1">
      <alignment horizontal="center"/>
      <protection locked="0"/>
    </xf>
    <xf numFmtId="0" fontId="35" fillId="15" borderId="17" xfId="6" applyFont="1" applyFill="1" applyBorder="1" applyAlignment="1" applyProtection="1">
      <alignment horizontal="center"/>
      <protection hidden="1"/>
    </xf>
    <xf numFmtId="0" fontId="35" fillId="15" borderId="37" xfId="6" applyFont="1" applyFill="1" applyBorder="1" applyAlignment="1" applyProtection="1">
      <alignment horizontal="center"/>
      <protection hidden="1"/>
    </xf>
    <xf numFmtId="0" fontId="36" fillId="15" borderId="22" xfId="6" applyFont="1" applyFill="1" applyBorder="1" applyAlignment="1" applyProtection="1">
      <alignment horizontal="left" indent="1"/>
      <protection locked="0"/>
    </xf>
    <xf numFmtId="0" fontId="35" fillId="15" borderId="30" xfId="6" applyFont="1" applyFill="1" applyBorder="1" applyAlignment="1" applyProtection="1">
      <alignment horizontal="center"/>
      <protection hidden="1"/>
    </xf>
    <xf numFmtId="49" fontId="21" fillId="13" borderId="38" xfId="4" applyNumberFormat="1" applyFont="1" applyFill="1" applyBorder="1" applyProtection="1">
      <protection locked="0"/>
    </xf>
    <xf numFmtId="49" fontId="28" fillId="13" borderId="38" xfId="4" applyNumberFormat="1" applyFont="1" applyFill="1" applyBorder="1" applyProtection="1">
      <protection locked="0"/>
    </xf>
    <xf numFmtId="49" fontId="31" fillId="13" borderId="38" xfId="4" applyNumberFormat="1" applyFont="1" applyFill="1" applyBorder="1" applyProtection="1">
      <protection locked="0"/>
    </xf>
    <xf numFmtId="0" fontId="17" fillId="5" borderId="37"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9" fillId="5" borderId="23"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8" fillId="5" borderId="22" xfId="0" applyFont="1" applyFill="1" applyBorder="1" applyAlignment="1">
      <alignment vertical="center" wrapText="1"/>
    </xf>
    <xf numFmtId="0" fontId="18" fillId="5" borderId="37" xfId="0" applyFont="1" applyFill="1" applyBorder="1" applyAlignment="1">
      <alignment vertical="center" wrapText="1"/>
    </xf>
    <xf numFmtId="0" fontId="41" fillId="5" borderId="23" xfId="0" applyFont="1" applyFill="1" applyBorder="1" applyAlignment="1">
      <alignment horizontal="center" vertical="center" wrapText="1"/>
    </xf>
    <xf numFmtId="0" fontId="42" fillId="5" borderId="23" xfId="0" applyFont="1" applyFill="1" applyBorder="1" applyAlignment="1">
      <alignment horizontal="center" vertical="center" wrapText="1"/>
    </xf>
    <xf numFmtId="0" fontId="43" fillId="15" borderId="27" xfId="6" applyFont="1" applyFill="1" applyBorder="1" applyAlignment="1" applyProtection="1">
      <alignment horizontal="left" indent="1"/>
      <protection locked="0"/>
    </xf>
    <xf numFmtId="0" fontId="43" fillId="15" borderId="13" xfId="6" applyFont="1" applyFill="1" applyBorder="1" applyAlignment="1" applyProtection="1">
      <alignment horizontal="left" indent="1"/>
      <protection locked="0"/>
    </xf>
    <xf numFmtId="165" fontId="24" fillId="0" borderId="0" xfId="2" applyFont="1" applyAlignment="1">
      <alignment horizontal="left"/>
    </xf>
    <xf numFmtId="4" fontId="0" fillId="0" borderId="0" xfId="2" applyNumberFormat="1" applyFont="1"/>
    <xf numFmtId="0" fontId="18" fillId="5" borderId="22" xfId="0" applyFont="1" applyFill="1" applyBorder="1" applyAlignment="1">
      <alignment horizontal="left" vertical="center" wrapText="1"/>
    </xf>
    <xf numFmtId="0" fontId="18" fillId="5" borderId="36" xfId="0" applyFont="1" applyFill="1" applyBorder="1" applyAlignment="1">
      <alignment horizontal="left" vertical="center" wrapText="1"/>
    </xf>
    <xf numFmtId="14" fontId="20" fillId="0" borderId="0" xfId="0" applyNumberFormat="1" applyFont="1" applyAlignment="1">
      <alignment horizontal="left"/>
    </xf>
    <xf numFmtId="14" fontId="25" fillId="5" borderId="0" xfId="0" applyNumberFormat="1" applyFont="1" applyFill="1" applyAlignment="1">
      <alignment horizontal="left"/>
    </xf>
    <xf numFmtId="14" fontId="0" fillId="0" borderId="0" xfId="0" applyNumberFormat="1" applyAlignment="1">
      <alignment horizontal="right"/>
    </xf>
    <xf numFmtId="0" fontId="29" fillId="0" borderId="0" xfId="0" applyFont="1" applyAlignment="1">
      <alignment horizontal="left"/>
    </xf>
    <xf numFmtId="0" fontId="30" fillId="0" borderId="0" xfId="0" applyFont="1" applyAlignment="1">
      <alignment horizontal="left"/>
    </xf>
    <xf numFmtId="0" fontId="44" fillId="0" borderId="0" xfId="0" applyFont="1" applyAlignment="1">
      <alignment horizontal="left"/>
    </xf>
    <xf numFmtId="0" fontId="44" fillId="0" borderId="0" xfId="0" pivotButton="1" applyFont="1" applyAlignment="1">
      <alignment horizontal="left"/>
    </xf>
    <xf numFmtId="0" fontId="17" fillId="5" borderId="3"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25" fillId="5" borderId="0" xfId="0" applyFont="1" applyFill="1" applyAlignment="1">
      <alignment horizontal="center"/>
    </xf>
    <xf numFmtId="0" fontId="20" fillId="0" borderId="0" xfId="0" applyFont="1" applyAlignment="1">
      <alignment horizontal="center"/>
    </xf>
    <xf numFmtId="49" fontId="28" fillId="13" borderId="26" xfId="4" applyNumberFormat="1" applyFont="1" applyFill="1" applyBorder="1" applyProtection="1">
      <protection locked="0"/>
    </xf>
    <xf numFmtId="0" fontId="20" fillId="0" borderId="0" xfId="0" applyFont="1"/>
    <xf numFmtId="49" fontId="32" fillId="13" borderId="26" xfId="4" applyNumberFormat="1" applyFont="1" applyFill="1" applyBorder="1" applyProtection="1">
      <protection locked="0"/>
    </xf>
    <xf numFmtId="49" fontId="33" fillId="13" borderId="26" xfId="4" applyNumberFormat="1" applyFont="1" applyFill="1" applyBorder="1" applyProtection="1">
      <protection locked="0"/>
    </xf>
    <xf numFmtId="49" fontId="39" fillId="0" borderId="0" xfId="6" applyNumberFormat="1" applyFont="1" applyProtection="1">
      <protection locked="0"/>
    </xf>
    <xf numFmtId="0" fontId="45" fillId="0" borderId="0" xfId="6" applyFont="1" applyProtection="1">
      <protection locked="0"/>
    </xf>
    <xf numFmtId="0" fontId="39" fillId="0" borderId="0" xfId="0" applyFont="1" applyAlignment="1">
      <alignment vertical="center"/>
    </xf>
    <xf numFmtId="0" fontId="43" fillId="0" borderId="0" xfId="0" applyFont="1" applyAlignment="1">
      <alignment vertical="center"/>
    </xf>
    <xf numFmtId="0" fontId="46" fillId="0" borderId="0" xfId="0" applyFont="1" applyAlignment="1">
      <alignment vertical="center"/>
    </xf>
    <xf numFmtId="0" fontId="19" fillId="5" borderId="0" xfId="0" applyFont="1" applyFill="1" applyAlignment="1">
      <alignment horizontal="center" vertical="center" wrapText="1"/>
    </xf>
    <xf numFmtId="43" fontId="23" fillId="12" borderId="39" xfId="3" applyNumberFormat="1" applyFont="1" applyFill="1" applyBorder="1" applyAlignment="1">
      <alignment horizontal="left"/>
    </xf>
    <xf numFmtId="0" fontId="18" fillId="5" borderId="13" xfId="0" applyFont="1" applyFill="1" applyBorder="1" applyAlignment="1">
      <alignment horizontal="center" vertical="center" wrapText="1"/>
    </xf>
    <xf numFmtId="0" fontId="18" fillId="5" borderId="17" xfId="0" applyFont="1" applyFill="1" applyBorder="1" applyAlignment="1">
      <alignment horizontal="center" vertical="center" wrapText="1"/>
    </xf>
    <xf numFmtId="43" fontId="23" fillId="12" borderId="35" xfId="3" applyNumberFormat="1" applyFont="1" applyFill="1" applyBorder="1" applyAlignment="1" applyProtection="1">
      <alignment horizontal="left"/>
      <protection hidden="1"/>
    </xf>
    <xf numFmtId="43" fontId="0" fillId="0" borderId="0" xfId="5" applyFont="1" applyBorder="1"/>
    <xf numFmtId="165" fontId="0" fillId="0" borderId="0" xfId="2" applyFont="1" applyBorder="1"/>
    <xf numFmtId="165" fontId="26" fillId="0" borderId="0" xfId="2" applyFont="1" applyBorder="1"/>
    <xf numFmtId="165" fontId="24" fillId="0" borderId="0" xfId="2" applyFont="1" applyAlignment="1"/>
    <xf numFmtId="165" fontId="24" fillId="0" borderId="0" xfId="2" applyFont="1" applyBorder="1" applyAlignment="1"/>
    <xf numFmtId="43" fontId="23" fillId="12" borderId="39" xfId="3" applyNumberFormat="1" applyFont="1" applyFill="1" applyBorder="1" applyAlignment="1" applyProtection="1">
      <alignment horizontal="left"/>
      <protection hidden="1"/>
    </xf>
    <xf numFmtId="165" fontId="24" fillId="0" borderId="0" xfId="2" applyFont="1"/>
    <xf numFmtId="43" fontId="0" fillId="0" borderId="0" xfId="5" applyFont="1"/>
    <xf numFmtId="165" fontId="24" fillId="0" borderId="0" xfId="2" applyFont="1" applyBorder="1"/>
    <xf numFmtId="43" fontId="24" fillId="0" borderId="0" xfId="0" applyNumberFormat="1" applyFont="1"/>
    <xf numFmtId="165" fontId="26" fillId="0" borderId="0" xfId="2" applyFont="1" applyProtection="1">
      <protection hidden="1"/>
    </xf>
    <xf numFmtId="165" fontId="26" fillId="0" borderId="0" xfId="2" applyFont="1" applyBorder="1" applyProtection="1">
      <protection hidden="1"/>
    </xf>
    <xf numFmtId="43" fontId="23" fillId="12" borderId="35" xfId="3" applyNumberFormat="1" applyFont="1" applyFill="1" applyBorder="1" applyAlignment="1">
      <alignment horizontal="left"/>
    </xf>
    <xf numFmtId="165" fontId="24" fillId="0" borderId="0" xfId="2" quotePrefix="1" applyFont="1"/>
    <xf numFmtId="0" fontId="18" fillId="5" borderId="26" xfId="0" applyFont="1" applyFill="1" applyBorder="1" applyAlignment="1">
      <alignment horizontal="center" vertical="center" wrapText="1"/>
    </xf>
    <xf numFmtId="43" fontId="3" fillId="5" borderId="0" xfId="5" applyFont="1" applyFill="1" applyBorder="1"/>
    <xf numFmtId="43" fontId="1" fillId="0" borderId="0" xfId="5" applyFont="1" applyBorder="1" applyAlignment="1">
      <alignment horizontal="center"/>
    </xf>
    <xf numFmtId="43" fontId="3" fillId="5" borderId="0" xfId="5" applyFont="1" applyFill="1" applyBorder="1" applyAlignment="1">
      <alignment horizontal="center"/>
    </xf>
    <xf numFmtId="0" fontId="0" fillId="12" borderId="40" xfId="0" applyFill="1" applyBorder="1"/>
    <xf numFmtId="0" fontId="0" fillId="7" borderId="35" xfId="0" applyFill="1" applyBorder="1" applyAlignment="1">
      <alignment horizontal="left"/>
    </xf>
    <xf numFmtId="164" fontId="0" fillId="7" borderId="35" xfId="1" applyFont="1" applyFill="1" applyBorder="1"/>
    <xf numFmtId="164" fontId="0" fillId="7" borderId="35" xfId="1" applyFont="1" applyFill="1" applyBorder="1" applyAlignment="1">
      <alignment horizontal="center"/>
    </xf>
    <xf numFmtId="164" fontId="0" fillId="7" borderId="35" xfId="0" applyNumberFormat="1" applyFill="1" applyBorder="1"/>
    <xf numFmtId="0" fontId="0" fillId="0" borderId="41" xfId="0" applyBorder="1"/>
    <xf numFmtId="0" fontId="0" fillId="12" borderId="41" xfId="0" applyFill="1" applyBorder="1"/>
    <xf numFmtId="164" fontId="0" fillId="9" borderId="35" xfId="1" applyFont="1" applyFill="1" applyBorder="1"/>
    <xf numFmtId="164" fontId="0" fillId="9" borderId="35" xfId="1" applyFont="1" applyFill="1" applyBorder="1" applyAlignment="1">
      <alignment horizontal="center"/>
    </xf>
    <xf numFmtId="0" fontId="47" fillId="10" borderId="33" xfId="0" applyFont="1" applyFill="1" applyBorder="1" applyAlignment="1">
      <alignment horizontal="center"/>
    </xf>
    <xf numFmtId="0" fontId="47" fillId="2" borderId="33" xfId="0" applyFont="1" applyFill="1" applyBorder="1" applyAlignment="1">
      <alignment horizontal="center"/>
    </xf>
    <xf numFmtId="0" fontId="21" fillId="13" borderId="26" xfId="0" applyFont="1" applyFill="1" applyBorder="1" applyProtection="1">
      <protection locked="0"/>
    </xf>
    <xf numFmtId="0" fontId="23" fillId="12" borderId="0" xfId="0" applyFont="1" applyFill="1" applyAlignment="1">
      <alignment horizontal="left"/>
    </xf>
    <xf numFmtId="0" fontId="1" fillId="0" borderId="0" xfId="0" applyFont="1"/>
    <xf numFmtId="0" fontId="3" fillId="5" borderId="0" xfId="0" applyFont="1" applyFill="1"/>
    <xf numFmtId="165" fontId="26" fillId="0" borderId="0" xfId="0" applyNumberFormat="1" applyFont="1"/>
    <xf numFmtId="0" fontId="26" fillId="0" borderId="0" xfId="0" applyFont="1"/>
    <xf numFmtId="0" fontId="27" fillId="0" borderId="0" xfId="0" applyFont="1" applyProtection="1">
      <protection hidden="1"/>
    </xf>
    <xf numFmtId="0" fontId="3"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167" fontId="0" fillId="0" borderId="0" xfId="0" applyNumberFormat="1" applyAlignment="1">
      <alignment vertical="center" wrapText="1"/>
    </xf>
    <xf numFmtId="0" fontId="48" fillId="0" borderId="0" xfId="0" applyFont="1"/>
    <xf numFmtId="0" fontId="49" fillId="0" borderId="0" xfId="0" applyFont="1"/>
    <xf numFmtId="0" fontId="49" fillId="0" borderId="0" xfId="0" applyFont="1" applyAlignment="1">
      <alignment horizontal="left"/>
    </xf>
    <xf numFmtId="0" fontId="48" fillId="0" borderId="0" xfId="0" applyFont="1" applyAlignment="1">
      <alignment horizontal="left"/>
    </xf>
    <xf numFmtId="0" fontId="3" fillId="0" borderId="0" xfId="0" applyFont="1" applyAlignment="1">
      <alignment vertical="center" wrapText="1"/>
    </xf>
    <xf numFmtId="167" fontId="0" fillId="0" borderId="0" xfId="0" applyNumberFormat="1"/>
    <xf numFmtId="43" fontId="0" fillId="12" borderId="39" xfId="5" applyFont="1" applyFill="1" applyBorder="1"/>
    <xf numFmtId="43" fontId="0" fillId="0" borderId="39" xfId="5" applyFont="1" applyBorder="1"/>
    <xf numFmtId="165" fontId="26" fillId="0" borderId="39" xfId="2" applyFont="1" applyBorder="1"/>
    <xf numFmtId="17" fontId="0" fillId="0" borderId="0" xfId="0" applyNumberFormat="1"/>
    <xf numFmtId="0" fontId="47" fillId="17" borderId="42" xfId="0" applyFont="1" applyFill="1" applyBorder="1" applyAlignment="1">
      <alignment horizontal="center" vertical="center" wrapText="1"/>
    </xf>
    <xf numFmtId="0" fontId="47" fillId="17" borderId="34" xfId="0" applyFont="1" applyFill="1" applyBorder="1" applyAlignment="1">
      <alignment horizontal="center" vertical="center" wrapText="1"/>
    </xf>
    <xf numFmtId="0" fontId="47" fillId="17" borderId="43" xfId="0" applyFont="1" applyFill="1" applyBorder="1" applyAlignment="1">
      <alignment horizontal="center" vertical="center" wrapText="1"/>
    </xf>
    <xf numFmtId="17" fontId="0" fillId="0" borderId="0" xfId="0" applyNumberFormat="1" applyAlignment="1">
      <alignment horizontal="left"/>
    </xf>
    <xf numFmtId="14" fontId="30" fillId="0" borderId="0" xfId="0" applyNumberFormat="1" applyFont="1" applyAlignment="1">
      <alignment horizontal="left"/>
    </xf>
    <xf numFmtId="14" fontId="29" fillId="0" borderId="0" xfId="0" applyNumberFormat="1" applyFont="1" applyAlignment="1">
      <alignment horizontal="left"/>
    </xf>
    <xf numFmtId="0" fontId="29" fillId="0" borderId="0" xfId="0" applyFont="1"/>
    <xf numFmtId="0" fontId="0" fillId="0" borderId="0" xfId="0" applyAlignment="1">
      <alignment horizontal="center" vertical="center" wrapText="1"/>
    </xf>
    <xf numFmtId="8" fontId="0" fillId="0" borderId="0" xfId="0" applyNumberFormat="1" applyAlignment="1">
      <alignment horizontal="right" vertical="center" wrapText="1"/>
    </xf>
    <xf numFmtId="0" fontId="3" fillId="0" borderId="0" xfId="0" applyFont="1"/>
    <xf numFmtId="165" fontId="0" fillId="7" borderId="0" xfId="0" applyNumberFormat="1" applyFill="1"/>
    <xf numFmtId="0" fontId="0" fillId="9" borderId="31" xfId="0" applyFill="1" applyBorder="1" applyAlignment="1">
      <alignment horizontal="left"/>
    </xf>
    <xf numFmtId="164" fontId="0" fillId="9" borderId="0" xfId="1" applyFont="1" applyFill="1" applyBorder="1"/>
    <xf numFmtId="164" fontId="0" fillId="9" borderId="35" xfId="0" applyNumberFormat="1" applyFill="1" applyBorder="1"/>
    <xf numFmtId="164" fontId="0" fillId="9" borderId="0" xfId="0" applyNumberFormat="1" applyFill="1"/>
    <xf numFmtId="0" fontId="0" fillId="9" borderId="35" xfId="0" applyFill="1" applyBorder="1" applyAlignment="1">
      <alignment horizontal="left"/>
    </xf>
    <xf numFmtId="0" fontId="3" fillId="19" borderId="0" xfId="0" applyFont="1" applyFill="1"/>
    <xf numFmtId="168" fontId="0" fillId="0" borderId="0" xfId="0" applyNumberFormat="1"/>
    <xf numFmtId="168" fontId="0" fillId="0" borderId="44" xfId="0" applyNumberFormat="1" applyBorder="1"/>
    <xf numFmtId="0" fontId="57" fillId="19" borderId="46" xfId="0" applyFont="1" applyFill="1" applyBorder="1"/>
    <xf numFmtId="0" fontId="57" fillId="19" borderId="47" xfId="0" applyFont="1" applyFill="1" applyBorder="1"/>
    <xf numFmtId="0" fontId="57" fillId="19" borderId="50" xfId="0" applyFont="1" applyFill="1" applyBorder="1"/>
    <xf numFmtId="168" fontId="0" fillId="0" borderId="51" xfId="0" applyNumberFormat="1" applyBorder="1"/>
    <xf numFmtId="49" fontId="0" fillId="0" borderId="48" xfId="0" applyNumberFormat="1" applyBorder="1"/>
    <xf numFmtId="49" fontId="0" fillId="22" borderId="48" xfId="0" applyNumberFormat="1" applyFill="1" applyBorder="1"/>
    <xf numFmtId="168" fontId="0" fillId="22" borderId="44" xfId="0" applyNumberFormat="1" applyFill="1" applyBorder="1"/>
    <xf numFmtId="168" fontId="0" fillId="22" borderId="51" xfId="0" applyNumberFormat="1" applyFill="1" applyBorder="1"/>
    <xf numFmtId="0" fontId="59" fillId="20" borderId="0" xfId="0" applyFont="1" applyFill="1" applyAlignment="1">
      <alignment horizontal="center"/>
    </xf>
    <xf numFmtId="6" fontId="55" fillId="21" borderId="53" xfId="0" applyNumberFormat="1" applyFont="1" applyFill="1" applyBorder="1" applyAlignment="1">
      <alignment horizontal="center"/>
    </xf>
    <xf numFmtId="0" fontId="55" fillId="21" borderId="53" xfId="0" applyFont="1" applyFill="1" applyBorder="1" applyAlignment="1">
      <alignment horizontal="center"/>
    </xf>
    <xf numFmtId="168" fontId="56" fillId="18" borderId="45" xfId="0" applyNumberFormat="1" applyFont="1" applyFill="1" applyBorder="1"/>
    <xf numFmtId="0" fontId="56" fillId="18" borderId="49" xfId="0" applyFont="1" applyFill="1" applyBorder="1"/>
    <xf numFmtId="166" fontId="0" fillId="0" borderId="51" xfId="0" applyNumberFormat="1" applyBorder="1"/>
    <xf numFmtId="166" fontId="0" fillId="22" borderId="51" xfId="0" applyNumberFormat="1" applyFill="1" applyBorder="1"/>
    <xf numFmtId="166" fontId="56" fillId="18" borderId="52" xfId="0" applyNumberFormat="1" applyFont="1" applyFill="1" applyBorder="1"/>
    <xf numFmtId="168" fontId="56" fillId="18" borderId="52" xfId="0" applyNumberFormat="1" applyFont="1" applyFill="1" applyBorder="1"/>
    <xf numFmtId="168" fontId="0" fillId="22" borderId="45" xfId="0" applyNumberFormat="1" applyFill="1" applyBorder="1"/>
    <xf numFmtId="49" fontId="0" fillId="22" borderId="49" xfId="0" applyNumberFormat="1" applyFill="1" applyBorder="1"/>
    <xf numFmtId="168" fontId="0" fillId="22" borderId="52" xfId="0" applyNumberFormat="1" applyFill="1" applyBorder="1"/>
    <xf numFmtId="164" fontId="0" fillId="7" borderId="0" xfId="1" applyFont="1" applyFill="1" applyBorder="1"/>
    <xf numFmtId="164" fontId="0" fillId="7" borderId="0" xfId="0" applyNumberFormat="1" applyFill="1"/>
    <xf numFmtId="164" fontId="0" fillId="9" borderId="35" xfId="0" applyNumberFormat="1" applyFill="1" applyBorder="1" applyAlignment="1">
      <alignment horizontal="center"/>
    </xf>
    <xf numFmtId="165" fontId="0" fillId="9" borderId="35" xfId="0" applyNumberFormat="1" applyFill="1" applyBorder="1"/>
    <xf numFmtId="1" fontId="0" fillId="0" borderId="0" xfId="0" applyNumberFormat="1"/>
    <xf numFmtId="0" fontId="64" fillId="19" borderId="46" xfId="0" applyFont="1" applyFill="1" applyBorder="1"/>
    <xf numFmtId="0" fontId="64" fillId="19" borderId="47" xfId="0" applyFont="1" applyFill="1" applyBorder="1"/>
    <xf numFmtId="1" fontId="0" fillId="0" borderId="48" xfId="0" applyNumberFormat="1" applyBorder="1"/>
    <xf numFmtId="1" fontId="0" fillId="22" borderId="48" xfId="0" applyNumberFormat="1" applyFill="1" applyBorder="1"/>
    <xf numFmtId="1" fontId="0" fillId="22" borderId="49" xfId="0" applyNumberFormat="1" applyFill="1" applyBorder="1"/>
    <xf numFmtId="0" fontId="64" fillId="19" borderId="50" xfId="0" applyFont="1" applyFill="1" applyBorder="1"/>
    <xf numFmtId="166" fontId="0" fillId="0" borderId="51" xfId="0" applyNumberFormat="1" applyBorder="1" applyAlignment="1">
      <alignment horizontal="center"/>
    </xf>
    <xf numFmtId="166" fontId="0" fillId="22" borderId="52" xfId="0" applyNumberFormat="1" applyFill="1" applyBorder="1"/>
    <xf numFmtId="168" fontId="56" fillId="23" borderId="45" xfId="0" applyNumberFormat="1" applyFont="1" applyFill="1" applyBorder="1"/>
    <xf numFmtId="0" fontId="56" fillId="23" borderId="49" xfId="0" applyFont="1" applyFill="1" applyBorder="1"/>
    <xf numFmtId="166" fontId="56" fillId="23" borderId="52" xfId="0" applyNumberFormat="1" applyFont="1" applyFill="1" applyBorder="1"/>
    <xf numFmtId="168" fontId="0" fillId="0" borderId="58" xfId="0" applyNumberFormat="1" applyBorder="1"/>
    <xf numFmtId="168" fontId="0" fillId="24" borderId="58" xfId="0" applyNumberFormat="1" applyFill="1" applyBorder="1"/>
    <xf numFmtId="168" fontId="0" fillId="24" borderId="59" xfId="0" applyNumberFormat="1" applyFill="1" applyBorder="1"/>
    <xf numFmtId="0" fontId="64" fillId="19" borderId="60" xfId="0" applyFont="1" applyFill="1" applyBorder="1"/>
    <xf numFmtId="0" fontId="64" fillId="19" borderId="61" xfId="0" applyFont="1" applyFill="1" applyBorder="1"/>
    <xf numFmtId="49" fontId="0" fillId="0" borderId="62" xfId="0" applyNumberFormat="1" applyBorder="1"/>
    <xf numFmtId="49" fontId="65" fillId="24" borderId="62" xfId="0" applyNumberFormat="1" applyFont="1" applyFill="1" applyBorder="1"/>
    <xf numFmtId="49" fontId="65" fillId="24" borderId="63" xfId="0" applyNumberFormat="1" applyFont="1" applyFill="1" applyBorder="1"/>
    <xf numFmtId="0" fontId="64" fillId="19" borderId="64" xfId="0" applyFont="1" applyFill="1" applyBorder="1"/>
    <xf numFmtId="168" fontId="0" fillId="0" borderId="65" xfId="0" applyNumberFormat="1" applyBorder="1"/>
    <xf numFmtId="168" fontId="0" fillId="24" borderId="65" xfId="0" applyNumberFormat="1" applyFill="1" applyBorder="1"/>
    <xf numFmtId="168" fontId="0" fillId="24" borderId="66" xfId="0" applyNumberFormat="1" applyFill="1" applyBorder="1"/>
    <xf numFmtId="168" fontId="0" fillId="0" borderId="67" xfId="0" applyNumberFormat="1" applyBorder="1"/>
    <xf numFmtId="168" fontId="58" fillId="25" borderId="67" xfId="0" applyNumberFormat="1" applyFont="1" applyFill="1" applyBorder="1"/>
    <xf numFmtId="0" fontId="0" fillId="26" borderId="68" xfId="0" applyFill="1" applyBorder="1"/>
    <xf numFmtId="0" fontId="66" fillId="26" borderId="69" xfId="0" applyFont="1" applyFill="1" applyBorder="1"/>
    <xf numFmtId="0" fontId="66" fillId="26" borderId="70" xfId="0" applyFont="1" applyFill="1" applyBorder="1"/>
    <xf numFmtId="49" fontId="0" fillId="0" borderId="71" xfId="0" applyNumberFormat="1" applyBorder="1"/>
    <xf numFmtId="49" fontId="56" fillId="25" borderId="71" xfId="0" applyNumberFormat="1" applyFont="1" applyFill="1" applyBorder="1"/>
    <xf numFmtId="0" fontId="3" fillId="26" borderId="72" xfId="0" applyFont="1" applyFill="1" applyBorder="1"/>
    <xf numFmtId="0" fontId="66" fillId="26" borderId="73" xfId="0" applyFont="1" applyFill="1" applyBorder="1"/>
    <xf numFmtId="168" fontId="0" fillId="0" borderId="74" xfId="0" applyNumberFormat="1" applyBorder="1"/>
    <xf numFmtId="168" fontId="58" fillId="25" borderId="74" xfId="0" applyNumberFormat="1" applyFont="1" applyFill="1" applyBorder="1"/>
    <xf numFmtId="166" fontId="0" fillId="26" borderId="75" xfId="0" applyNumberFormat="1" applyFill="1" applyBorder="1"/>
    <xf numFmtId="49" fontId="65" fillId="24" borderId="80" xfId="0" applyNumberFormat="1" applyFont="1" applyFill="1" applyBorder="1"/>
    <xf numFmtId="168" fontId="0" fillId="24" borderId="57" xfId="0" applyNumberFormat="1" applyFill="1" applyBorder="1"/>
    <xf numFmtId="168" fontId="0" fillId="24" borderId="81" xfId="0" applyNumberFormat="1" applyFill="1" applyBorder="1"/>
    <xf numFmtId="49" fontId="67" fillId="28" borderId="86" xfId="0" applyNumberFormat="1" applyFont="1" applyFill="1" applyBorder="1"/>
    <xf numFmtId="49" fontId="68" fillId="28" borderId="87" xfId="0" applyNumberFormat="1" applyFont="1" applyFill="1" applyBorder="1"/>
    <xf numFmtId="49" fontId="68" fillId="28" borderId="88" xfId="0" applyNumberFormat="1" applyFont="1" applyFill="1" applyBorder="1"/>
    <xf numFmtId="0" fontId="51" fillId="7" borderId="3" xfId="0" applyFont="1" applyFill="1" applyBorder="1"/>
    <xf numFmtId="0" fontId="50" fillId="7" borderId="3" xfId="0" applyFont="1" applyFill="1" applyBorder="1" applyAlignment="1">
      <alignment horizontal="left"/>
    </xf>
    <xf numFmtId="0" fontId="0" fillId="9" borderId="3" xfId="0" applyFill="1" applyBorder="1" applyAlignment="1">
      <alignment horizontal="left"/>
    </xf>
    <xf numFmtId="0" fontId="51" fillId="9" borderId="3" xfId="0" applyFont="1" applyFill="1" applyBorder="1"/>
    <xf numFmtId="0" fontId="50" fillId="9" borderId="3" xfId="0" applyFont="1" applyFill="1" applyBorder="1" applyAlignment="1">
      <alignment horizontal="left"/>
    </xf>
    <xf numFmtId="0" fontId="2" fillId="0" borderId="24" xfId="0" applyFont="1" applyBorder="1"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60" fillId="23" borderId="0" xfId="0" applyFont="1" applyFill="1" applyAlignment="1">
      <alignment horizontal="center" vertical="center"/>
    </xf>
    <xf numFmtId="0" fontId="0" fillId="23" borderId="0" xfId="0" applyFill="1"/>
    <xf numFmtId="0" fontId="61" fillId="19" borderId="0" xfId="0" applyFont="1" applyFill="1" applyAlignment="1">
      <alignment horizontal="center"/>
    </xf>
    <xf numFmtId="0" fontId="0" fillId="19" borderId="0" xfId="0" applyFill="1"/>
    <xf numFmtId="0" fontId="59" fillId="20" borderId="0" xfId="0" applyFont="1" applyFill="1" applyAlignment="1">
      <alignment horizontal="center" vertical="center" wrapText="1"/>
    </xf>
    <xf numFmtId="0" fontId="0" fillId="20" borderId="0" xfId="0" applyFill="1"/>
    <xf numFmtId="168" fontId="62" fillId="21" borderId="53" xfId="0" applyNumberFormat="1" applyFont="1" applyFill="1" applyBorder="1" applyAlignment="1">
      <alignment horizontal="center"/>
    </xf>
    <xf numFmtId="0" fontId="0" fillId="21" borderId="0" xfId="0" applyFill="1"/>
    <xf numFmtId="49" fontId="63" fillId="27" borderId="56" xfId="0" applyNumberFormat="1" applyFont="1" applyFill="1" applyBorder="1" applyAlignment="1">
      <alignment horizontal="center"/>
    </xf>
    <xf numFmtId="49" fontId="0" fillId="27" borderId="54" xfId="0" applyNumberFormat="1" applyFill="1" applyBorder="1"/>
    <xf numFmtId="49" fontId="0" fillId="27" borderId="55" xfId="0" applyNumberFormat="1" applyFill="1" applyBorder="1"/>
    <xf numFmtId="0" fontId="54" fillId="23" borderId="0" xfId="0" applyFont="1" applyFill="1"/>
    <xf numFmtId="0" fontId="56" fillId="25" borderId="0" xfId="0" applyFont="1" applyFill="1" applyAlignment="1">
      <alignment horizontal="center"/>
    </xf>
    <xf numFmtId="0" fontId="0" fillId="25" borderId="0" xfId="0" applyFill="1"/>
    <xf numFmtId="166" fontId="62" fillId="21" borderId="53" xfId="0" applyNumberFormat="1" applyFont="1" applyFill="1" applyBorder="1" applyAlignment="1">
      <alignment horizontal="center"/>
    </xf>
    <xf numFmtId="0" fontId="63" fillId="23" borderId="0" xfId="0" applyFont="1" applyFill="1" applyAlignment="1">
      <alignment horizontal="center"/>
    </xf>
    <xf numFmtId="0" fontId="56" fillId="23" borderId="0" xfId="0" applyFont="1" applyFill="1" applyAlignment="1">
      <alignment horizontal="center"/>
    </xf>
    <xf numFmtId="168" fontId="51" fillId="28" borderId="84" xfId="0" applyNumberFormat="1" applyFont="1" applyFill="1" applyBorder="1" applyAlignment="1">
      <alignment wrapText="1"/>
    </xf>
    <xf numFmtId="168" fontId="0" fillId="28" borderId="76" xfId="0" applyNumberFormat="1" applyFill="1" applyBorder="1"/>
    <xf numFmtId="168" fontId="0" fillId="28" borderId="78" xfId="0" applyNumberFormat="1" applyFill="1" applyBorder="1"/>
    <xf numFmtId="168" fontId="51" fillId="28" borderId="85" xfId="0" applyNumberFormat="1" applyFont="1" applyFill="1" applyBorder="1" applyAlignment="1">
      <alignment wrapText="1"/>
    </xf>
    <xf numFmtId="168" fontId="0" fillId="28" borderId="77" xfId="0" applyNumberFormat="1" applyFill="1" applyBorder="1"/>
    <xf numFmtId="168" fontId="0" fillId="28" borderId="79" xfId="0" applyNumberFormat="1" applyFill="1" applyBorder="1"/>
    <xf numFmtId="168" fontId="51" fillId="28" borderId="82" xfId="0" applyNumberFormat="1" applyFont="1" applyFill="1" applyBorder="1" applyAlignment="1">
      <alignment wrapText="1"/>
    </xf>
    <xf numFmtId="168" fontId="0" fillId="28" borderId="83" xfId="0" applyNumberFormat="1" applyFill="1" applyBorder="1"/>
    <xf numFmtId="168" fontId="0" fillId="28" borderId="89" xfId="0" applyNumberFormat="1" applyFill="1" applyBorder="1"/>
    <xf numFmtId="0" fontId="52" fillId="18" borderId="0" xfId="0" applyFont="1" applyFill="1" applyAlignment="1">
      <alignment horizontal="center" vertical="center"/>
    </xf>
    <xf numFmtId="0" fontId="0" fillId="18" borderId="0" xfId="0" applyFill="1"/>
    <xf numFmtId="0" fontId="53" fillId="19" borderId="0" xfId="0" applyFont="1" applyFill="1" applyAlignment="1">
      <alignment horizontal="center"/>
    </xf>
    <xf numFmtId="0" fontId="56" fillId="18" borderId="0" xfId="0" applyFont="1" applyFill="1" applyAlignment="1">
      <alignment horizontal="center"/>
    </xf>
  </cellXfs>
  <cellStyles count="7">
    <cellStyle name="Millares" xfId="2" builtinId="3"/>
    <cellStyle name="Millares 2" xfId="5" xr:uid="{B3DC297D-8022-41C3-A77B-421D11CA54B3}"/>
    <cellStyle name="Moneda" xfId="1" builtinId="4"/>
    <cellStyle name="Normal" xfId="0" builtinId="0"/>
    <cellStyle name="Normal_0107A-Formato 606-lapmer" xfId="4" xr:uid="{7E989F4D-9FB4-4C40-BBBE-E80C577BB71E}"/>
    <cellStyle name="Normal_PLANILLA P-FORM.606" xfId="6" xr:uid="{0623F049-6615-4390-8FFC-7946FBDFBB66}"/>
    <cellStyle name="Porcentaje" xfId="3" builtinId="5"/>
  </cellStyles>
  <dxfs count="229">
    <dxf>
      <fill>
        <patternFill>
          <bgColor rgb="FF00B050"/>
        </patternFill>
      </fill>
    </dxf>
    <dxf>
      <fill>
        <patternFill>
          <bgColor rgb="FFC00000"/>
        </patternFill>
      </fill>
    </dxf>
    <dxf>
      <numFmt numFmtId="12" formatCode="&quot;$&quot;#,##0.00_);[Red]\(&quot;$&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name val="Roboto black"/>
        <scheme val="none"/>
      </font>
      <alignment horizontal="left"/>
    </dxf>
    <dxf>
      <font>
        <name val="Roboto black"/>
        <scheme val="none"/>
      </font>
    </dxf>
    <dxf>
      <font>
        <name val="Roboto black"/>
        <scheme val="none"/>
      </font>
    </dxf>
    <dxf>
      <font>
        <name val="Roboto black"/>
        <scheme val="none"/>
      </font>
    </dxf>
    <dxf>
      <font>
        <name val="Roboto black"/>
        <scheme val="none"/>
      </font>
    </dxf>
    <dxf>
      <font>
        <name val="Roboto black"/>
        <scheme val="none"/>
      </font>
    </dxf>
    <dxf>
      <font>
        <name val="Roboto black"/>
        <scheme val="none"/>
      </font>
    </dxf>
    <dxf>
      <font>
        <name val="Roboto black"/>
        <scheme val="none"/>
      </font>
    </dxf>
    <dxf>
      <font>
        <name val="Roboto black"/>
        <scheme val="none"/>
      </font>
    </dxf>
    <dxf>
      <font>
        <name val="Roboto black"/>
        <scheme val="none"/>
      </font>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2" formatCode="&quot;$&quot;#,##0.00_);[Red]\(&quot;$&quot;#,##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vertical="bottom" textRotation="0" wrapText="0" indent="0" justifyLastLine="0" shrinkToFit="0" readingOrder="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numFmt numFmtId="0" formatCode="General"/>
    </dxf>
    <dxf>
      <alignment horizontal="center" vertical="bottom" textRotation="0" wrapText="0" indent="0" justifyLastLine="0" shrinkToFit="0" readingOrder="0"/>
    </dxf>
    <dxf>
      <numFmt numFmtId="12" formatCode="&quot;$&quot;#,##0.00_);[Red]\(&quot;$&quot;#,##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vertical="bottom" textRotation="0" wrapText="0" indent="0" justifyLastLine="0" shrinkToFit="0" readingOrder="0"/>
    </dxf>
    <dxf>
      <numFmt numFmtId="12" formatCode="&quot;$&quot;#,##0.00_);[Red]\(&quot;$&quot;#,##0.00\)"/>
    </dxf>
    <dxf>
      <numFmt numFmtId="12" formatCode="&quot;$&quot;#,##0.00_);[Red]\(&quot;$&quot;#,##0.00\)"/>
    </dxf>
    <dxf>
      <numFmt numFmtId="12" formatCode="&quot;$&quot;#,##0.00_);[Red]\(&quot;$&quot;#,##0.00\)"/>
    </dxf>
    <dxf>
      <numFmt numFmtId="12" formatCode="&quot;$&quot;#,##0.00_);[Red]\(&quot;$&quot;#,##0.00\)"/>
    </dxf>
    <dxf>
      <numFmt numFmtId="13" formatCode="0%"/>
    </dxf>
    <dxf>
      <numFmt numFmtId="13" formatCode="0%"/>
    </dxf>
    <dxf>
      <numFmt numFmtId="12" formatCode="&quot;$&quot;#,##0.00_);[Red]\(&quot;$&quot;#,##0.00\)"/>
    </dxf>
    <dxf>
      <numFmt numFmtId="12" formatCode="&quot;$&quot;#,##0.00_);[Red]\(&quot;$&quot;#,##0.00\)"/>
    </dxf>
    <dxf>
      <numFmt numFmtId="12" formatCode="&quot;$&quot;#,##0.00_);[Red]\(&quot;$&quot;#,##0.00\)"/>
    </dxf>
    <dxf>
      <numFmt numFmtId="12" formatCode="&quot;$&quot;#,##0.00_);[Red]\(&quot;$&quot;#,##0.00\)"/>
    </dxf>
    <dxf>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7" formatCode="&quot;$&quot;#,##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2" formatCode="&quot;$&quot;#,##0.00_);[Red]\(&quot;$&quot;#,##0.00\)"/>
    </dxf>
    <dxf>
      <numFmt numFmtId="12" formatCode="&quot;$&quot;#,##0.00_);[Red]\(&quot;$&quot;#,##0.00\)"/>
    </dxf>
    <dxf>
      <numFmt numFmtId="12" formatCode="&quot;$&quot;#,##0.00_);[Red]\(&quot;$&quot;#,##0.00\)"/>
    </dxf>
    <dxf>
      <numFmt numFmtId="12" formatCode="&quot;$&quot;#,##0.00_);[Red]\(&quot;$&quot;#,##0.00\)"/>
    </dxf>
    <dxf>
      <numFmt numFmtId="22" formatCode="mmm\-yy"/>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dxf>
    <dxf>
      <numFmt numFmtId="12" formatCode="&quot;$&quot;#,##0.00_);[Red]\(&quot;$&quot;#,##0.00\)"/>
    </dxf>
    <dxf>
      <numFmt numFmtId="12" formatCode="&quot;$&quot;#,##0.00_);[Red]\(&quot;$&quot;#,##0.0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9"/>
        <color auto="1"/>
        <name val="Arial"/>
        <family val="2"/>
        <scheme val="none"/>
      </font>
      <protection locked="1" hidden="1"/>
    </dxf>
    <dxf>
      <font>
        <b val="0"/>
        <i val="0"/>
        <strike val="0"/>
        <condense val="0"/>
        <extend val="0"/>
        <outline val="0"/>
        <shadow val="0"/>
        <u val="none"/>
        <vertAlign val="baseline"/>
        <sz val="9"/>
        <color auto="1"/>
        <name val="Arial"/>
        <family val="2"/>
        <scheme val="none"/>
      </font>
      <protection locked="1" hidden="1"/>
    </dxf>
    <dxf>
      <font>
        <b val="0"/>
        <i val="0"/>
        <strike val="0"/>
        <condense val="0"/>
        <extend val="0"/>
        <outline val="0"/>
        <shadow val="0"/>
        <u val="none"/>
        <vertAlign val="baseline"/>
        <sz val="9"/>
        <color auto="1"/>
        <name val="Arial"/>
        <family val="2"/>
        <scheme val="none"/>
      </font>
      <protection locked="1" hidden="1"/>
    </dxf>
    <dxf>
      <font>
        <b val="0"/>
        <i val="0"/>
        <strike val="0"/>
        <condense val="0"/>
        <extend val="0"/>
        <outline val="0"/>
        <shadow val="0"/>
        <u val="none"/>
        <vertAlign val="baseline"/>
        <sz val="9"/>
        <color auto="1"/>
        <name val="Arial"/>
        <family val="2"/>
        <scheme val="none"/>
      </font>
      <protection locked="1" hidden="1"/>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65" formatCode="_-* #,##0.00_-;\-* #,##0.00_-;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auto="1"/>
        <name val="Calibri"/>
        <family val="2"/>
        <scheme val="minor"/>
      </font>
    </dxf>
    <dxf>
      <font>
        <b/>
        <i val="0"/>
        <strike val="0"/>
        <condense val="0"/>
        <extend val="0"/>
        <outline val="0"/>
        <shadow val="0"/>
        <u val="none"/>
        <vertAlign val="baseline"/>
        <sz val="12"/>
        <color auto="1"/>
        <name val="Calibri"/>
        <family val="2"/>
        <scheme val="minor"/>
      </font>
    </dxf>
    <dxf>
      <font>
        <b val="0"/>
        <i val="0"/>
        <strike val="0"/>
        <condense val="0"/>
        <extend val="0"/>
        <outline val="0"/>
        <shadow val="0"/>
        <u val="none"/>
        <vertAlign val="baseline"/>
        <sz val="8"/>
        <color rgb="FF0000FF"/>
        <name val="Arial"/>
        <family val="2"/>
        <scheme val="none"/>
      </font>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8"/>
        <color rgb="FF0000FF"/>
        <name val="Arial"/>
        <family val="2"/>
        <scheme val="none"/>
      </font>
      <numFmt numFmtId="35" formatCode="_(* #,##0.00_);_(* \(#,##0.00\);_(* &quot;-&quot;??_);_(@_)"/>
      <fill>
        <patternFill patternType="solid">
          <fgColor theme="4" tint="0.79998168889431442"/>
          <bgColor theme="4" tint="0.79998168889431442"/>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2"/>
        <color rgb="FFFF0000"/>
        <name val="Calibri"/>
        <family val="2"/>
        <scheme val="minor"/>
      </font>
      <fill>
        <patternFill patternType="solid">
          <fgColor indexed="64"/>
          <bgColor rgb="FFFFFFCC"/>
        </patternFill>
      </fill>
      <alignment horizontal="center" vertical="bottom" textRotation="0" wrapText="0" indent="0" justifyLastLine="0" shrinkToFit="0" readingOrder="0"/>
    </dxf>
    <dxf>
      <font>
        <b/>
        <i val="0"/>
        <strike val="0"/>
        <condense val="0"/>
        <extend val="0"/>
        <outline val="0"/>
        <shadow val="0"/>
        <u val="none"/>
        <vertAlign val="baseline"/>
        <sz val="12"/>
        <color rgb="FFFF0000"/>
        <name val="Calibri"/>
        <family val="2"/>
        <scheme val="minor"/>
      </font>
      <fill>
        <patternFill patternType="solid">
          <fgColor indexed="64"/>
          <bgColor rgb="FFFFFFCC"/>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Book Antiqua"/>
        <family val="1"/>
        <scheme val="none"/>
      </font>
      <fill>
        <patternFill patternType="solid">
          <fgColor indexed="64"/>
          <bgColor indexed="65"/>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1"/>
        <color auto="1"/>
        <name val="Book Antiqua"/>
        <family val="1"/>
        <scheme val="none"/>
      </font>
      <numFmt numFmtId="30" formatCode="@"/>
      <fill>
        <patternFill patternType="solid">
          <fgColor indexed="64"/>
          <bgColor indexed="65"/>
        </patternFill>
      </fill>
      <border diagonalUp="0" diagonalDown="0">
        <left style="thin">
          <color indexed="64"/>
        </left>
        <right style="thin">
          <color indexed="64"/>
        </right>
        <top/>
        <bottom/>
        <vertical/>
        <horizontal/>
      </border>
      <protection locked="0" hidden="0"/>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0"/>
        <color auto="1"/>
        <name val="Tahoma"/>
        <family val="2"/>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protection locked="1" hidden="1"/>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alignment horizontal="left" vertical="bottom" textRotation="0" wrapText="0" indent="0" justifyLastLine="0" shrinkToFit="0" readingOrder="0"/>
    </dxf>
    <dxf>
      <numFmt numFmtId="19" formatCode="dd/mm/yyyy"/>
      <alignment horizontal="right" vertical="bottom" textRotation="0" wrapText="0" indent="0" justifyLastLine="0" shrinkToFit="0" readingOrder="0"/>
    </dxf>
    <dxf>
      <numFmt numFmtId="19" formatCode="dd/mm/yyyy"/>
      <alignment horizontal="righ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alignment horizontal="left"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8"/>
        <color rgb="FF0000FF"/>
        <name val="Arial"/>
        <family val="2"/>
        <scheme val="none"/>
      </font>
      <numFmt numFmtId="35" formatCode="_(* #,##0.00_);_(* \(#,##0.00\);_(* &quot;-&quot;??_);_(@_)"/>
      <fill>
        <patternFill patternType="none">
          <fgColor indexed="64"/>
          <bgColor indexed="65"/>
        </patternFill>
      </fill>
      <alignment horizontal="left" vertical="bottom" textRotation="0" wrapText="0" indent="0" justifyLastLine="0" shrinkToFit="0" readingOrder="0"/>
      <protection locked="1" hidden="1"/>
    </dxf>
    <dxf>
      <font>
        <b/>
        <i val="0"/>
        <strike val="0"/>
        <condense val="0"/>
        <extend val="0"/>
        <outline val="0"/>
        <shadow val="0"/>
        <u val="none"/>
        <vertAlign val="baseline"/>
        <sz val="12"/>
        <color rgb="FFFF0000"/>
        <name val="Calibri"/>
        <family val="2"/>
        <scheme val="minor"/>
      </font>
      <fill>
        <patternFill patternType="solid">
          <fgColor indexed="64"/>
          <bgColor rgb="FFFFFFCC"/>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auto="1"/>
        <name val="Book Antiqua"/>
        <family val="1"/>
        <scheme val="none"/>
      </font>
      <numFmt numFmtId="30" formatCode="@"/>
      <fill>
        <patternFill patternType="solid">
          <fgColor indexed="64"/>
          <bgColor indexed="65"/>
        </patternFill>
      </fill>
      <border diagonalUp="0" diagonalDown="0">
        <left/>
        <right style="thin">
          <color indexed="64"/>
        </right>
        <top/>
        <bottom/>
        <vertical/>
        <horizontal/>
      </border>
      <protection locked="0" hidden="0"/>
    </dxf>
    <dxf>
      <border outline="0">
        <left style="thin">
          <color indexed="64"/>
        </left>
        <top style="thin">
          <color indexed="64"/>
        </top>
      </border>
    </dxf>
    <dxf>
      <font>
        <b val="0"/>
        <i val="0"/>
        <strike val="0"/>
        <condense val="0"/>
        <extend val="0"/>
        <outline val="0"/>
        <shadow val="0"/>
        <u val="none"/>
        <vertAlign val="baseline"/>
        <sz val="11"/>
        <color auto="1"/>
        <name val="Calibri"/>
        <family val="2"/>
        <scheme val="minor"/>
      </font>
    </dxf>
    <dxf>
      <border outline="0">
        <bottom style="thin">
          <color indexed="64"/>
        </bottom>
      </border>
    </dxf>
    <dxf>
      <font>
        <b/>
        <i val="0"/>
        <strike val="0"/>
        <condense val="0"/>
        <extend val="0"/>
        <outline val="0"/>
        <shadow val="0"/>
        <u val="none"/>
        <vertAlign val="baseline"/>
        <sz val="8"/>
        <color auto="1"/>
        <name val="Tahoma"/>
        <family val="2"/>
        <scheme val="none"/>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8"/>
        <color auto="1"/>
        <name val="Arial"/>
        <family val="2"/>
        <scheme val="none"/>
      </font>
      <fill>
        <patternFill patternType="solid">
          <fgColor indexed="64"/>
          <bgColor rgb="FFFFFF99"/>
        </patternFill>
      </fill>
      <alignment horizontal="left" vertical="bottom" textRotation="0" wrapText="0" indent="1" justifyLastLine="0" shrinkToFit="0" readingOrder="0"/>
      <border diagonalUp="0" diagonalDown="0" outline="0">
        <left style="thin">
          <color indexed="64"/>
        </left>
        <right/>
        <top style="thin">
          <color indexed="64"/>
        </top>
        <bottom style="thin">
          <color indexed="64"/>
        </bottom>
      </border>
      <protection locked="0" hidden="0"/>
    </dxf>
    <dxf>
      <font>
        <b/>
        <i val="0"/>
        <strike val="0"/>
        <condense val="0"/>
        <extend val="0"/>
        <outline val="0"/>
        <shadow val="0"/>
        <u val="none"/>
        <vertAlign val="baseline"/>
        <sz val="10"/>
        <color rgb="FFFF0000"/>
        <name val="Arial"/>
        <family val="2"/>
        <scheme val="none"/>
      </font>
      <fill>
        <patternFill patternType="solid">
          <fgColor indexed="64"/>
          <bgColor rgb="FFFFFF99"/>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1"/>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Book Antiqua"/>
        <family val="1"/>
        <scheme val="none"/>
      </font>
      <border diagonalUp="0" diagonalDown="0">
        <left style="thin">
          <color indexed="64"/>
        </left>
        <right style="thin">
          <color indexed="64"/>
        </right>
        <top/>
        <bottom/>
        <vertical/>
        <horizontal/>
      </border>
      <protection locked="0" hidden="0"/>
    </dxf>
    <dxf>
      <font>
        <b val="0"/>
        <i val="0"/>
        <strike val="0"/>
        <condense val="0"/>
        <extend val="0"/>
        <outline val="0"/>
        <shadow val="0"/>
        <u val="none"/>
        <vertAlign val="baseline"/>
        <sz val="11"/>
        <color auto="1"/>
        <name val="Book Antiqua"/>
        <family val="1"/>
        <scheme val="none"/>
      </font>
      <numFmt numFmtId="30" formatCode="@"/>
      <fill>
        <patternFill patternType="solid">
          <fgColor indexed="64"/>
          <bgColor indexed="65"/>
        </patternFill>
      </fill>
      <border diagonalUp="0" diagonalDown="0">
        <left style="thin">
          <color indexed="64"/>
        </left>
        <right style="thin">
          <color indexed="64"/>
        </right>
        <top/>
        <bottom/>
        <vertical/>
        <horizontal/>
      </border>
      <protection locked="0" hidden="0"/>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Arial"/>
        <family val="2"/>
        <scheme val="none"/>
      </font>
      <fill>
        <patternFill patternType="solid">
          <fgColor indexed="64"/>
          <bgColor indexed="13"/>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fill>
        <patternFill patternType="solid">
          <fgColor indexed="64"/>
          <bgColor theme="0"/>
        </patternFill>
      </fill>
    </dxf>
    <dxf>
      <fill>
        <patternFill patternType="solid">
          <fgColor indexed="64"/>
          <bgColor theme="0"/>
        </patternFill>
      </fill>
    </dxf>
    <dxf>
      <numFmt numFmtId="19" formatCode="dd/mm/yyyy"/>
      <fill>
        <patternFill patternType="solid">
          <fgColor indexed="64"/>
          <bgColor theme="0"/>
        </patternFill>
      </fill>
      <alignment horizontal="center" vertical="bottom" textRotation="0" wrapText="0" indent="0" justifyLastLine="0" shrinkToFit="0" readingOrder="0"/>
    </dxf>
    <dxf>
      <numFmt numFmtId="19" formatCode="dd/mm/yyyy"/>
      <fill>
        <patternFill patternType="solid">
          <fgColor indexed="64"/>
          <bgColor theme="0"/>
        </patternFill>
      </fill>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0"/>
        </patternFill>
      </fill>
    </dxf>
    <dxf>
      <numFmt numFmtId="19" formatCode="dd/mm/yyyy"/>
    </dxf>
    <dxf>
      <fill>
        <patternFill patternType="solid">
          <fgColor indexed="64"/>
          <bgColor rgb="FF0070C0"/>
        </patternFill>
      </fill>
    </dxf>
    <dxf>
      <numFmt numFmtId="12" formatCode="&quot;$&quot;#,##0.00_);[Red]\(&quot;$&quot;#,##0.00\)"/>
    </dxf>
    <dxf>
      <numFmt numFmtId="12" formatCode="&quot;$&quot;#,##0.00_);[Red]\(&quot;$&quot;#,##0.00\)"/>
    </dxf>
    <dxf>
      <numFmt numFmtId="164" formatCode="_-&quot;$&quot;* #,##0.00_-;\-&quot;$&quot;* #,##0.00_-;_-&quot;$&quot;* &quot;-&quot;??_-;_-@_-"/>
      <fill>
        <patternFill patternType="solid">
          <fgColor indexed="64"/>
          <bgColor theme="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0"/>
        </patternFill>
      </fill>
      <border diagonalUp="0" diagonalDown="0">
        <left/>
        <right/>
        <top style="thin">
          <color theme="4" tint="0.39997558519241921"/>
        </top>
        <bottom/>
        <vertical/>
        <horizontal/>
      </border>
    </dxf>
    <dxf>
      <numFmt numFmtId="164" formatCode="_-&quot;$&quot;* #,##0.00_-;\-&quot;$&quot;* #,##0.00_-;_-&quot;$&quot;* &quot;-&quot;??_-;_-@_-"/>
      <fill>
        <patternFill patternType="solid">
          <fgColor indexed="64"/>
          <bgColor theme="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0"/>
        </patternFill>
      </fill>
      <border diagonalUp="0" diagonalDown="0">
        <left/>
        <right/>
        <top style="thin">
          <color theme="4" tint="0.39997558519241921"/>
        </top>
        <bottom/>
        <vertical/>
        <horizontal/>
      </border>
    </dxf>
    <dxf>
      <numFmt numFmtId="164" formatCode="_-&quot;$&quot;* #,##0.00_-;\-&quot;$&quot;* #,##0.00_-;_-&quot;$&quot;* &quot;-&quot;??_-;_-@_-"/>
      <fill>
        <patternFill patternType="solid">
          <fgColor indexed="64"/>
          <bgColor theme="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0"/>
        </patternFill>
      </fill>
      <border diagonalUp="0" diagonalDown="0">
        <left/>
        <right/>
        <top style="thin">
          <color theme="4" tint="0.39997558519241921"/>
        </top>
        <bottom/>
        <vertical/>
        <horizontal/>
      </border>
    </dxf>
    <dxf>
      <numFmt numFmtId="165" formatCode="_-* #,##0.00_-;\-* #,##0.00_-;_-* &quot;-&quot;??_-;_-@_-"/>
      <fill>
        <patternFill patternType="solid">
          <fgColor indexed="64"/>
          <bgColor theme="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5" formatCode="_-* #,##0.00_-;\-* #,##0.00_-;_-* &quot;-&quot;??_-;_-@_-"/>
      <fill>
        <patternFill patternType="solid">
          <fgColor indexed="64"/>
          <bgColor theme="0"/>
        </patternFill>
      </fill>
      <border diagonalUp="0" diagonalDown="0">
        <left/>
        <right/>
        <top style="thin">
          <color theme="4" tint="0.39997558519241921"/>
        </top>
        <bottom/>
        <vertical/>
        <horizontal/>
      </border>
    </dxf>
    <dxf>
      <numFmt numFmtId="164" formatCode="_-&quot;$&quot;* #,##0.00_-;\-&quot;$&quot;* #,##0.00_-;_-&quot;$&quot;* &quot;-&quot;??_-;_-@_-"/>
      <fill>
        <patternFill patternType="solid">
          <fgColor indexed="64"/>
          <bgColor theme="0"/>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0"/>
        </patternFill>
      </fill>
      <alignment horizontal="center" vertical="bottom" textRotation="0" wrapText="0" indent="0" justifyLastLine="0" shrinkToFit="0" readingOrder="0"/>
      <border diagonalUp="0" diagonalDown="0">
        <left/>
        <right/>
        <top style="thin">
          <color theme="4" tint="0.39997558519241921"/>
        </top>
        <bottom/>
        <vertical/>
        <horizontal/>
      </border>
    </dxf>
    <dxf>
      <numFmt numFmtId="164" formatCode="_-&quot;$&quot;* #,##0.00_-;\-&quot;$&quot;* #,##0.00_-;_-&quot;$&quot;* &quot;-&quot;??_-;_-@_-"/>
      <fill>
        <patternFill patternType="solid">
          <fgColor indexed="64"/>
          <bgColor theme="0"/>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_-&quot;$&quot;* #,##0.00_-;\-&quot;$&quot;* #,##0.00_-;_-&quot;$&quot;* &quot;-&quot;??_-;_-@_-"/>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rgb="FF00B050"/>
        </patternFill>
      </fill>
      <alignment horizontal="left"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indexed="64"/>
          <bgColor rgb="FF00B050"/>
        </patternFill>
      </fill>
      <alignment horizontal="left" vertical="bottom" textRotation="0" wrapText="0" indent="0" justifyLastLine="0" shrinkToFit="0" readingOrder="0"/>
      <border diagonalUp="0" diagonalDown="0">
        <left/>
        <right/>
        <top style="thin">
          <color theme="4" tint="0.39997558519241921"/>
        </top>
        <bottom/>
        <vertical/>
        <horizontal/>
      </border>
    </dxf>
    <dxf>
      <border diagonalUp="0" diagonalDown="0" outline="0">
        <left style="thin">
          <color theme="4" tint="0.39997558519241921"/>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style="thin">
          <color theme="4" tint="0.39997558519241921"/>
        </left>
        <right/>
        <top style="thin">
          <color theme="4" tint="0.39997558519241921"/>
        </top>
        <bottom/>
        <vertical/>
        <horizontal/>
      </border>
    </dxf>
    <dxf>
      <border outline="0">
        <top style="medium">
          <color indexed="64"/>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pivotCacheDefinition" Target="pivotCache/pivotCacheDefinition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[LISTADOS DE PROCEDIMIENTOS LEOS.xlsx]consolidacion de pago bien !TablaDinámica4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Black" panose="02000000000000000000" pitchFamily="2" charset="0"/>
                <a:ea typeface="Roboto Black" panose="02000000000000000000" pitchFamily="2" charset="0"/>
                <a:cs typeface="Roboto Black" panose="02000000000000000000" pitchFamily="2" charset="0"/>
              </a:defRPr>
            </a:pPr>
            <a:r>
              <a:rPr lang="en-US">
                <a:latin typeface="Roboto Black" panose="02000000000000000000" pitchFamily="2" charset="0"/>
                <a:ea typeface="Roboto Black" panose="02000000000000000000" pitchFamily="2" charset="0"/>
                <a:cs typeface="Roboto Black" panose="02000000000000000000" pitchFamily="2" charset="0"/>
              </a:rPr>
              <a:t>Total de</a:t>
            </a:r>
            <a:r>
              <a:rPr lang="en-US" baseline="0">
                <a:latin typeface="Roboto Black" panose="02000000000000000000" pitchFamily="2" charset="0"/>
                <a:ea typeface="Roboto Black" panose="02000000000000000000" pitchFamily="2" charset="0"/>
                <a:cs typeface="Roboto Black" panose="02000000000000000000" pitchFamily="2" charset="0"/>
              </a:rPr>
              <a:t> Ingresos Persividos</a:t>
            </a:r>
            <a:endParaRPr lang="en-US">
              <a:latin typeface="Roboto Black" panose="02000000000000000000" pitchFamily="2" charset="0"/>
              <a:ea typeface="Roboto Black" panose="02000000000000000000" pitchFamily="2" charset="0"/>
              <a:cs typeface="Roboto Black" panose="02000000000000000000" pitchFamily="2" charset="0"/>
            </a:endParaRPr>
          </a:p>
        </c:rich>
      </c:tx>
      <c:layout>
        <c:manualLayout>
          <c:xMode val="edge"/>
          <c:yMode val="edge"/>
          <c:x val="8.977724407228601E-3"/>
          <c:y val="2.50347677729602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Black" panose="02000000000000000000" pitchFamily="2" charset="0"/>
              <a:ea typeface="Roboto Black" panose="02000000000000000000" pitchFamily="2" charset="0"/>
              <a:cs typeface="Roboto Black" panose="02000000000000000000" pitchFamily="2" charset="0"/>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'consolidacion de pago bien '!$M$240</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'consolidacion de pago bien '!$L$241:$L$245</c:f>
              <c:strCache>
                <c:ptCount val="5"/>
                <c:pt idx="0">
                  <c:v>2021</c:v>
                </c:pt>
                <c:pt idx="1">
                  <c:v>2022</c:v>
                </c:pt>
                <c:pt idx="2">
                  <c:v>2023</c:v>
                </c:pt>
                <c:pt idx="3">
                  <c:v>2024</c:v>
                </c:pt>
                <c:pt idx="4">
                  <c:v>2025</c:v>
                </c:pt>
              </c:strCache>
            </c:strRef>
          </c:cat>
          <c:val>
            <c:numRef>
              <c:f>'consolidacion de pago bien '!$M$241:$M$245</c:f>
              <c:numCache>
                <c:formatCode>"$"#,##0.00_);[Red]\("$"#,##0.00\)</c:formatCode>
                <c:ptCount val="5"/>
                <c:pt idx="0">
                  <c:v>994713.04</c:v>
                </c:pt>
                <c:pt idx="1">
                  <c:v>2883902.42</c:v>
                </c:pt>
                <c:pt idx="2">
                  <c:v>3309290.27</c:v>
                </c:pt>
                <c:pt idx="3">
                  <c:v>2645060.9099999997</c:v>
                </c:pt>
                <c:pt idx="4">
                  <c:v>184259.44</c:v>
                </c:pt>
              </c:numCache>
            </c:numRef>
          </c:val>
          <c:extLst>
            <c:ext xmlns:c16="http://schemas.microsoft.com/office/drawing/2014/chart" uri="{C3380CC4-5D6E-409C-BE32-E72D297353CC}">
              <c16:uniqueId val="{00000000-9C08-4F1D-938A-F8DBAF61A3F6}"/>
            </c:ext>
          </c:extLst>
        </c:ser>
        <c:dLbls>
          <c:showLegendKey val="0"/>
          <c:showVal val="0"/>
          <c:showCatName val="0"/>
          <c:showSerName val="0"/>
          <c:showPercent val="0"/>
          <c:showBubbleSize val="0"/>
        </c:dLbls>
        <c:gapWidth val="219"/>
        <c:overlap val="-27"/>
        <c:axId val="1548173823"/>
        <c:axId val="1548175263"/>
      </c:barChart>
      <c:catAx>
        <c:axId val="154817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175263"/>
        <c:crosses val="autoZero"/>
        <c:auto val="1"/>
        <c:lblAlgn val="ctr"/>
        <c:lblOffset val="100"/>
        <c:noMultiLvlLbl val="0"/>
      </c:catAx>
      <c:valAx>
        <c:axId val="1548175263"/>
        <c:scaling>
          <c:orientation val="minMax"/>
        </c:scaling>
        <c:delete val="1"/>
        <c:axPos val="l"/>
        <c:numFmt formatCode="&quot;$&quot;#,##0.00_);[Red]\(&quot;$&quot;#,##0.00\)" sourceLinked="1"/>
        <c:majorTickMark val="none"/>
        <c:minorTickMark val="none"/>
        <c:tickLblPos val="nextTo"/>
        <c:crossAx val="15481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[LISTADOS DE PROCEDIMIENTOS LEOS.xlsx]consolidacion de pago bien !TablaDinámica1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Black" panose="02000000000000000000" pitchFamily="2" charset="0"/>
                <a:ea typeface="Roboto Black" panose="02000000000000000000" pitchFamily="2" charset="0"/>
                <a:cs typeface="Roboto Black" panose="02000000000000000000" pitchFamily="2" charset="0"/>
              </a:defRPr>
            </a:pPr>
            <a:r>
              <a:rPr lang="en-US">
                <a:latin typeface="Roboto Black" panose="02000000000000000000" pitchFamily="2" charset="0"/>
                <a:ea typeface="Roboto Black" panose="02000000000000000000" pitchFamily="2" charset="0"/>
                <a:cs typeface="Roboto Black" panose="02000000000000000000" pitchFamily="2" charset="0"/>
              </a:rPr>
              <a:t>Total Retenido por la Renta</a:t>
            </a:r>
          </a:p>
        </c:rich>
      </c:tx>
      <c:layout>
        <c:manualLayout>
          <c:xMode val="edge"/>
          <c:yMode val="edge"/>
          <c:x val="2.1229002624671901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Roboto Black" panose="02000000000000000000" pitchFamily="2" charset="0"/>
              <a:ea typeface="Roboto Black" panose="02000000000000000000" pitchFamily="2" charset="0"/>
              <a:cs typeface="Roboto Black" panose="02000000000000000000" pitchFamily="2" charset="0"/>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43732052749934E-2"/>
          <c:y val="0.14540883259157822"/>
          <c:w val="0.95755626794725002"/>
          <c:h val="0.79129284491612462"/>
        </c:manualLayout>
      </c:layout>
      <c:barChart>
        <c:barDir val="col"/>
        <c:grouping val="clustered"/>
        <c:varyColors val="0"/>
        <c:ser>
          <c:idx val="0"/>
          <c:order val="0"/>
          <c:tx>
            <c:strRef>
              <c:f>'consolidacion de pago bien '!$M$255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'consolidacion de pago bien '!$L$256:$L$260</c:f>
              <c:strCache>
                <c:ptCount val="5"/>
                <c:pt idx="0">
                  <c:v>2021</c:v>
                </c:pt>
                <c:pt idx="1">
                  <c:v>2022</c:v>
                </c:pt>
                <c:pt idx="2">
                  <c:v>2023</c:v>
                </c:pt>
                <c:pt idx="3">
                  <c:v>2024</c:v>
                </c:pt>
                <c:pt idx="4">
                  <c:v>2025</c:v>
                </c:pt>
              </c:strCache>
            </c:strRef>
          </c:cat>
          <c:val>
            <c:numRef>
              <c:f>'consolidacion de pago bien '!$M$256:$M$260</c:f>
              <c:numCache>
                <c:formatCode>"$"#,##0.00_);[Red]\("$"#,##0.00\)</c:formatCode>
                <c:ptCount val="5"/>
                <c:pt idx="0">
                  <c:v>99471.304000000004</c:v>
                </c:pt>
                <c:pt idx="1">
                  <c:v>287969.913</c:v>
                </c:pt>
                <c:pt idx="2">
                  <c:v>330929.02699999994</c:v>
                </c:pt>
                <c:pt idx="3">
                  <c:v>266234.09100000001</c:v>
                </c:pt>
                <c:pt idx="4">
                  <c:v>22592.583999999999</c:v>
                </c:pt>
              </c:numCache>
            </c:numRef>
          </c:val>
          <c:extLst>
            <c:ext xmlns:c16="http://schemas.microsoft.com/office/drawing/2014/chart" uri="{C3380CC4-5D6E-409C-BE32-E72D297353CC}">
              <c16:uniqueId val="{00000000-330D-428C-8DE1-72A05D1DCAED}"/>
            </c:ext>
          </c:extLst>
        </c:ser>
        <c:dLbls>
          <c:showLegendKey val="0"/>
          <c:showVal val="0"/>
          <c:showCatName val="0"/>
          <c:showSerName val="0"/>
          <c:showPercent val="0"/>
          <c:showBubbleSize val="0"/>
        </c:dLbls>
        <c:gapWidth val="219"/>
        <c:overlap val="-27"/>
        <c:axId val="1265114944"/>
        <c:axId val="1265115424"/>
      </c:barChart>
      <c:catAx>
        <c:axId val="126511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115424"/>
        <c:crosses val="autoZero"/>
        <c:auto val="1"/>
        <c:lblAlgn val="ctr"/>
        <c:lblOffset val="100"/>
        <c:noMultiLvlLbl val="0"/>
      </c:catAx>
      <c:valAx>
        <c:axId val="1265115424"/>
        <c:scaling>
          <c:orientation val="minMax"/>
        </c:scaling>
        <c:delete val="1"/>
        <c:axPos val="l"/>
        <c:numFmt formatCode="&quot;$&quot;#,##0.00_);[Red]\(&quot;$&quot;#,##0.00\)" sourceLinked="1"/>
        <c:majorTickMark val="none"/>
        <c:minorTickMark val="none"/>
        <c:tickLblPos val="nextTo"/>
        <c:crossAx val="126511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[LISTADOS DE PROCEDIMIENTOS LEOS.xlsx]SUELDOS!TablaDinámica1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SUELDOS!$L$4</c:f>
              <c:strCache>
                <c:ptCount val="1"/>
                <c:pt idx="0">
                  <c:v>Total</c:v>
                </c:pt>
              </c:strCache>
            </c:strRef>
          </c:tx>
          <c:spPr>
            <a:ln w="28575" cap="rnd">
              <a:solidFill>
                <a:schemeClr val="accent1"/>
              </a:solidFill>
              <a:round/>
            </a:ln>
            <a:effectLst/>
          </c:spPr>
          <c:marker>
            <c:symbol val="none"/>
          </c:marker>
          <c:cat>
            <c:strRef>
              <c:f>SUELDOS!$K$5:$K$16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SUELDOS!$L$5:$L$16</c:f>
              <c:numCache>
                <c:formatCode>_-"$"* #,##0.00_-;\-"$"* #,##0.00_-;_-"$"* "-"??_-;_-@_-</c:formatCode>
                <c:ptCount val="12"/>
                <c:pt idx="0">
                  <c:v>1349555.611</c:v>
                </c:pt>
                <c:pt idx="1">
                  <c:v>1189739.75</c:v>
                </c:pt>
                <c:pt idx="2">
                  <c:v>1285348.1319999998</c:v>
                </c:pt>
                <c:pt idx="3">
                  <c:v>1508792.0109999999</c:v>
                </c:pt>
                <c:pt idx="4">
                  <c:v>1348325.55</c:v>
                </c:pt>
                <c:pt idx="5">
                  <c:v>1319047.3169999998</c:v>
                </c:pt>
                <c:pt idx="6">
                  <c:v>1387573.06</c:v>
                </c:pt>
                <c:pt idx="7">
                  <c:v>1875101.662</c:v>
                </c:pt>
                <c:pt idx="8">
                  <c:v>2714837.9290000005</c:v>
                </c:pt>
                <c:pt idx="9">
                  <c:v>1852981.0719999999</c:v>
                </c:pt>
                <c:pt idx="10">
                  <c:v>1789729.7599999998</c:v>
                </c:pt>
                <c:pt idx="11">
                  <c:v>1566250.63</c:v>
                </c:pt>
              </c:numCache>
            </c:numRef>
          </c:val>
          <c:smooth val="0"/>
          <c:extLst>
            <c:ext xmlns:c16="http://schemas.microsoft.com/office/drawing/2014/chart" uri="{C3380CC4-5D6E-409C-BE32-E72D297353CC}">
              <c16:uniqueId val="{00000000-B2FB-4AAE-ADAC-A206F3EC73BF}"/>
            </c:ext>
          </c:extLst>
        </c:ser>
        <c:dLbls>
          <c:showLegendKey val="0"/>
          <c:showVal val="0"/>
          <c:showCatName val="0"/>
          <c:showSerName val="0"/>
          <c:showPercent val="0"/>
          <c:showBubbleSize val="0"/>
        </c:dLbls>
        <c:smooth val="0"/>
        <c:axId val="355090671"/>
        <c:axId val="355091631"/>
      </c:lineChart>
      <c:catAx>
        <c:axId val="35509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91631"/>
        <c:crosses val="autoZero"/>
        <c:auto val="1"/>
        <c:lblAlgn val="ctr"/>
        <c:lblOffset val="100"/>
        <c:noMultiLvlLbl val="0"/>
      </c:catAx>
      <c:valAx>
        <c:axId val="3550916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09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r>
              <a:rPr lang="en-US"/>
              <a:t>Total Anual de Ingresos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endParaRPr lang="en-US"/>
        </a:p>
      </c:txPr>
    </c:title>
    <c:autoTitleDeleted val="0"/>
    <c:plotArea>
      <c:layout/>
      <c:barChart>
        <c:barDir val="col"/>
        <c:grouping val="clustered"/>
        <c:varyColors val="0"/>
        <c:ser>
          <c:idx val="0"/>
          <c:order val="0"/>
          <c:tx>
            <c:strRef>
              <c:f>'Dashboard Sueldos'!$N$8</c:f>
              <c:strCache>
                <c:ptCount val="1"/>
                <c:pt idx="0">
                  <c:v>Año</c:v>
                </c:pt>
              </c:strCache>
            </c:strRef>
          </c:tx>
          <c:spPr>
            <a:solidFill>
              <a:schemeClr val="accent1"/>
            </a:solidFill>
            <a:ln>
              <a:noFill/>
            </a:ln>
            <a:effectLst/>
          </c:spPr>
          <c:invertIfNegative val="0"/>
          <c:val>
            <c:numRef>
              <c:f>'Dashboard Sueldos'!$N$9:$N$14</c:f>
              <c:numCache>
                <c:formatCode>0</c:formatCode>
                <c:ptCount val="6"/>
                <c:pt idx="0">
                  <c:v>2021</c:v>
                </c:pt>
                <c:pt idx="1">
                  <c:v>2022</c:v>
                </c:pt>
                <c:pt idx="2">
                  <c:v>2023</c:v>
                </c:pt>
                <c:pt idx="3">
                  <c:v>2024</c:v>
                </c:pt>
                <c:pt idx="4">
                  <c:v>2025</c:v>
                </c:pt>
                <c:pt idx="5">
                  <c:v>2026</c:v>
                </c:pt>
              </c:numCache>
            </c:numRef>
          </c:val>
          <c:extLst>
            <c:ext xmlns:c16="http://schemas.microsoft.com/office/drawing/2014/chart" uri="{C3380CC4-5D6E-409C-BE32-E72D297353CC}">
              <c16:uniqueId val="{00000000-EBE6-4BFE-9D08-274B56CC7DEA}"/>
            </c:ext>
          </c:extLst>
        </c:ser>
        <c:ser>
          <c:idx val="1"/>
          <c:order val="1"/>
          <c:tx>
            <c:strRef>
              <c:f>'Dashboard Sueldos'!$O$8</c:f>
              <c:strCache>
                <c:ptCount val="1"/>
                <c:pt idx="0">
                  <c:v>Total</c:v>
                </c:pt>
              </c:strCache>
            </c:strRef>
          </c:tx>
          <c:spPr>
            <a:solidFill>
              <a:schemeClr val="accent2"/>
            </a:solidFill>
            <a:ln>
              <a:noFill/>
            </a:ln>
            <a:effectLst/>
          </c:spPr>
          <c:invertIfNegative val="0"/>
          <c:val>
            <c:numRef>
              <c:f>'Dashboard Sueldos'!$O$9:$O$14</c:f>
              <c:numCache>
                <c:formatCode>"$"#,##0</c:formatCode>
                <c:ptCount val="6"/>
                <c:pt idx="0">
                  <c:v>1738424.568</c:v>
                </c:pt>
                <c:pt idx="1">
                  <c:v>4775388.6989999991</c:v>
                </c:pt>
                <c:pt idx="2">
                  <c:v>5307551.324</c:v>
                </c:pt>
                <c:pt idx="3">
                  <c:v>4647981.1569999997</c:v>
                </c:pt>
                <c:pt idx="4">
                  <c:v>3463087.43</c:v>
                </c:pt>
                <c:pt idx="5">
                  <c:v>2930536.3830000004</c:v>
                </c:pt>
              </c:numCache>
            </c:numRef>
          </c:val>
          <c:extLst>
            <c:ext xmlns:c16="http://schemas.microsoft.com/office/drawing/2014/chart" uri="{C3380CC4-5D6E-409C-BE32-E72D297353CC}">
              <c16:uniqueId val="{00000001-EBE6-4BFE-9D08-274B56CC7DEA}"/>
            </c:ext>
          </c:extLst>
        </c:ser>
        <c:dLbls>
          <c:showLegendKey val="0"/>
          <c:showVal val="0"/>
          <c:showCatName val="0"/>
          <c:showSerName val="0"/>
          <c:showPercent val="0"/>
          <c:showBubbleSize val="0"/>
        </c:dLbls>
        <c:gapWidth val="219"/>
        <c:overlap val="-27"/>
        <c:axId val="1946312992"/>
        <c:axId val="1946294272"/>
      </c:barChart>
      <c:catAx>
        <c:axId val="19463129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294272"/>
        <c:crosses val="autoZero"/>
        <c:auto val="1"/>
        <c:lblAlgn val="ctr"/>
        <c:lblOffset val="100"/>
        <c:noMultiLvlLbl val="0"/>
      </c:catAx>
      <c:valAx>
        <c:axId val="1946294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1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r>
              <a:rPr lang="en-US"/>
              <a:t>Composición del Ingreso Promedio</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endParaRPr lang="en-US"/>
        </a:p>
      </c:txPr>
    </c:title>
    <c:autoTitleDeleted val="0"/>
    <c:plotArea>
      <c:layout/>
      <c:pieChart>
        <c:varyColors val="1"/>
        <c:ser>
          <c:idx val="0"/>
          <c:order val="0"/>
          <c:tx>
            <c:strRef>
              <c:f>'Dashboard Sueldos'!$O$17</c:f>
              <c:strCache>
                <c:ptCount val="1"/>
                <c:pt idx="0">
                  <c:v>Promedio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F1-455B-B2A1-1530E3B41F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F1-455B-B2A1-1530E3B41F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F1-455B-B2A1-1530E3B41F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F1-455B-B2A1-1530E3B41F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F1-455B-B2A1-1530E3B41F52}"/>
              </c:ext>
            </c:extLst>
          </c:dPt>
          <c:cat>
            <c:strRef>
              <c:f>'Dashboard Sueldos'!$N$18:$N$22</c:f>
              <c:strCache>
                <c:ptCount val="5"/>
                <c:pt idx="0">
                  <c:v>ERD</c:v>
                </c:pt>
                <c:pt idx="1">
                  <c:v>MARVESA</c:v>
                </c:pt>
                <c:pt idx="2">
                  <c:v>HMNSA</c:v>
                </c:pt>
                <c:pt idx="3">
                  <c:v>HONORARIOS</c:v>
                </c:pt>
                <c:pt idx="4">
                  <c:v>CONSULTAS</c:v>
                </c:pt>
              </c:strCache>
            </c:strRef>
          </c:cat>
          <c:val>
            <c:numRef>
              <c:f>'Dashboard Sueldos'!$O$18:$O$22</c:f>
              <c:numCache>
                <c:formatCode>"$"#,##0</c:formatCode>
                <c:ptCount val="5"/>
                <c:pt idx="0">
                  <c:v>69511.867037037053</c:v>
                </c:pt>
                <c:pt idx="1">
                  <c:v>60653.18388888886</c:v>
                </c:pt>
                <c:pt idx="2">
                  <c:v>57214.045555555575</c:v>
                </c:pt>
                <c:pt idx="3">
                  <c:v>175157.74607407409</c:v>
                </c:pt>
                <c:pt idx="4">
                  <c:v>10384.615384615385</c:v>
                </c:pt>
              </c:numCache>
            </c:numRef>
          </c:val>
          <c:extLst>
            <c:ext xmlns:c16="http://schemas.microsoft.com/office/drawing/2014/chart" uri="{C3380CC4-5D6E-409C-BE32-E72D297353CC}">
              <c16:uniqueId val="{00000000-D9EA-4B62-AF42-6BA13A3D45B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r>
              <a:rPr lang="en-US"/>
              <a:t>Evolución Mensual: Salario Base vs Honorarios vs Total</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endParaRPr lang="en-US"/>
        </a:p>
      </c:txPr>
    </c:title>
    <c:autoTitleDeleted val="0"/>
    <c:plotArea>
      <c:layout/>
      <c:lineChart>
        <c:grouping val="standard"/>
        <c:varyColors val="0"/>
        <c:ser>
          <c:idx val="0"/>
          <c:order val="0"/>
          <c:tx>
            <c:strRef>
              <c:f>'Dashboard Sueldos'!$B$17</c:f>
              <c:strCache>
                <c:ptCount val="1"/>
                <c:pt idx="0">
                  <c:v>Salario Base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Sueldos'!$A$18:$A$83</c:f>
              <c:strCache>
                <c:ptCount val="66"/>
                <c:pt idx="0">
                  <c:v>Julio 2021</c:v>
                </c:pt>
                <c:pt idx="1">
                  <c:v>Agosto 2021</c:v>
                </c:pt>
                <c:pt idx="2">
                  <c:v>Septiembre 2021</c:v>
                </c:pt>
                <c:pt idx="3">
                  <c:v>Octubre 2021</c:v>
                </c:pt>
                <c:pt idx="4">
                  <c:v>Noviembre 2021</c:v>
                </c:pt>
                <c:pt idx="5">
                  <c:v>Diciembre 2021</c:v>
                </c:pt>
                <c:pt idx="6">
                  <c:v>Enero 2022</c:v>
                </c:pt>
                <c:pt idx="7">
                  <c:v>Febrero 2022</c:v>
                </c:pt>
                <c:pt idx="8">
                  <c:v>Marzo 2022</c:v>
                </c:pt>
                <c:pt idx="9">
                  <c:v>Abril 2022</c:v>
                </c:pt>
                <c:pt idx="10">
                  <c:v>Mayo 2022</c:v>
                </c:pt>
                <c:pt idx="11">
                  <c:v>Junio 2022</c:v>
                </c:pt>
                <c:pt idx="12">
                  <c:v>Julio 2022</c:v>
                </c:pt>
                <c:pt idx="13">
                  <c:v>Agosto 2022</c:v>
                </c:pt>
                <c:pt idx="14">
                  <c:v>Septiembre 2022</c:v>
                </c:pt>
                <c:pt idx="15">
                  <c:v>Octubre 2022</c:v>
                </c:pt>
                <c:pt idx="16">
                  <c:v>Noviembre 2022</c:v>
                </c:pt>
                <c:pt idx="17">
                  <c:v>Diciembre 2022</c:v>
                </c:pt>
                <c:pt idx="18">
                  <c:v>Enero 2023</c:v>
                </c:pt>
                <c:pt idx="19">
                  <c:v>Febrero 2023</c:v>
                </c:pt>
                <c:pt idx="20">
                  <c:v>Marzo 2023</c:v>
                </c:pt>
                <c:pt idx="21">
                  <c:v>Abril 2023</c:v>
                </c:pt>
                <c:pt idx="22">
                  <c:v>Mayo 2023</c:v>
                </c:pt>
                <c:pt idx="23">
                  <c:v>Junio 2023</c:v>
                </c:pt>
                <c:pt idx="24">
                  <c:v>Julio 2023</c:v>
                </c:pt>
                <c:pt idx="25">
                  <c:v>Agosto 2023</c:v>
                </c:pt>
                <c:pt idx="26">
                  <c:v>Septiembre 2023</c:v>
                </c:pt>
                <c:pt idx="27">
                  <c:v>Octubre 2023</c:v>
                </c:pt>
                <c:pt idx="28">
                  <c:v>Noviembre 2023</c:v>
                </c:pt>
                <c:pt idx="29">
                  <c:v>Diciembre 2023</c:v>
                </c:pt>
                <c:pt idx="30">
                  <c:v>Enero 2024</c:v>
                </c:pt>
                <c:pt idx="31">
                  <c:v>Febrero 2024</c:v>
                </c:pt>
                <c:pt idx="32">
                  <c:v>Marzo 2024</c:v>
                </c:pt>
                <c:pt idx="33">
                  <c:v>Abril 2024</c:v>
                </c:pt>
                <c:pt idx="34">
                  <c:v>Mayo 2024</c:v>
                </c:pt>
                <c:pt idx="35">
                  <c:v>Junio 2024</c:v>
                </c:pt>
                <c:pt idx="36">
                  <c:v>Julio 2024</c:v>
                </c:pt>
                <c:pt idx="37">
                  <c:v>Agosto 2024</c:v>
                </c:pt>
                <c:pt idx="38">
                  <c:v>Septiembre 2024</c:v>
                </c:pt>
                <c:pt idx="39">
                  <c:v>Octubre 2024</c:v>
                </c:pt>
                <c:pt idx="40">
                  <c:v>Noviembre 2024</c:v>
                </c:pt>
                <c:pt idx="41">
                  <c:v>Diciembre 2024</c:v>
                </c:pt>
                <c:pt idx="42">
                  <c:v>Enero 2025</c:v>
                </c:pt>
                <c:pt idx="43">
                  <c:v>Febrero 2025</c:v>
                </c:pt>
                <c:pt idx="44">
                  <c:v>Marzo 2025</c:v>
                </c:pt>
                <c:pt idx="45">
                  <c:v>Abril 2025</c:v>
                </c:pt>
                <c:pt idx="46">
                  <c:v>Mayo 2025</c:v>
                </c:pt>
                <c:pt idx="47">
                  <c:v>Junio 2025</c:v>
                </c:pt>
                <c:pt idx="48">
                  <c:v>Julio 2025</c:v>
                </c:pt>
                <c:pt idx="49">
                  <c:v>Agosto 2025</c:v>
                </c:pt>
                <c:pt idx="50">
                  <c:v>Septiembre 2025</c:v>
                </c:pt>
                <c:pt idx="51">
                  <c:v>Octubre 2025</c:v>
                </c:pt>
                <c:pt idx="52">
                  <c:v>Noviembre 2025</c:v>
                </c:pt>
                <c:pt idx="53">
                  <c:v>Diciembre/doble 2025</c:v>
                </c:pt>
                <c:pt idx="54">
                  <c:v>📋 NOTAS Y HALLAZGOS CLAVE</c:v>
                </c:pt>
                <c:pt idx="55">
                  <c:v>1.</c:v>
                </c:pt>
                <c:pt idx="56">
                  <c:v>2.</c:v>
                </c:pt>
                <c:pt idx="57">
                  <c:v>3.</c:v>
                </c:pt>
                <c:pt idx="58">
                  <c:v>4.</c:v>
                </c:pt>
                <c:pt idx="59">
                  <c:v>5.</c:v>
                </c:pt>
                <c:pt idx="60">
                  <c:v>6.</c:v>
                </c:pt>
                <c:pt idx="61">
                  <c:v>7.</c:v>
                </c:pt>
                <c:pt idx="62">
                  <c:v>8.</c:v>
                </c:pt>
                <c:pt idx="63">
                  <c:v>Septiembre 2026</c:v>
                </c:pt>
                <c:pt idx="64">
                  <c:v>Octubre 2026</c:v>
                </c:pt>
                <c:pt idx="65">
                  <c:v>Noviembre 2026</c:v>
                </c:pt>
              </c:strCache>
            </c:strRef>
          </c:cat>
          <c:val>
            <c:numRef>
              <c:f>'Dashboard Sueldos'!$B$18:$B$83</c:f>
              <c:numCache>
                <c:formatCode>"$"#,##0</c:formatCode>
                <c:ptCount val="66"/>
                <c:pt idx="0">
                  <c:v>129346.48999999999</c:v>
                </c:pt>
                <c:pt idx="1">
                  <c:v>129346.48999999999</c:v>
                </c:pt>
                <c:pt idx="2">
                  <c:v>129346.48999999999</c:v>
                </c:pt>
                <c:pt idx="3">
                  <c:v>129346.48999999999</c:v>
                </c:pt>
                <c:pt idx="4">
                  <c:v>143086.91999999998</c:v>
                </c:pt>
                <c:pt idx="5">
                  <c:v>142666.91999999998</c:v>
                </c:pt>
                <c:pt idx="6">
                  <c:v>142755.79999999999</c:v>
                </c:pt>
                <c:pt idx="7">
                  <c:v>142751.93</c:v>
                </c:pt>
                <c:pt idx="8">
                  <c:v>203551.93</c:v>
                </c:pt>
                <c:pt idx="9">
                  <c:v>188907.03999999998</c:v>
                </c:pt>
                <c:pt idx="10">
                  <c:v>188907.03999999998</c:v>
                </c:pt>
                <c:pt idx="11">
                  <c:v>188907.03999999998</c:v>
                </c:pt>
                <c:pt idx="12">
                  <c:v>188907.03999999998</c:v>
                </c:pt>
                <c:pt idx="13">
                  <c:v>188907.03999999998</c:v>
                </c:pt>
                <c:pt idx="14">
                  <c:v>188907.03999999998</c:v>
                </c:pt>
                <c:pt idx="15">
                  <c:v>188907.03999999998</c:v>
                </c:pt>
                <c:pt idx="16">
                  <c:v>188907.03999999998</c:v>
                </c:pt>
                <c:pt idx="17">
                  <c:v>188907.03999999998</c:v>
                </c:pt>
                <c:pt idx="18">
                  <c:v>188910.91</c:v>
                </c:pt>
                <c:pt idx="19">
                  <c:v>188907.03999999998</c:v>
                </c:pt>
                <c:pt idx="20">
                  <c:v>188907.03999999998</c:v>
                </c:pt>
                <c:pt idx="21">
                  <c:v>188907.03999999998</c:v>
                </c:pt>
                <c:pt idx="22">
                  <c:v>188907.03999999998</c:v>
                </c:pt>
                <c:pt idx="23">
                  <c:v>188907.03999999998</c:v>
                </c:pt>
                <c:pt idx="24">
                  <c:v>188907.03999999998</c:v>
                </c:pt>
                <c:pt idx="25">
                  <c:v>188907.03999999998</c:v>
                </c:pt>
                <c:pt idx="26">
                  <c:v>188907.03999999998</c:v>
                </c:pt>
                <c:pt idx="27">
                  <c:v>188907.03999999998</c:v>
                </c:pt>
                <c:pt idx="28">
                  <c:v>205251.93</c:v>
                </c:pt>
                <c:pt idx="29">
                  <c:v>188907.03999999998</c:v>
                </c:pt>
                <c:pt idx="30">
                  <c:v>188910.91</c:v>
                </c:pt>
                <c:pt idx="31">
                  <c:v>188907.03999999998</c:v>
                </c:pt>
                <c:pt idx="32">
                  <c:v>188907.03999999998</c:v>
                </c:pt>
                <c:pt idx="33">
                  <c:v>188907.03999999998</c:v>
                </c:pt>
                <c:pt idx="34">
                  <c:v>188907.03999999998</c:v>
                </c:pt>
                <c:pt idx="35">
                  <c:v>188907.03999999998</c:v>
                </c:pt>
                <c:pt idx="36">
                  <c:v>188907.03999999998</c:v>
                </c:pt>
                <c:pt idx="37">
                  <c:v>188907.03999999998</c:v>
                </c:pt>
                <c:pt idx="38">
                  <c:v>188907.03999999998</c:v>
                </c:pt>
                <c:pt idx="39">
                  <c:v>188907.03999999998</c:v>
                </c:pt>
                <c:pt idx="40">
                  <c:v>205251.93</c:v>
                </c:pt>
                <c:pt idx="41">
                  <c:v>188907.03999999998</c:v>
                </c:pt>
                <c:pt idx="42">
                  <c:v>208550.28999999998</c:v>
                </c:pt>
                <c:pt idx="43">
                  <c:v>208550.28999999998</c:v>
                </c:pt>
                <c:pt idx="44">
                  <c:v>208550.28999999998</c:v>
                </c:pt>
                <c:pt idx="45">
                  <c:v>208550.28999999998</c:v>
                </c:pt>
                <c:pt idx="46">
                  <c:v>208550.28999999998</c:v>
                </c:pt>
                <c:pt idx="47">
                  <c:v>208550.28999999998</c:v>
                </c:pt>
                <c:pt idx="48">
                  <c:v>208550.28999999998</c:v>
                </c:pt>
                <c:pt idx="49">
                  <c:v>208550.28999999998</c:v>
                </c:pt>
                <c:pt idx="50">
                  <c:v>208550.28999999998</c:v>
                </c:pt>
                <c:pt idx="51">
                  <c:v>208550.28999999998</c:v>
                </c:pt>
                <c:pt idx="52">
                  <c:v>208550.28999999998</c:v>
                </c:pt>
                <c:pt idx="53">
                  <c:v>265588.71999999997</c:v>
                </c:pt>
                <c:pt idx="55">
                  <c:v>0</c:v>
                </c:pt>
                <c:pt idx="56">
                  <c:v>0</c:v>
                </c:pt>
                <c:pt idx="57">
                  <c:v>0</c:v>
                </c:pt>
                <c:pt idx="58">
                  <c:v>0</c:v>
                </c:pt>
                <c:pt idx="59">
                  <c:v>0</c:v>
                </c:pt>
                <c:pt idx="60">
                  <c:v>0</c:v>
                </c:pt>
                <c:pt idx="61">
                  <c:v>0</c:v>
                </c:pt>
                <c:pt idx="62">
                  <c:v>0</c:v>
                </c:pt>
                <c:pt idx="63">
                  <c:v>226980.68</c:v>
                </c:pt>
                <c:pt idx="64">
                  <c:v>226980.68</c:v>
                </c:pt>
                <c:pt idx="65">
                  <c:v>226980.68</c:v>
                </c:pt>
              </c:numCache>
            </c:numRef>
          </c:val>
          <c:smooth val="0"/>
          <c:extLst>
            <c:ext xmlns:c16="http://schemas.microsoft.com/office/drawing/2014/chart" uri="{C3380CC4-5D6E-409C-BE32-E72D297353CC}">
              <c16:uniqueId val="{00000000-ABF8-4E5C-A45F-820B00514BD9}"/>
            </c:ext>
          </c:extLst>
        </c:ser>
        <c:ser>
          <c:idx val="1"/>
          <c:order val="1"/>
          <c:tx>
            <c:strRef>
              <c:f>'Dashboard Sueldos'!$C$17</c:f>
              <c:strCache>
                <c:ptCount val="1"/>
                <c:pt idx="0">
                  <c:v>Honorarios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Sueldos'!$A$18:$A$83</c:f>
              <c:strCache>
                <c:ptCount val="66"/>
                <c:pt idx="0">
                  <c:v>Julio 2021</c:v>
                </c:pt>
                <c:pt idx="1">
                  <c:v>Agosto 2021</c:v>
                </c:pt>
                <c:pt idx="2">
                  <c:v>Septiembre 2021</c:v>
                </c:pt>
                <c:pt idx="3">
                  <c:v>Octubre 2021</c:v>
                </c:pt>
                <c:pt idx="4">
                  <c:v>Noviembre 2021</c:v>
                </c:pt>
                <c:pt idx="5">
                  <c:v>Diciembre 2021</c:v>
                </c:pt>
                <c:pt idx="6">
                  <c:v>Enero 2022</c:v>
                </c:pt>
                <c:pt idx="7">
                  <c:v>Febrero 2022</c:v>
                </c:pt>
                <c:pt idx="8">
                  <c:v>Marzo 2022</c:v>
                </c:pt>
                <c:pt idx="9">
                  <c:v>Abril 2022</c:v>
                </c:pt>
                <c:pt idx="10">
                  <c:v>Mayo 2022</c:v>
                </c:pt>
                <c:pt idx="11">
                  <c:v>Junio 2022</c:v>
                </c:pt>
                <c:pt idx="12">
                  <c:v>Julio 2022</c:v>
                </c:pt>
                <c:pt idx="13">
                  <c:v>Agosto 2022</c:v>
                </c:pt>
                <c:pt idx="14">
                  <c:v>Septiembre 2022</c:v>
                </c:pt>
                <c:pt idx="15">
                  <c:v>Octubre 2022</c:v>
                </c:pt>
                <c:pt idx="16">
                  <c:v>Noviembre 2022</c:v>
                </c:pt>
                <c:pt idx="17">
                  <c:v>Diciembre 2022</c:v>
                </c:pt>
                <c:pt idx="18">
                  <c:v>Enero 2023</c:v>
                </c:pt>
                <c:pt idx="19">
                  <c:v>Febrero 2023</c:v>
                </c:pt>
                <c:pt idx="20">
                  <c:v>Marzo 2023</c:v>
                </c:pt>
                <c:pt idx="21">
                  <c:v>Abril 2023</c:v>
                </c:pt>
                <c:pt idx="22">
                  <c:v>Mayo 2023</c:v>
                </c:pt>
                <c:pt idx="23">
                  <c:v>Junio 2023</c:v>
                </c:pt>
                <c:pt idx="24">
                  <c:v>Julio 2023</c:v>
                </c:pt>
                <c:pt idx="25">
                  <c:v>Agosto 2023</c:v>
                </c:pt>
                <c:pt idx="26">
                  <c:v>Septiembre 2023</c:v>
                </c:pt>
                <c:pt idx="27">
                  <c:v>Octubre 2023</c:v>
                </c:pt>
                <c:pt idx="28">
                  <c:v>Noviembre 2023</c:v>
                </c:pt>
                <c:pt idx="29">
                  <c:v>Diciembre 2023</c:v>
                </c:pt>
                <c:pt idx="30">
                  <c:v>Enero 2024</c:v>
                </c:pt>
                <c:pt idx="31">
                  <c:v>Febrero 2024</c:v>
                </c:pt>
                <c:pt idx="32">
                  <c:v>Marzo 2024</c:v>
                </c:pt>
                <c:pt idx="33">
                  <c:v>Abril 2024</c:v>
                </c:pt>
                <c:pt idx="34">
                  <c:v>Mayo 2024</c:v>
                </c:pt>
                <c:pt idx="35">
                  <c:v>Junio 2024</c:v>
                </c:pt>
                <c:pt idx="36">
                  <c:v>Julio 2024</c:v>
                </c:pt>
                <c:pt idx="37">
                  <c:v>Agosto 2024</c:v>
                </c:pt>
                <c:pt idx="38">
                  <c:v>Septiembre 2024</c:v>
                </c:pt>
                <c:pt idx="39">
                  <c:v>Octubre 2024</c:v>
                </c:pt>
                <c:pt idx="40">
                  <c:v>Noviembre 2024</c:v>
                </c:pt>
                <c:pt idx="41">
                  <c:v>Diciembre 2024</c:v>
                </c:pt>
                <c:pt idx="42">
                  <c:v>Enero 2025</c:v>
                </c:pt>
                <c:pt idx="43">
                  <c:v>Febrero 2025</c:v>
                </c:pt>
                <c:pt idx="44">
                  <c:v>Marzo 2025</c:v>
                </c:pt>
                <c:pt idx="45">
                  <c:v>Abril 2025</c:v>
                </c:pt>
                <c:pt idx="46">
                  <c:v>Mayo 2025</c:v>
                </c:pt>
                <c:pt idx="47">
                  <c:v>Junio 2025</c:v>
                </c:pt>
                <c:pt idx="48">
                  <c:v>Julio 2025</c:v>
                </c:pt>
                <c:pt idx="49">
                  <c:v>Agosto 2025</c:v>
                </c:pt>
                <c:pt idx="50">
                  <c:v>Septiembre 2025</c:v>
                </c:pt>
                <c:pt idx="51">
                  <c:v>Octubre 2025</c:v>
                </c:pt>
                <c:pt idx="52">
                  <c:v>Noviembre 2025</c:v>
                </c:pt>
                <c:pt idx="53">
                  <c:v>Diciembre/doble 2025</c:v>
                </c:pt>
                <c:pt idx="54">
                  <c:v>📋 NOTAS Y HALLAZGOS CLAVE</c:v>
                </c:pt>
                <c:pt idx="55">
                  <c:v>1.</c:v>
                </c:pt>
                <c:pt idx="56">
                  <c:v>2.</c:v>
                </c:pt>
                <c:pt idx="57">
                  <c:v>3.</c:v>
                </c:pt>
                <c:pt idx="58">
                  <c:v>4.</c:v>
                </c:pt>
                <c:pt idx="59">
                  <c:v>5.</c:v>
                </c:pt>
                <c:pt idx="60">
                  <c:v>6.</c:v>
                </c:pt>
                <c:pt idx="61">
                  <c:v>7.</c:v>
                </c:pt>
                <c:pt idx="62">
                  <c:v>8.</c:v>
                </c:pt>
                <c:pt idx="63">
                  <c:v>Septiembre 2026</c:v>
                </c:pt>
                <c:pt idx="64">
                  <c:v>Octubre 2026</c:v>
                </c:pt>
                <c:pt idx="65">
                  <c:v>Noviembre 2026</c:v>
                </c:pt>
              </c:strCache>
            </c:strRef>
          </c:cat>
          <c:val>
            <c:numRef>
              <c:f>'Dashboard Sueldos'!$C$18:$C$83</c:f>
              <c:numCache>
                <c:formatCode>"$"#,##0</c:formatCode>
                <c:ptCount val="66"/>
                <c:pt idx="0">
                  <c:v>121000</c:v>
                </c:pt>
                <c:pt idx="1">
                  <c:v>61445.25</c:v>
                </c:pt>
                <c:pt idx="2">
                  <c:v>331913.01</c:v>
                </c:pt>
                <c:pt idx="3">
                  <c:v>195013.04399999999</c:v>
                </c:pt>
                <c:pt idx="4">
                  <c:v>123506.96400000001</c:v>
                </c:pt>
                <c:pt idx="5">
                  <c:v>102406.5</c:v>
                </c:pt>
                <c:pt idx="6">
                  <c:v>80956.97099999999</c:v>
                </c:pt>
                <c:pt idx="7">
                  <c:v>75409.649999999994</c:v>
                </c:pt>
                <c:pt idx="8">
                  <c:v>129321</c:v>
                </c:pt>
                <c:pt idx="9">
                  <c:v>169756.02</c:v>
                </c:pt>
                <c:pt idx="10">
                  <c:v>130658.40000000002</c:v>
                </c:pt>
                <c:pt idx="11">
                  <c:v>39941.1</c:v>
                </c:pt>
                <c:pt idx="12">
                  <c:v>65691</c:v>
                </c:pt>
                <c:pt idx="13">
                  <c:v>246284.87399999998</c:v>
                </c:pt>
                <c:pt idx="14">
                  <c:v>829822.23800000013</c:v>
                </c:pt>
                <c:pt idx="15">
                  <c:v>200775.008</c:v>
                </c:pt>
                <c:pt idx="16">
                  <c:v>308422.81799999997</c:v>
                </c:pt>
                <c:pt idx="17">
                  <c:v>309126.59999999998</c:v>
                </c:pt>
                <c:pt idx="18">
                  <c:v>160148.53</c:v>
                </c:pt>
                <c:pt idx="19">
                  <c:v>23911.200000000001</c:v>
                </c:pt>
                <c:pt idx="20">
                  <c:v>230489.53199999998</c:v>
                </c:pt>
                <c:pt idx="21">
                  <c:v>260954.32500000001</c:v>
                </c:pt>
                <c:pt idx="22">
                  <c:v>278545.14</c:v>
                </c:pt>
                <c:pt idx="23">
                  <c:v>286613.09999999998</c:v>
                </c:pt>
                <c:pt idx="24">
                  <c:v>189596.15999999997</c:v>
                </c:pt>
                <c:pt idx="25">
                  <c:v>403213.05</c:v>
                </c:pt>
                <c:pt idx="26">
                  <c:v>372549.78</c:v>
                </c:pt>
                <c:pt idx="27">
                  <c:v>208166.21999999997</c:v>
                </c:pt>
                <c:pt idx="28">
                  <c:v>285923.54700000002</c:v>
                </c:pt>
                <c:pt idx="29">
                  <c:v>193207.5</c:v>
                </c:pt>
                <c:pt idx="30">
                  <c:v>369322.2</c:v>
                </c:pt>
                <c:pt idx="31">
                  <c:v>255045.6</c:v>
                </c:pt>
                <c:pt idx="32">
                  <c:v>0</c:v>
                </c:pt>
                <c:pt idx="33">
                  <c:v>281355.3</c:v>
                </c:pt>
                <c:pt idx="34">
                  <c:v>143850.6</c:v>
                </c:pt>
                <c:pt idx="35">
                  <c:v>197221.70699999999</c:v>
                </c:pt>
                <c:pt idx="36">
                  <c:v>106668</c:v>
                </c:pt>
                <c:pt idx="37">
                  <c:v>249540.58799999999</c:v>
                </c:pt>
                <c:pt idx="38">
                  <c:v>255935.00099999999</c:v>
                </c:pt>
                <c:pt idx="39">
                  <c:v>339408.9</c:v>
                </c:pt>
                <c:pt idx="40">
                  <c:v>120828.321</c:v>
                </c:pt>
                <c:pt idx="41">
                  <c:v>43571.7</c:v>
                </c:pt>
                <c:pt idx="42">
                  <c:v>0</c:v>
                </c:pt>
                <c:pt idx="43">
                  <c:v>76257</c:v>
                </c:pt>
                <c:pt idx="44">
                  <c:v>105621.3</c:v>
                </c:pt>
                <c:pt idx="45">
                  <c:v>21454.955999999998</c:v>
                </c:pt>
                <c:pt idx="46">
                  <c:v>10000</c:v>
                </c:pt>
                <c:pt idx="47">
                  <c:v>4343.1930000000002</c:v>
                </c:pt>
                <c:pt idx="48">
                  <c:v>47665.8</c:v>
                </c:pt>
                <c:pt idx="49">
                  <c:v>123749.1</c:v>
                </c:pt>
                <c:pt idx="50">
                  <c:v>190746.891</c:v>
                </c:pt>
                <c:pt idx="51">
                  <c:v>101163.6</c:v>
                </c:pt>
                <c:pt idx="52">
                  <c:v>0</c:v>
                </c:pt>
                <c:pt idx="53">
                  <c:v>0</c:v>
                </c:pt>
                <c:pt idx="63">
                  <c:v>0</c:v>
                </c:pt>
                <c:pt idx="64">
                  <c:v>0</c:v>
                </c:pt>
                <c:pt idx="65">
                  <c:v>0</c:v>
                </c:pt>
              </c:numCache>
            </c:numRef>
          </c:val>
          <c:smooth val="0"/>
          <c:extLst>
            <c:ext xmlns:c16="http://schemas.microsoft.com/office/drawing/2014/chart" uri="{C3380CC4-5D6E-409C-BE32-E72D297353CC}">
              <c16:uniqueId val="{00000001-ABF8-4E5C-A45F-820B00514BD9}"/>
            </c:ext>
          </c:extLst>
        </c:ser>
        <c:ser>
          <c:idx val="2"/>
          <c:order val="2"/>
          <c:tx>
            <c:strRef>
              <c:f>'Dashboard Sueldos'!$D$17</c:f>
              <c:strCache>
                <c:ptCount val="1"/>
                <c:pt idx="0">
                  <c:v>Consultas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Sueldos'!$A$18:$A$83</c:f>
              <c:strCache>
                <c:ptCount val="66"/>
                <c:pt idx="0">
                  <c:v>Julio 2021</c:v>
                </c:pt>
                <c:pt idx="1">
                  <c:v>Agosto 2021</c:v>
                </c:pt>
                <c:pt idx="2">
                  <c:v>Septiembre 2021</c:v>
                </c:pt>
                <c:pt idx="3">
                  <c:v>Octubre 2021</c:v>
                </c:pt>
                <c:pt idx="4">
                  <c:v>Noviembre 2021</c:v>
                </c:pt>
                <c:pt idx="5">
                  <c:v>Diciembre 2021</c:v>
                </c:pt>
                <c:pt idx="6">
                  <c:v>Enero 2022</c:v>
                </c:pt>
                <c:pt idx="7">
                  <c:v>Febrero 2022</c:v>
                </c:pt>
                <c:pt idx="8">
                  <c:v>Marzo 2022</c:v>
                </c:pt>
                <c:pt idx="9">
                  <c:v>Abril 2022</c:v>
                </c:pt>
                <c:pt idx="10">
                  <c:v>Mayo 2022</c:v>
                </c:pt>
                <c:pt idx="11">
                  <c:v>Junio 2022</c:v>
                </c:pt>
                <c:pt idx="12">
                  <c:v>Julio 2022</c:v>
                </c:pt>
                <c:pt idx="13">
                  <c:v>Agosto 2022</c:v>
                </c:pt>
                <c:pt idx="14">
                  <c:v>Septiembre 2022</c:v>
                </c:pt>
                <c:pt idx="15">
                  <c:v>Octubre 2022</c:v>
                </c:pt>
                <c:pt idx="16">
                  <c:v>Noviembre 2022</c:v>
                </c:pt>
                <c:pt idx="17">
                  <c:v>Diciembre 2022</c:v>
                </c:pt>
                <c:pt idx="18">
                  <c:v>Enero 2023</c:v>
                </c:pt>
                <c:pt idx="19">
                  <c:v>Febrero 2023</c:v>
                </c:pt>
                <c:pt idx="20">
                  <c:v>Marzo 2023</c:v>
                </c:pt>
                <c:pt idx="21">
                  <c:v>Abril 2023</c:v>
                </c:pt>
                <c:pt idx="22">
                  <c:v>Mayo 2023</c:v>
                </c:pt>
                <c:pt idx="23">
                  <c:v>Junio 2023</c:v>
                </c:pt>
                <c:pt idx="24">
                  <c:v>Julio 2023</c:v>
                </c:pt>
                <c:pt idx="25">
                  <c:v>Agosto 2023</c:v>
                </c:pt>
                <c:pt idx="26">
                  <c:v>Septiembre 2023</c:v>
                </c:pt>
                <c:pt idx="27">
                  <c:v>Octubre 2023</c:v>
                </c:pt>
                <c:pt idx="28">
                  <c:v>Noviembre 2023</c:v>
                </c:pt>
                <c:pt idx="29">
                  <c:v>Diciembre 2023</c:v>
                </c:pt>
                <c:pt idx="30">
                  <c:v>Enero 2024</c:v>
                </c:pt>
                <c:pt idx="31">
                  <c:v>Febrero 2024</c:v>
                </c:pt>
                <c:pt idx="32">
                  <c:v>Marzo 2024</c:v>
                </c:pt>
                <c:pt idx="33">
                  <c:v>Abril 2024</c:v>
                </c:pt>
                <c:pt idx="34">
                  <c:v>Mayo 2024</c:v>
                </c:pt>
                <c:pt idx="35">
                  <c:v>Junio 2024</c:v>
                </c:pt>
                <c:pt idx="36">
                  <c:v>Julio 2024</c:v>
                </c:pt>
                <c:pt idx="37">
                  <c:v>Agosto 2024</c:v>
                </c:pt>
                <c:pt idx="38">
                  <c:v>Septiembre 2024</c:v>
                </c:pt>
                <c:pt idx="39">
                  <c:v>Octubre 2024</c:v>
                </c:pt>
                <c:pt idx="40">
                  <c:v>Noviembre 2024</c:v>
                </c:pt>
                <c:pt idx="41">
                  <c:v>Diciembre 2024</c:v>
                </c:pt>
                <c:pt idx="42">
                  <c:v>Enero 2025</c:v>
                </c:pt>
                <c:pt idx="43">
                  <c:v>Febrero 2025</c:v>
                </c:pt>
                <c:pt idx="44">
                  <c:v>Marzo 2025</c:v>
                </c:pt>
                <c:pt idx="45">
                  <c:v>Abril 2025</c:v>
                </c:pt>
                <c:pt idx="46">
                  <c:v>Mayo 2025</c:v>
                </c:pt>
                <c:pt idx="47">
                  <c:v>Junio 2025</c:v>
                </c:pt>
                <c:pt idx="48">
                  <c:v>Julio 2025</c:v>
                </c:pt>
                <c:pt idx="49">
                  <c:v>Agosto 2025</c:v>
                </c:pt>
                <c:pt idx="50">
                  <c:v>Septiembre 2025</c:v>
                </c:pt>
                <c:pt idx="51">
                  <c:v>Octubre 2025</c:v>
                </c:pt>
                <c:pt idx="52">
                  <c:v>Noviembre 2025</c:v>
                </c:pt>
                <c:pt idx="53">
                  <c:v>Diciembre/doble 2025</c:v>
                </c:pt>
                <c:pt idx="54">
                  <c:v>📋 NOTAS Y HALLAZGOS CLAVE</c:v>
                </c:pt>
                <c:pt idx="55">
                  <c:v>1.</c:v>
                </c:pt>
                <c:pt idx="56">
                  <c:v>2.</c:v>
                </c:pt>
                <c:pt idx="57">
                  <c:v>3.</c:v>
                </c:pt>
                <c:pt idx="58">
                  <c:v>4.</c:v>
                </c:pt>
                <c:pt idx="59">
                  <c:v>5.</c:v>
                </c:pt>
                <c:pt idx="60">
                  <c:v>6.</c:v>
                </c:pt>
                <c:pt idx="61">
                  <c:v>7.</c:v>
                </c:pt>
                <c:pt idx="62">
                  <c:v>8.</c:v>
                </c:pt>
                <c:pt idx="63">
                  <c:v>Septiembre 2026</c:v>
                </c:pt>
                <c:pt idx="64">
                  <c:v>Octubre 2026</c:v>
                </c:pt>
                <c:pt idx="65">
                  <c:v>Noviembre 2026</c:v>
                </c:pt>
              </c:strCache>
            </c:strRef>
          </c:cat>
          <c:val>
            <c:numRef>
              <c:f>'Dashboard Sueldos'!$D$18:$D$83</c:f>
              <c:numCache>
                <c:formatCode>"$"#,##0</c:formatCode>
                <c:ptCount val="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6000</c:v>
                </c:pt>
                <c:pt idx="19">
                  <c:v>30000</c:v>
                </c:pt>
                <c:pt idx="20">
                  <c:v>30000</c:v>
                </c:pt>
                <c:pt idx="21">
                  <c:v>0</c:v>
                </c:pt>
                <c:pt idx="22">
                  <c:v>10000</c:v>
                </c:pt>
                <c:pt idx="23">
                  <c:v>20000</c:v>
                </c:pt>
                <c:pt idx="24">
                  <c:v>0</c:v>
                </c:pt>
                <c:pt idx="25">
                  <c:v>10000</c:v>
                </c:pt>
                <c:pt idx="26">
                  <c:v>20000</c:v>
                </c:pt>
                <c:pt idx="27">
                  <c:v>5000</c:v>
                </c:pt>
                <c:pt idx="28">
                  <c:v>0</c:v>
                </c:pt>
                <c:pt idx="29">
                  <c:v>0</c:v>
                </c:pt>
                <c:pt idx="30">
                  <c:v>2000</c:v>
                </c:pt>
                <c:pt idx="31">
                  <c:v>0</c:v>
                </c:pt>
                <c:pt idx="32">
                  <c:v>0</c:v>
                </c:pt>
                <c:pt idx="33">
                  <c:v>0</c:v>
                </c:pt>
                <c:pt idx="34">
                  <c:v>0</c:v>
                </c:pt>
                <c:pt idx="35">
                  <c:v>0</c:v>
                </c:pt>
                <c:pt idx="36">
                  <c:v>0</c:v>
                </c:pt>
                <c:pt idx="37">
                  <c:v>0</c:v>
                </c:pt>
                <c:pt idx="38">
                  <c:v>0</c:v>
                </c:pt>
                <c:pt idx="39">
                  <c:v>0</c:v>
                </c:pt>
                <c:pt idx="40">
                  <c:v>0</c:v>
                </c:pt>
                <c:pt idx="41">
                  <c:v>0</c:v>
                </c:pt>
                <c:pt idx="42">
                  <c:v>2000</c:v>
                </c:pt>
                <c:pt idx="43">
                  <c:v>0</c:v>
                </c:pt>
                <c:pt idx="44">
                  <c:v>0</c:v>
                </c:pt>
                <c:pt idx="45">
                  <c:v>0</c:v>
                </c:pt>
                <c:pt idx="46">
                  <c:v>0</c:v>
                </c:pt>
                <c:pt idx="47">
                  <c:v>0</c:v>
                </c:pt>
                <c:pt idx="48">
                  <c:v>0</c:v>
                </c:pt>
                <c:pt idx="49">
                  <c:v>0</c:v>
                </c:pt>
                <c:pt idx="50">
                  <c:v>0</c:v>
                </c:pt>
                <c:pt idx="51">
                  <c:v>0</c:v>
                </c:pt>
                <c:pt idx="52">
                  <c:v>0</c:v>
                </c:pt>
                <c:pt idx="53">
                  <c:v>0</c:v>
                </c:pt>
                <c:pt idx="63">
                  <c:v>0</c:v>
                </c:pt>
                <c:pt idx="64">
                  <c:v>0</c:v>
                </c:pt>
                <c:pt idx="65">
                  <c:v>0</c:v>
                </c:pt>
              </c:numCache>
            </c:numRef>
          </c:val>
          <c:smooth val="0"/>
          <c:extLst>
            <c:ext xmlns:c16="http://schemas.microsoft.com/office/drawing/2014/chart" uri="{C3380CC4-5D6E-409C-BE32-E72D297353CC}">
              <c16:uniqueId val="{00000002-ABF8-4E5C-A45F-820B00514BD9}"/>
            </c:ext>
          </c:extLst>
        </c:ser>
        <c:ser>
          <c:idx val="3"/>
          <c:order val="3"/>
          <c:tx>
            <c:strRef>
              <c:f>'Dashboard Sueldos'!$E$17</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 Sueldos'!$A$18:$A$83</c:f>
              <c:strCache>
                <c:ptCount val="66"/>
                <c:pt idx="0">
                  <c:v>Julio 2021</c:v>
                </c:pt>
                <c:pt idx="1">
                  <c:v>Agosto 2021</c:v>
                </c:pt>
                <c:pt idx="2">
                  <c:v>Septiembre 2021</c:v>
                </c:pt>
                <c:pt idx="3">
                  <c:v>Octubre 2021</c:v>
                </c:pt>
                <c:pt idx="4">
                  <c:v>Noviembre 2021</c:v>
                </c:pt>
                <c:pt idx="5">
                  <c:v>Diciembre 2021</c:v>
                </c:pt>
                <c:pt idx="6">
                  <c:v>Enero 2022</c:v>
                </c:pt>
                <c:pt idx="7">
                  <c:v>Febrero 2022</c:v>
                </c:pt>
                <c:pt idx="8">
                  <c:v>Marzo 2022</c:v>
                </c:pt>
                <c:pt idx="9">
                  <c:v>Abril 2022</c:v>
                </c:pt>
                <c:pt idx="10">
                  <c:v>Mayo 2022</c:v>
                </c:pt>
                <c:pt idx="11">
                  <c:v>Junio 2022</c:v>
                </c:pt>
                <c:pt idx="12">
                  <c:v>Julio 2022</c:v>
                </c:pt>
                <c:pt idx="13">
                  <c:v>Agosto 2022</c:v>
                </c:pt>
                <c:pt idx="14">
                  <c:v>Septiembre 2022</c:v>
                </c:pt>
                <c:pt idx="15">
                  <c:v>Octubre 2022</c:v>
                </c:pt>
                <c:pt idx="16">
                  <c:v>Noviembre 2022</c:v>
                </c:pt>
                <c:pt idx="17">
                  <c:v>Diciembre 2022</c:v>
                </c:pt>
                <c:pt idx="18">
                  <c:v>Enero 2023</c:v>
                </c:pt>
                <c:pt idx="19">
                  <c:v>Febrero 2023</c:v>
                </c:pt>
                <c:pt idx="20">
                  <c:v>Marzo 2023</c:v>
                </c:pt>
                <c:pt idx="21">
                  <c:v>Abril 2023</c:v>
                </c:pt>
                <c:pt idx="22">
                  <c:v>Mayo 2023</c:v>
                </c:pt>
                <c:pt idx="23">
                  <c:v>Junio 2023</c:v>
                </c:pt>
                <c:pt idx="24">
                  <c:v>Julio 2023</c:v>
                </c:pt>
                <c:pt idx="25">
                  <c:v>Agosto 2023</c:v>
                </c:pt>
                <c:pt idx="26">
                  <c:v>Septiembre 2023</c:v>
                </c:pt>
                <c:pt idx="27">
                  <c:v>Octubre 2023</c:v>
                </c:pt>
                <c:pt idx="28">
                  <c:v>Noviembre 2023</c:v>
                </c:pt>
                <c:pt idx="29">
                  <c:v>Diciembre 2023</c:v>
                </c:pt>
                <c:pt idx="30">
                  <c:v>Enero 2024</c:v>
                </c:pt>
                <c:pt idx="31">
                  <c:v>Febrero 2024</c:v>
                </c:pt>
                <c:pt idx="32">
                  <c:v>Marzo 2024</c:v>
                </c:pt>
                <c:pt idx="33">
                  <c:v>Abril 2024</c:v>
                </c:pt>
                <c:pt idx="34">
                  <c:v>Mayo 2024</c:v>
                </c:pt>
                <c:pt idx="35">
                  <c:v>Junio 2024</c:v>
                </c:pt>
                <c:pt idx="36">
                  <c:v>Julio 2024</c:v>
                </c:pt>
                <c:pt idx="37">
                  <c:v>Agosto 2024</c:v>
                </c:pt>
                <c:pt idx="38">
                  <c:v>Septiembre 2024</c:v>
                </c:pt>
                <c:pt idx="39">
                  <c:v>Octubre 2024</c:v>
                </c:pt>
                <c:pt idx="40">
                  <c:v>Noviembre 2024</c:v>
                </c:pt>
                <c:pt idx="41">
                  <c:v>Diciembre 2024</c:v>
                </c:pt>
                <c:pt idx="42">
                  <c:v>Enero 2025</c:v>
                </c:pt>
                <c:pt idx="43">
                  <c:v>Febrero 2025</c:v>
                </c:pt>
                <c:pt idx="44">
                  <c:v>Marzo 2025</c:v>
                </c:pt>
                <c:pt idx="45">
                  <c:v>Abril 2025</c:v>
                </c:pt>
                <c:pt idx="46">
                  <c:v>Mayo 2025</c:v>
                </c:pt>
                <c:pt idx="47">
                  <c:v>Junio 2025</c:v>
                </c:pt>
                <c:pt idx="48">
                  <c:v>Julio 2025</c:v>
                </c:pt>
                <c:pt idx="49">
                  <c:v>Agosto 2025</c:v>
                </c:pt>
                <c:pt idx="50">
                  <c:v>Septiembre 2025</c:v>
                </c:pt>
                <c:pt idx="51">
                  <c:v>Octubre 2025</c:v>
                </c:pt>
                <c:pt idx="52">
                  <c:v>Noviembre 2025</c:v>
                </c:pt>
                <c:pt idx="53">
                  <c:v>Diciembre/doble 2025</c:v>
                </c:pt>
                <c:pt idx="54">
                  <c:v>📋 NOTAS Y HALLAZGOS CLAVE</c:v>
                </c:pt>
                <c:pt idx="55">
                  <c:v>1.</c:v>
                </c:pt>
                <c:pt idx="56">
                  <c:v>2.</c:v>
                </c:pt>
                <c:pt idx="57">
                  <c:v>3.</c:v>
                </c:pt>
                <c:pt idx="58">
                  <c:v>4.</c:v>
                </c:pt>
                <c:pt idx="59">
                  <c:v>5.</c:v>
                </c:pt>
                <c:pt idx="60">
                  <c:v>6.</c:v>
                </c:pt>
                <c:pt idx="61">
                  <c:v>7.</c:v>
                </c:pt>
                <c:pt idx="62">
                  <c:v>8.</c:v>
                </c:pt>
                <c:pt idx="63">
                  <c:v>Septiembre 2026</c:v>
                </c:pt>
                <c:pt idx="64">
                  <c:v>Octubre 2026</c:v>
                </c:pt>
                <c:pt idx="65">
                  <c:v>Noviembre 2026</c:v>
                </c:pt>
              </c:strCache>
            </c:strRef>
          </c:cat>
          <c:val>
            <c:numRef>
              <c:f>'Dashboard Sueldos'!$E$18:$E$83</c:f>
              <c:numCache>
                <c:formatCode>"$"#,##0</c:formatCode>
                <c:ptCount val="66"/>
                <c:pt idx="0">
                  <c:v>250346.49</c:v>
                </c:pt>
                <c:pt idx="1">
                  <c:v>190791.74</c:v>
                </c:pt>
                <c:pt idx="2">
                  <c:v>461259.5</c:v>
                </c:pt>
                <c:pt idx="3">
                  <c:v>324359.53399999999</c:v>
                </c:pt>
                <c:pt idx="4">
                  <c:v>266593.88399999996</c:v>
                </c:pt>
                <c:pt idx="5">
                  <c:v>245073.41999999998</c:v>
                </c:pt>
                <c:pt idx="6">
                  <c:v>223712.77099999998</c:v>
                </c:pt>
                <c:pt idx="7">
                  <c:v>218161.58</c:v>
                </c:pt>
                <c:pt idx="8">
                  <c:v>332872.93</c:v>
                </c:pt>
                <c:pt idx="9">
                  <c:v>358663.05999999994</c:v>
                </c:pt>
                <c:pt idx="10">
                  <c:v>319565.44</c:v>
                </c:pt>
                <c:pt idx="11">
                  <c:v>228848.13999999998</c:v>
                </c:pt>
                <c:pt idx="12">
                  <c:v>254598.03999999998</c:v>
                </c:pt>
                <c:pt idx="13">
                  <c:v>435191.91399999999</c:v>
                </c:pt>
                <c:pt idx="14">
                  <c:v>1018729.2780000002</c:v>
                </c:pt>
                <c:pt idx="15">
                  <c:v>389682.04799999995</c:v>
                </c:pt>
                <c:pt idx="16">
                  <c:v>497329.85799999995</c:v>
                </c:pt>
                <c:pt idx="17">
                  <c:v>498033.63999999996</c:v>
                </c:pt>
                <c:pt idx="18">
                  <c:v>355059.44</c:v>
                </c:pt>
                <c:pt idx="19">
                  <c:v>242818.24</c:v>
                </c:pt>
                <c:pt idx="20">
                  <c:v>449396.57199999993</c:v>
                </c:pt>
                <c:pt idx="21">
                  <c:v>449861.36499999999</c:v>
                </c:pt>
                <c:pt idx="22">
                  <c:v>477452.18</c:v>
                </c:pt>
                <c:pt idx="23">
                  <c:v>495520.13999999996</c:v>
                </c:pt>
                <c:pt idx="24">
                  <c:v>378503.19999999995</c:v>
                </c:pt>
                <c:pt idx="25">
                  <c:v>602120.09</c:v>
                </c:pt>
                <c:pt idx="26">
                  <c:v>581456.82000000007</c:v>
                </c:pt>
                <c:pt idx="27">
                  <c:v>402073.25999999995</c:v>
                </c:pt>
                <c:pt idx="28">
                  <c:v>491175.47700000001</c:v>
                </c:pt>
                <c:pt idx="29">
                  <c:v>382114.54</c:v>
                </c:pt>
                <c:pt idx="30">
                  <c:v>560233.11</c:v>
                </c:pt>
                <c:pt idx="31">
                  <c:v>443952.64000000001</c:v>
                </c:pt>
                <c:pt idx="32">
                  <c:v>188907.03999999998</c:v>
                </c:pt>
                <c:pt idx="33">
                  <c:v>470262.33999999997</c:v>
                </c:pt>
                <c:pt idx="34">
                  <c:v>332757.64</c:v>
                </c:pt>
                <c:pt idx="35">
                  <c:v>386128.74699999997</c:v>
                </c:pt>
                <c:pt idx="36">
                  <c:v>295575.03999999998</c:v>
                </c:pt>
                <c:pt idx="37">
                  <c:v>438447.62799999997</c:v>
                </c:pt>
                <c:pt idx="38">
                  <c:v>444842.04099999997</c:v>
                </c:pt>
                <c:pt idx="39">
                  <c:v>528315.93999999994</c:v>
                </c:pt>
                <c:pt idx="40">
                  <c:v>326080.25099999999</c:v>
                </c:pt>
                <c:pt idx="41">
                  <c:v>232478.74</c:v>
                </c:pt>
                <c:pt idx="42">
                  <c:v>210550.28999999998</c:v>
                </c:pt>
                <c:pt idx="43">
                  <c:v>284807.28999999998</c:v>
                </c:pt>
                <c:pt idx="44">
                  <c:v>314171.58999999997</c:v>
                </c:pt>
                <c:pt idx="45">
                  <c:v>230005.24599999998</c:v>
                </c:pt>
                <c:pt idx="46">
                  <c:v>218550.28999999998</c:v>
                </c:pt>
                <c:pt idx="47">
                  <c:v>212893.48299999998</c:v>
                </c:pt>
                <c:pt idx="48">
                  <c:v>256216.08999999997</c:v>
                </c:pt>
                <c:pt idx="49">
                  <c:v>332299.39</c:v>
                </c:pt>
                <c:pt idx="50">
                  <c:v>399297.18099999998</c:v>
                </c:pt>
                <c:pt idx="51">
                  <c:v>309713.89</c:v>
                </c:pt>
                <c:pt idx="52">
                  <c:v>208550.28999999998</c:v>
                </c:pt>
                <c:pt idx="53">
                  <c:v>265588.71999999997</c:v>
                </c:pt>
                <c:pt idx="63">
                  <c:v>226980.68</c:v>
                </c:pt>
                <c:pt idx="64">
                  <c:v>226980.68</c:v>
                </c:pt>
                <c:pt idx="65">
                  <c:v>226980.68</c:v>
                </c:pt>
              </c:numCache>
            </c:numRef>
          </c:val>
          <c:smooth val="0"/>
          <c:extLst>
            <c:ext xmlns:c16="http://schemas.microsoft.com/office/drawing/2014/chart" uri="{C3380CC4-5D6E-409C-BE32-E72D297353CC}">
              <c16:uniqueId val="{00000003-ABF8-4E5C-A45F-820B00514BD9}"/>
            </c:ext>
          </c:extLst>
        </c:ser>
        <c:dLbls>
          <c:showLegendKey val="0"/>
          <c:showVal val="0"/>
          <c:showCatName val="0"/>
          <c:showSerName val="0"/>
          <c:showPercent val="0"/>
          <c:showBubbleSize val="0"/>
        </c:dLbls>
        <c:marker val="1"/>
        <c:smooth val="0"/>
        <c:axId val="1215717455"/>
        <c:axId val="1215716015"/>
      </c:lineChart>
      <c:catAx>
        <c:axId val="121571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716015"/>
        <c:crosses val="autoZero"/>
        <c:auto val="1"/>
        <c:lblAlgn val="ctr"/>
        <c:lblOffset val="100"/>
        <c:noMultiLvlLbl val="0"/>
      </c:catAx>
      <c:valAx>
        <c:axId val="1215716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717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r>
              <a:rPr lang="en-US"/>
              <a:t>Desglose Anual por Componente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B3A5C"/>
              </a:solidFill>
              <a:latin typeface="+mn-lt"/>
              <a:ea typeface="+mn-ea"/>
              <a:cs typeface="+mn-cs"/>
            </a:defRPr>
          </a:pPr>
          <a:endParaRPr lang="en-US"/>
        </a:p>
      </c:txPr>
    </c:title>
    <c:autoTitleDeleted val="0"/>
    <c:plotArea>
      <c:layout/>
      <c:barChart>
        <c:barDir val="col"/>
        <c:grouping val="stacked"/>
        <c:varyColors val="0"/>
        <c:ser>
          <c:idx val="0"/>
          <c:order val="0"/>
          <c:tx>
            <c:strRef>
              <c:f>'Dashboard Sueldos'!$Q$8</c:f>
              <c:strCache>
                <c:ptCount val="1"/>
                <c:pt idx="0">
                  <c:v>Año</c:v>
                </c:pt>
              </c:strCache>
            </c:strRef>
          </c:tx>
          <c:spPr>
            <a:solidFill>
              <a:schemeClr val="accent1"/>
            </a:solidFill>
            <a:ln>
              <a:noFill/>
            </a:ln>
            <a:effectLst/>
          </c:spPr>
          <c:invertIfNegative val="0"/>
          <c:val>
            <c:numRef>
              <c:f>'Dashboard Sueldos'!$Q$9:$Q$14</c:f>
            </c:numRef>
          </c:val>
          <c:extLst>
            <c:ext xmlns:c16="http://schemas.microsoft.com/office/drawing/2014/chart" uri="{C3380CC4-5D6E-409C-BE32-E72D297353CC}">
              <c16:uniqueId val="{00000000-EFAD-42DF-82A0-1EB962F5C2FF}"/>
            </c:ext>
          </c:extLst>
        </c:ser>
        <c:ser>
          <c:idx val="1"/>
          <c:order val="1"/>
          <c:tx>
            <c:strRef>
              <c:f>'Dashboard Sueldos'!$R$8</c:f>
              <c:strCache>
                <c:ptCount val="1"/>
                <c:pt idx="0">
                  <c:v>ERD</c:v>
                </c:pt>
              </c:strCache>
            </c:strRef>
          </c:tx>
          <c:spPr>
            <a:solidFill>
              <a:schemeClr val="accent2"/>
            </a:solidFill>
            <a:ln>
              <a:noFill/>
            </a:ln>
            <a:effectLst/>
          </c:spPr>
          <c:invertIfNegative val="0"/>
          <c:val>
            <c:numRef>
              <c:f>'Dashboard Sueldos'!$R$9:$R$14</c:f>
            </c:numRef>
          </c:val>
          <c:extLst>
            <c:ext xmlns:c16="http://schemas.microsoft.com/office/drawing/2014/chart" uri="{C3380CC4-5D6E-409C-BE32-E72D297353CC}">
              <c16:uniqueId val="{00000001-EFAD-42DF-82A0-1EB962F5C2FF}"/>
            </c:ext>
          </c:extLst>
        </c:ser>
        <c:ser>
          <c:idx val="2"/>
          <c:order val="2"/>
          <c:tx>
            <c:strRef>
              <c:f>'Dashboard Sueldos'!$S$8</c:f>
              <c:strCache>
                <c:ptCount val="1"/>
                <c:pt idx="0">
                  <c:v>MARVESA</c:v>
                </c:pt>
              </c:strCache>
            </c:strRef>
          </c:tx>
          <c:spPr>
            <a:solidFill>
              <a:schemeClr val="accent3"/>
            </a:solidFill>
            <a:ln>
              <a:noFill/>
            </a:ln>
            <a:effectLst/>
          </c:spPr>
          <c:invertIfNegative val="0"/>
          <c:val>
            <c:numRef>
              <c:f>'Dashboard Sueldos'!$S$9:$S$14</c:f>
            </c:numRef>
          </c:val>
          <c:extLst>
            <c:ext xmlns:c16="http://schemas.microsoft.com/office/drawing/2014/chart" uri="{C3380CC4-5D6E-409C-BE32-E72D297353CC}">
              <c16:uniqueId val="{00000002-EFAD-42DF-82A0-1EB962F5C2FF}"/>
            </c:ext>
          </c:extLst>
        </c:ser>
        <c:ser>
          <c:idx val="3"/>
          <c:order val="3"/>
          <c:tx>
            <c:strRef>
              <c:f>'Dashboard Sueldos'!$T$8</c:f>
              <c:strCache>
                <c:ptCount val="1"/>
                <c:pt idx="0">
                  <c:v>HMNSA</c:v>
                </c:pt>
              </c:strCache>
            </c:strRef>
          </c:tx>
          <c:spPr>
            <a:solidFill>
              <a:schemeClr val="accent4"/>
            </a:solidFill>
            <a:ln>
              <a:noFill/>
            </a:ln>
            <a:effectLst/>
          </c:spPr>
          <c:invertIfNegative val="0"/>
          <c:val>
            <c:numRef>
              <c:f>'Dashboard Sueldos'!$T$9:$T$14</c:f>
            </c:numRef>
          </c:val>
          <c:extLst>
            <c:ext xmlns:c16="http://schemas.microsoft.com/office/drawing/2014/chart" uri="{C3380CC4-5D6E-409C-BE32-E72D297353CC}">
              <c16:uniqueId val="{00000003-EFAD-42DF-82A0-1EB962F5C2FF}"/>
            </c:ext>
          </c:extLst>
        </c:ser>
        <c:ser>
          <c:idx val="4"/>
          <c:order val="4"/>
          <c:tx>
            <c:strRef>
              <c:f>'Dashboard Sueldos'!$U$8</c:f>
              <c:strCache>
                <c:ptCount val="1"/>
                <c:pt idx="0">
                  <c:v>Honorarios</c:v>
                </c:pt>
              </c:strCache>
            </c:strRef>
          </c:tx>
          <c:spPr>
            <a:solidFill>
              <a:schemeClr val="accent5"/>
            </a:solidFill>
            <a:ln>
              <a:noFill/>
            </a:ln>
            <a:effectLst/>
          </c:spPr>
          <c:invertIfNegative val="0"/>
          <c:val>
            <c:numRef>
              <c:f>'Dashboard Sueldos'!$U$9:$U$14</c:f>
            </c:numRef>
          </c:val>
          <c:extLst>
            <c:ext xmlns:c16="http://schemas.microsoft.com/office/drawing/2014/chart" uri="{C3380CC4-5D6E-409C-BE32-E72D297353CC}">
              <c16:uniqueId val="{00000004-EFAD-42DF-82A0-1EB962F5C2FF}"/>
            </c:ext>
          </c:extLst>
        </c:ser>
        <c:dLbls>
          <c:showLegendKey val="0"/>
          <c:showVal val="0"/>
          <c:showCatName val="0"/>
          <c:showSerName val="0"/>
          <c:showPercent val="0"/>
          <c:showBubbleSize val="0"/>
        </c:dLbls>
        <c:gapWidth val="150"/>
        <c:overlap val="100"/>
        <c:axId val="1972887712"/>
        <c:axId val="6239503"/>
      </c:barChart>
      <c:catAx>
        <c:axId val="19728877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9503"/>
        <c:crosses val="autoZero"/>
        <c:auto val="1"/>
        <c:lblAlgn val="ctr"/>
        <c:lblOffset val="100"/>
        <c:noMultiLvlLbl val="0"/>
      </c:catAx>
      <c:valAx>
        <c:axId val="6239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87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Top 10 ARS por Monto Facturado</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'Dashboard Pagos ARS'!$B$8</c:f>
              <c:strCache>
                <c:ptCount val="1"/>
                <c:pt idx="0">
                  <c:v>Monto Facturado</c:v>
                </c:pt>
              </c:strCache>
            </c:strRef>
          </c:tx>
          <c:spPr>
            <a:solidFill>
              <a:schemeClr val="accent1"/>
            </a:solidFill>
            <a:ln>
              <a:noFill/>
            </a:ln>
            <a:effectLst/>
          </c:spPr>
          <c:invertIfNegative val="0"/>
          <c:cat>
            <c:strRef>
              <c:f>'Dashboard Pagos ARS'!$A$9:$A$18</c:f>
              <c:strCache>
                <c:ptCount val="10"/>
                <c:pt idx="0">
                  <c:v>SENASA</c:v>
                </c:pt>
                <c:pt idx="1">
                  <c:v>MAPFRE</c:v>
                </c:pt>
                <c:pt idx="2">
                  <c:v>P-HUMANO</c:v>
                </c:pt>
                <c:pt idx="3">
                  <c:v>UNIVERSAL</c:v>
                </c:pt>
                <c:pt idx="4">
                  <c:v>HUMANO</c:v>
                </c:pt>
                <c:pt idx="5">
                  <c:v>FUTURO</c:v>
                </c:pt>
                <c:pt idx="6">
                  <c:v>YUNEN</c:v>
                </c:pt>
                <c:pt idx="7">
                  <c:v>MONUMENTAL</c:v>
                </c:pt>
                <c:pt idx="8">
                  <c:v>GMA</c:v>
                </c:pt>
                <c:pt idx="9">
                  <c:v>META SALUD</c:v>
                </c:pt>
              </c:strCache>
            </c:strRef>
          </c:cat>
          <c:val>
            <c:numRef>
              <c:f>'Dashboard Pagos ARS'!$B$9:$B$18</c:f>
              <c:numCache>
                <c:formatCode>"$"#,##0</c:formatCode>
                <c:ptCount val="10"/>
                <c:pt idx="0">
                  <c:v>6387547.2400000002</c:v>
                </c:pt>
                <c:pt idx="1">
                  <c:v>1230292.3700000001</c:v>
                </c:pt>
                <c:pt idx="2">
                  <c:v>866550.01</c:v>
                </c:pt>
                <c:pt idx="3">
                  <c:v>459014.02</c:v>
                </c:pt>
                <c:pt idx="4">
                  <c:v>312046.78000000003</c:v>
                </c:pt>
                <c:pt idx="5">
                  <c:v>222375.3</c:v>
                </c:pt>
                <c:pt idx="6">
                  <c:v>207168.4</c:v>
                </c:pt>
                <c:pt idx="7">
                  <c:v>198849.25</c:v>
                </c:pt>
                <c:pt idx="8">
                  <c:v>147964</c:v>
                </c:pt>
                <c:pt idx="9">
                  <c:v>122590</c:v>
                </c:pt>
              </c:numCache>
            </c:numRef>
          </c:val>
          <c:extLst>
            <c:ext xmlns:c16="http://schemas.microsoft.com/office/drawing/2014/chart" uri="{C3380CC4-5D6E-409C-BE32-E72D297353CC}">
              <c16:uniqueId val="{00000000-BEEF-4FEA-A974-138D248DDA7F}"/>
            </c:ext>
          </c:extLst>
        </c:ser>
        <c:dLbls>
          <c:showLegendKey val="0"/>
          <c:showVal val="0"/>
          <c:showCatName val="0"/>
          <c:showSerName val="0"/>
          <c:showPercent val="0"/>
          <c:showBubbleSize val="0"/>
        </c:dLbls>
        <c:gapWidth val="182"/>
        <c:axId val="1946230912"/>
        <c:axId val="1946234272"/>
      </c:barChart>
      <c:catAx>
        <c:axId val="194623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234272"/>
        <c:crosses val="autoZero"/>
        <c:auto val="1"/>
        <c:lblAlgn val="ctr"/>
        <c:lblOffset val="100"/>
        <c:noMultiLvlLbl val="0"/>
      </c:catAx>
      <c:valAx>
        <c:axId val="19462342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23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Facturación Anual</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'Dashboard Pagos ARS'!$G$8</c:f>
              <c:strCache>
                <c:ptCount val="1"/>
                <c:pt idx="0">
                  <c:v>Año</c:v>
                </c:pt>
              </c:strCache>
            </c:strRef>
          </c:tx>
          <c:spPr>
            <a:solidFill>
              <a:schemeClr val="accent1"/>
            </a:solidFill>
            <a:ln>
              <a:noFill/>
            </a:ln>
            <a:effectLst/>
          </c:spPr>
          <c:invertIfNegative val="0"/>
          <c:val>
            <c:numRef>
              <c:f>'Dashboard Pagos ARS'!$G$9:$G$14</c:f>
              <c:numCache>
                <c:formatCode>@</c:formatCode>
                <c:ptCount val="6"/>
                <c:pt idx="0">
                  <c:v>2021</c:v>
                </c:pt>
                <c:pt idx="1">
                  <c:v>2022</c:v>
                </c:pt>
                <c:pt idx="2">
                  <c:v>2023</c:v>
                </c:pt>
                <c:pt idx="3">
                  <c:v>2024</c:v>
                </c:pt>
                <c:pt idx="4">
                  <c:v>2025</c:v>
                </c:pt>
                <c:pt idx="5">
                  <c:v>2026</c:v>
                </c:pt>
              </c:numCache>
            </c:numRef>
          </c:val>
          <c:extLst>
            <c:ext xmlns:c16="http://schemas.microsoft.com/office/drawing/2014/chart" uri="{C3380CC4-5D6E-409C-BE32-E72D297353CC}">
              <c16:uniqueId val="{00000000-61B4-41BC-872A-BE0E5CEF4CAC}"/>
            </c:ext>
          </c:extLst>
        </c:ser>
        <c:ser>
          <c:idx val="1"/>
          <c:order val="1"/>
          <c:tx>
            <c:strRef>
              <c:f>'Dashboard Pagos ARS'!$H$8</c:f>
              <c:strCache>
                <c:ptCount val="1"/>
                <c:pt idx="0">
                  <c:v>Facturado</c:v>
                </c:pt>
              </c:strCache>
            </c:strRef>
          </c:tx>
          <c:spPr>
            <a:solidFill>
              <a:schemeClr val="accent2"/>
            </a:solidFill>
            <a:ln>
              <a:noFill/>
            </a:ln>
            <a:effectLst/>
          </c:spPr>
          <c:invertIfNegative val="0"/>
          <c:val>
            <c:numRef>
              <c:f>'Dashboard Pagos ARS'!$H$9:$H$14</c:f>
              <c:numCache>
                <c:formatCode>"$"#,##0</c:formatCode>
                <c:ptCount val="6"/>
                <c:pt idx="0">
                  <c:v>926440.54</c:v>
                </c:pt>
                <c:pt idx="1">
                  <c:v>2882202.39</c:v>
                </c:pt>
                <c:pt idx="2">
                  <c:v>3281240.45</c:v>
                </c:pt>
                <c:pt idx="3">
                  <c:v>2703106.01</c:v>
                </c:pt>
                <c:pt idx="4">
                  <c:v>745557.6</c:v>
                </c:pt>
                <c:pt idx="5">
                  <c:v>189138.68</c:v>
                </c:pt>
              </c:numCache>
            </c:numRef>
          </c:val>
          <c:extLst>
            <c:ext xmlns:c16="http://schemas.microsoft.com/office/drawing/2014/chart" uri="{C3380CC4-5D6E-409C-BE32-E72D297353CC}">
              <c16:uniqueId val="{00000001-61B4-41BC-872A-BE0E5CEF4CAC}"/>
            </c:ext>
          </c:extLst>
        </c:ser>
        <c:dLbls>
          <c:showLegendKey val="0"/>
          <c:showVal val="0"/>
          <c:showCatName val="0"/>
          <c:showSerName val="0"/>
          <c:showPercent val="0"/>
          <c:showBubbleSize val="0"/>
        </c:dLbls>
        <c:gapWidth val="219"/>
        <c:overlap val="-27"/>
        <c:axId val="2101343648"/>
        <c:axId val="1934498272"/>
      </c:barChart>
      <c:catAx>
        <c:axId val="21013436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498272"/>
        <c:crosses val="autoZero"/>
        <c:auto val="1"/>
        <c:lblAlgn val="ctr"/>
        <c:lblOffset val="100"/>
        <c:noMultiLvlLbl val="0"/>
      </c:catAx>
      <c:valAx>
        <c:axId val="1934498272"/>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43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Distribución por ARS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'Dashboard Pagos ARS'!$B$8</c:f>
              <c:strCache>
                <c:ptCount val="1"/>
                <c:pt idx="0">
                  <c:v>Monto Facturado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77-49E1-9583-46493755ED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77-49E1-9583-46493755ED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77-49E1-9583-46493755ED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77-49E1-9583-46493755ED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77-49E1-9583-46493755ED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77-49E1-9583-46493755ED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77-49E1-9583-46493755ED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77-49E1-9583-46493755ED9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77-49E1-9583-46493755ED9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77-49E1-9583-46493755ED9E}"/>
              </c:ext>
            </c:extLst>
          </c:dPt>
          <c:cat>
            <c:strRef>
              <c:f>'Dashboard Pagos ARS'!$A$9:$A$18</c:f>
              <c:strCache>
                <c:ptCount val="10"/>
                <c:pt idx="0">
                  <c:v>SENASA</c:v>
                </c:pt>
                <c:pt idx="1">
                  <c:v>MAPFRE</c:v>
                </c:pt>
                <c:pt idx="2">
                  <c:v>P-HUMANO</c:v>
                </c:pt>
                <c:pt idx="3">
                  <c:v>UNIVERSAL</c:v>
                </c:pt>
                <c:pt idx="4">
                  <c:v>HUMANO</c:v>
                </c:pt>
                <c:pt idx="5">
                  <c:v>FUTURO</c:v>
                </c:pt>
                <c:pt idx="6">
                  <c:v>YUNEN</c:v>
                </c:pt>
                <c:pt idx="7">
                  <c:v>MONUMENTAL</c:v>
                </c:pt>
                <c:pt idx="8">
                  <c:v>GMA</c:v>
                </c:pt>
                <c:pt idx="9">
                  <c:v>META SALUD</c:v>
                </c:pt>
              </c:strCache>
            </c:strRef>
          </c:cat>
          <c:val>
            <c:numRef>
              <c:f>'Dashboard Pagos ARS'!$B$9:$B$18</c:f>
              <c:numCache>
                <c:formatCode>"$"#,##0</c:formatCode>
                <c:ptCount val="10"/>
                <c:pt idx="0">
                  <c:v>6387547.2400000002</c:v>
                </c:pt>
                <c:pt idx="1">
                  <c:v>1230292.3700000001</c:v>
                </c:pt>
                <c:pt idx="2">
                  <c:v>866550.01</c:v>
                </c:pt>
                <c:pt idx="3">
                  <c:v>459014.02</c:v>
                </c:pt>
                <c:pt idx="4">
                  <c:v>312046.78000000003</c:v>
                </c:pt>
                <c:pt idx="5">
                  <c:v>222375.3</c:v>
                </c:pt>
                <c:pt idx="6">
                  <c:v>207168.4</c:v>
                </c:pt>
                <c:pt idx="7">
                  <c:v>198849.25</c:v>
                </c:pt>
                <c:pt idx="8">
                  <c:v>147964</c:v>
                </c:pt>
                <c:pt idx="9">
                  <c:v>122590</c:v>
                </c:pt>
              </c:numCache>
            </c:numRef>
          </c:val>
          <c:extLst>
            <c:ext xmlns:c16="http://schemas.microsoft.com/office/drawing/2014/chart" uri="{C3380CC4-5D6E-409C-BE32-E72D297353CC}">
              <c16:uniqueId val="{00000000-C6FA-4698-9863-2239AB2B468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r>
              <a:rPr lang="en-US"/>
              <a:t>Evolución Mensual: Facturado vs Pagado</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'Dashboard Pagos ARS'!$A$22</c:f>
              <c:strCache>
                <c:ptCount val="1"/>
                <c:pt idx="0">
                  <c:v>Período</c:v>
                </c:pt>
              </c:strCache>
            </c:strRef>
          </c:tx>
          <c:spPr>
            <a:ln w="28575" cap="rnd">
              <a:solidFill>
                <a:schemeClr val="accent1"/>
              </a:solidFill>
              <a:round/>
            </a:ln>
            <a:effectLst/>
          </c:spPr>
          <c:marker>
            <c:symbol val="none"/>
          </c:marker>
          <c:val>
            <c:numRef>
              <c:f>'Dashboard Pagos ARS'!$A$23:$A$72</c:f>
              <c:numCache>
                <c:formatCode>@</c:formatCode>
                <c:ptCount val="50"/>
                <c:pt idx="0">
                  <c:v>0</c:v>
                </c:pt>
                <c:pt idx="1">
                  <c:v>0</c:v>
                </c:pt>
                <c:pt idx="2">
                  <c:v>0</c:v>
                </c:pt>
                <c:pt idx="3">
                  <c:v>0</c:v>
                </c:pt>
                <c:pt idx="4">
                  <c:v>0</c:v>
                </c:pt>
                <c:pt idx="5">
                  <c:v>0</c:v>
                </c:pt>
                <c:pt idx="6">
                  <c:v>46075</c:v>
                </c:pt>
                <c:pt idx="7">
                  <c:v>46103</c:v>
                </c:pt>
                <c:pt idx="8">
                  <c:v>0</c:v>
                </c:pt>
                <c:pt idx="9">
                  <c:v>46164</c:v>
                </c:pt>
                <c:pt idx="10">
                  <c:v>46195</c:v>
                </c:pt>
                <c:pt idx="11">
                  <c:v>46225</c:v>
                </c:pt>
                <c:pt idx="12">
                  <c:v>0</c:v>
                </c:pt>
                <c:pt idx="13">
                  <c:v>46287</c:v>
                </c:pt>
                <c:pt idx="14">
                  <c:v>46317</c:v>
                </c:pt>
                <c:pt idx="15">
                  <c:v>46348</c:v>
                </c:pt>
                <c:pt idx="16">
                  <c:v>0</c:v>
                </c:pt>
                <c:pt idx="17">
                  <c:v>0</c:v>
                </c:pt>
                <c:pt idx="18">
                  <c:v>46076</c:v>
                </c:pt>
                <c:pt idx="19">
                  <c:v>46104</c:v>
                </c:pt>
                <c:pt idx="20">
                  <c:v>0</c:v>
                </c:pt>
                <c:pt idx="21">
                  <c:v>46165</c:v>
                </c:pt>
                <c:pt idx="22">
                  <c:v>46196</c:v>
                </c:pt>
                <c:pt idx="23">
                  <c:v>46226</c:v>
                </c:pt>
                <c:pt idx="24">
                  <c:v>0</c:v>
                </c:pt>
                <c:pt idx="25">
                  <c:v>46288</c:v>
                </c:pt>
                <c:pt idx="26">
                  <c:v>46318</c:v>
                </c:pt>
                <c:pt idx="27">
                  <c:v>46349</c:v>
                </c:pt>
                <c:pt idx="28">
                  <c:v>0</c:v>
                </c:pt>
                <c:pt idx="29">
                  <c:v>0</c:v>
                </c:pt>
                <c:pt idx="30">
                  <c:v>46077</c:v>
                </c:pt>
                <c:pt idx="31">
                  <c:v>0</c:v>
                </c:pt>
                <c:pt idx="32">
                  <c:v>46166</c:v>
                </c:pt>
                <c:pt idx="33">
                  <c:v>46197</c:v>
                </c:pt>
                <c:pt idx="34">
                  <c:v>46227</c:v>
                </c:pt>
                <c:pt idx="35">
                  <c:v>0</c:v>
                </c:pt>
                <c:pt idx="36">
                  <c:v>46289</c:v>
                </c:pt>
                <c:pt idx="37">
                  <c:v>46319</c:v>
                </c:pt>
                <c:pt idx="38">
                  <c:v>46350</c:v>
                </c:pt>
                <c:pt idx="39">
                  <c:v>0</c:v>
                </c:pt>
                <c:pt idx="40">
                  <c:v>46078</c:v>
                </c:pt>
                <c:pt idx="41">
                  <c:v>46106</c:v>
                </c:pt>
                <c:pt idx="42">
                  <c:v>0</c:v>
                </c:pt>
                <c:pt idx="43">
                  <c:v>46198</c:v>
                </c:pt>
                <c:pt idx="44">
                  <c:v>46228</c:v>
                </c:pt>
                <c:pt idx="45">
                  <c:v>0</c:v>
                </c:pt>
                <c:pt idx="46">
                  <c:v>46290</c:v>
                </c:pt>
                <c:pt idx="47">
                  <c:v>46320</c:v>
                </c:pt>
                <c:pt idx="48">
                  <c:v>0</c:v>
                </c:pt>
                <c:pt idx="49">
                  <c:v>46079</c:v>
                </c:pt>
              </c:numCache>
            </c:numRef>
          </c:val>
          <c:smooth val="0"/>
          <c:extLst>
            <c:ext xmlns:c16="http://schemas.microsoft.com/office/drawing/2014/chart" uri="{C3380CC4-5D6E-409C-BE32-E72D297353CC}">
              <c16:uniqueId val="{00000000-CF2A-4988-B8F5-497F31D606CF}"/>
            </c:ext>
          </c:extLst>
        </c:ser>
        <c:ser>
          <c:idx val="1"/>
          <c:order val="1"/>
          <c:tx>
            <c:strRef>
              <c:f>'Dashboard Pagos ARS'!$B$22</c:f>
              <c:strCache>
                <c:ptCount val="1"/>
                <c:pt idx="0">
                  <c:v>Facturado</c:v>
                </c:pt>
              </c:strCache>
            </c:strRef>
          </c:tx>
          <c:spPr>
            <a:ln w="28575" cap="rnd">
              <a:solidFill>
                <a:schemeClr val="accent2"/>
              </a:solidFill>
              <a:round/>
            </a:ln>
            <a:effectLst/>
          </c:spPr>
          <c:marker>
            <c:symbol val="none"/>
          </c:marker>
          <c:val>
            <c:numRef>
              <c:f>'Dashboard Pagos ARS'!$B$23:$B$72</c:f>
              <c:numCache>
                <c:formatCode>"$"#,##0</c:formatCode>
                <c:ptCount val="50"/>
                <c:pt idx="0">
                  <c:v>368792.23</c:v>
                </c:pt>
                <c:pt idx="1">
                  <c:v>216681.16</c:v>
                </c:pt>
                <c:pt idx="2">
                  <c:v>137229.96</c:v>
                </c:pt>
                <c:pt idx="3">
                  <c:v>113785</c:v>
                </c:pt>
                <c:pt idx="4">
                  <c:v>89952.19</c:v>
                </c:pt>
                <c:pt idx="5">
                  <c:v>83788.5</c:v>
                </c:pt>
                <c:pt idx="6">
                  <c:v>143690</c:v>
                </c:pt>
                <c:pt idx="7">
                  <c:v>94902.31</c:v>
                </c:pt>
                <c:pt idx="8">
                  <c:v>188617.8</c:v>
                </c:pt>
                <c:pt idx="9">
                  <c:v>145176</c:v>
                </c:pt>
                <c:pt idx="10">
                  <c:v>44379</c:v>
                </c:pt>
                <c:pt idx="11">
                  <c:v>72990</c:v>
                </c:pt>
                <c:pt idx="12">
                  <c:v>273649.86</c:v>
                </c:pt>
                <c:pt idx="13">
                  <c:v>926107.81</c:v>
                </c:pt>
                <c:pt idx="14">
                  <c:v>223935.12</c:v>
                </c:pt>
                <c:pt idx="15">
                  <c:v>342692.02</c:v>
                </c:pt>
                <c:pt idx="16">
                  <c:v>343974</c:v>
                </c:pt>
                <c:pt idx="17">
                  <c:v>179024.61</c:v>
                </c:pt>
                <c:pt idx="18">
                  <c:v>26568</c:v>
                </c:pt>
                <c:pt idx="19">
                  <c:v>256099.48</c:v>
                </c:pt>
                <c:pt idx="20">
                  <c:v>289949.25</c:v>
                </c:pt>
                <c:pt idx="21">
                  <c:v>309494.59999999998</c:v>
                </c:pt>
                <c:pt idx="22">
                  <c:v>318459</c:v>
                </c:pt>
                <c:pt idx="23">
                  <c:v>210662.39999999999</c:v>
                </c:pt>
                <c:pt idx="24">
                  <c:v>448014.5</c:v>
                </c:pt>
                <c:pt idx="25">
                  <c:v>413944.2</c:v>
                </c:pt>
                <c:pt idx="26">
                  <c:v>231295.8</c:v>
                </c:pt>
                <c:pt idx="27">
                  <c:v>380692.83</c:v>
                </c:pt>
                <c:pt idx="28">
                  <c:v>217035.8</c:v>
                </c:pt>
                <c:pt idx="29">
                  <c:v>410358</c:v>
                </c:pt>
                <c:pt idx="30">
                  <c:v>283384</c:v>
                </c:pt>
                <c:pt idx="31">
                  <c:v>312617</c:v>
                </c:pt>
                <c:pt idx="32">
                  <c:v>159834</c:v>
                </c:pt>
                <c:pt idx="33">
                  <c:v>219135.23</c:v>
                </c:pt>
                <c:pt idx="34">
                  <c:v>122252</c:v>
                </c:pt>
                <c:pt idx="35">
                  <c:v>277267.32</c:v>
                </c:pt>
                <c:pt idx="36">
                  <c:v>286625.67</c:v>
                </c:pt>
                <c:pt idx="37">
                  <c:v>377121</c:v>
                </c:pt>
                <c:pt idx="38">
                  <c:v>134253.69</c:v>
                </c:pt>
                <c:pt idx="39">
                  <c:v>48413</c:v>
                </c:pt>
                <c:pt idx="40">
                  <c:v>84730</c:v>
                </c:pt>
                <c:pt idx="41">
                  <c:v>117357</c:v>
                </c:pt>
                <c:pt idx="42">
                  <c:v>23838.84</c:v>
                </c:pt>
                <c:pt idx="43">
                  <c:v>4825.7700000000004</c:v>
                </c:pt>
                <c:pt idx="44">
                  <c:v>52962</c:v>
                </c:pt>
                <c:pt idx="45">
                  <c:v>137499</c:v>
                </c:pt>
                <c:pt idx="46">
                  <c:v>211940.99</c:v>
                </c:pt>
                <c:pt idx="47">
                  <c:v>112404</c:v>
                </c:pt>
                <c:pt idx="48">
                  <c:v>148758.68</c:v>
                </c:pt>
                <c:pt idx="49">
                  <c:v>40380</c:v>
                </c:pt>
              </c:numCache>
            </c:numRef>
          </c:val>
          <c:smooth val="0"/>
          <c:extLst>
            <c:ext xmlns:c16="http://schemas.microsoft.com/office/drawing/2014/chart" uri="{C3380CC4-5D6E-409C-BE32-E72D297353CC}">
              <c16:uniqueId val="{00000001-CF2A-4988-B8F5-497F31D606CF}"/>
            </c:ext>
          </c:extLst>
        </c:ser>
        <c:ser>
          <c:idx val="2"/>
          <c:order val="2"/>
          <c:tx>
            <c:strRef>
              <c:f>'Dashboard Pagos ARS'!$C$22</c:f>
              <c:strCache>
                <c:ptCount val="1"/>
                <c:pt idx="0">
                  <c:v>Total Pagado</c:v>
                </c:pt>
              </c:strCache>
            </c:strRef>
          </c:tx>
          <c:spPr>
            <a:ln w="28575" cap="rnd">
              <a:solidFill>
                <a:schemeClr val="accent3"/>
              </a:solidFill>
              <a:round/>
            </a:ln>
            <a:effectLst/>
          </c:spPr>
          <c:marker>
            <c:symbol val="none"/>
          </c:marker>
          <c:val>
            <c:numRef>
              <c:f>'Dashboard Pagos ARS'!$C$23:$C$72</c:f>
              <c:numCache>
                <c:formatCode>"$"#,##0</c:formatCode>
                <c:ptCount val="50"/>
                <c:pt idx="0">
                  <c:v>331913.00699999998</c:v>
                </c:pt>
                <c:pt idx="1">
                  <c:v>195013.04399999999</c:v>
                </c:pt>
                <c:pt idx="2">
                  <c:v>123506.96400000001</c:v>
                </c:pt>
                <c:pt idx="3">
                  <c:v>102406.5</c:v>
                </c:pt>
                <c:pt idx="4">
                  <c:v>80956.971000000005</c:v>
                </c:pt>
                <c:pt idx="5">
                  <c:v>75409.649999999994</c:v>
                </c:pt>
                <c:pt idx="6">
                  <c:v>129321</c:v>
                </c:pt>
                <c:pt idx="7">
                  <c:v>85412.078999999998</c:v>
                </c:pt>
                <c:pt idx="8">
                  <c:v>169756.02</c:v>
                </c:pt>
                <c:pt idx="9">
                  <c:v>130658.4</c:v>
                </c:pt>
                <c:pt idx="10">
                  <c:v>39941.1</c:v>
                </c:pt>
                <c:pt idx="11">
                  <c:v>65691</c:v>
                </c:pt>
                <c:pt idx="12">
                  <c:v>246284.87400000001</c:v>
                </c:pt>
                <c:pt idx="13">
                  <c:v>829822.23800000001</c:v>
                </c:pt>
                <c:pt idx="14">
                  <c:v>200775.008</c:v>
                </c:pt>
                <c:pt idx="15">
                  <c:v>308422.81800000003</c:v>
                </c:pt>
                <c:pt idx="16">
                  <c:v>309126.59999999998</c:v>
                </c:pt>
                <c:pt idx="17">
                  <c:v>161122.149</c:v>
                </c:pt>
                <c:pt idx="18">
                  <c:v>23911.200000000001</c:v>
                </c:pt>
                <c:pt idx="19">
                  <c:v>230489.53200000001</c:v>
                </c:pt>
                <c:pt idx="20">
                  <c:v>260954.32500000001</c:v>
                </c:pt>
                <c:pt idx="21">
                  <c:v>278545.14</c:v>
                </c:pt>
                <c:pt idx="22">
                  <c:v>286613.09999999998</c:v>
                </c:pt>
                <c:pt idx="23">
                  <c:v>189596.16</c:v>
                </c:pt>
                <c:pt idx="24">
                  <c:v>403213.05</c:v>
                </c:pt>
                <c:pt idx="25">
                  <c:v>372549.78</c:v>
                </c:pt>
                <c:pt idx="26">
                  <c:v>208166.22</c:v>
                </c:pt>
                <c:pt idx="27">
                  <c:v>285923.54700000002</c:v>
                </c:pt>
                <c:pt idx="28">
                  <c:v>193207.5</c:v>
                </c:pt>
                <c:pt idx="29">
                  <c:v>369322.2</c:v>
                </c:pt>
                <c:pt idx="30">
                  <c:v>255045.6</c:v>
                </c:pt>
                <c:pt idx="31">
                  <c:v>281355.3</c:v>
                </c:pt>
                <c:pt idx="32">
                  <c:v>143850.6</c:v>
                </c:pt>
                <c:pt idx="33">
                  <c:v>197221.70699999999</c:v>
                </c:pt>
                <c:pt idx="34">
                  <c:v>106668</c:v>
                </c:pt>
                <c:pt idx="35">
                  <c:v>249540.58799999999</c:v>
                </c:pt>
                <c:pt idx="36">
                  <c:v>255935.00099999999</c:v>
                </c:pt>
                <c:pt idx="37">
                  <c:v>339408.9</c:v>
                </c:pt>
                <c:pt idx="38">
                  <c:v>120828.321</c:v>
                </c:pt>
                <c:pt idx="39">
                  <c:v>43571.7</c:v>
                </c:pt>
                <c:pt idx="40">
                  <c:v>76257</c:v>
                </c:pt>
                <c:pt idx="41">
                  <c:v>105621.3</c:v>
                </c:pt>
                <c:pt idx="42">
                  <c:v>21454.955999999998</c:v>
                </c:pt>
                <c:pt idx="43">
                  <c:v>4343.1930000000002</c:v>
                </c:pt>
                <c:pt idx="44">
                  <c:v>47665.8</c:v>
                </c:pt>
                <c:pt idx="45">
                  <c:v>123749.1</c:v>
                </c:pt>
                <c:pt idx="46">
                  <c:v>190746.891</c:v>
                </c:pt>
                <c:pt idx="47">
                  <c:v>101163.6</c:v>
                </c:pt>
                <c:pt idx="48">
                  <c:v>133882.81200000001</c:v>
                </c:pt>
                <c:pt idx="49">
                  <c:v>36342</c:v>
                </c:pt>
              </c:numCache>
            </c:numRef>
          </c:val>
          <c:smooth val="0"/>
          <c:extLst>
            <c:ext xmlns:c16="http://schemas.microsoft.com/office/drawing/2014/chart" uri="{C3380CC4-5D6E-409C-BE32-E72D297353CC}">
              <c16:uniqueId val="{00000002-CF2A-4988-B8F5-497F31D606CF}"/>
            </c:ext>
          </c:extLst>
        </c:ser>
        <c:dLbls>
          <c:showLegendKey val="0"/>
          <c:showVal val="0"/>
          <c:showCatName val="0"/>
          <c:showSerName val="0"/>
          <c:showPercent val="0"/>
          <c:showBubbleSize val="0"/>
        </c:dLbls>
        <c:smooth val="0"/>
        <c:axId val="2015080448"/>
        <c:axId val="2015080928"/>
      </c:lineChart>
      <c:catAx>
        <c:axId val="2015080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80928"/>
        <c:crosses val="autoZero"/>
        <c:auto val="1"/>
        <c:lblAlgn val="ctr"/>
        <c:lblOffset val="100"/>
        <c:noMultiLvlLbl val="0"/>
      </c:catAx>
      <c:valAx>
        <c:axId val="2015080928"/>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80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[LISTADOS DE PROCEDIMIENTOS LEOS.xlsx]Tablas!TablaDinámica4</c:name>
    <c:fmtId val="6"/>
  </c:pivotSource>
  <c:chart>
    <c:title>
      <c:tx>
        <c:rich>
          <a:bodyPr rot="0" spcFirstLastPara="1" vertOverflow="ellipsis" vert="horz" wrap="square" anchor="ctr" anchorCtr="1"/>
          <a:lstStyle/>
          <a:p>
            <a:pPr>
              <a:defRPr sz="1200" b="1" i="0" u="none" strike="noStrike" kern="1200" spc="0" baseline="0">
                <a:solidFill>
                  <a:srgbClr val="1F4E79"/>
                </a:solidFill>
                <a:latin typeface="Roboto Black" panose="02000000000000000000" pitchFamily="2" charset="0"/>
                <a:ea typeface="Roboto Black" panose="02000000000000000000" pitchFamily="2" charset="0"/>
                <a:cs typeface="Roboto Black" panose="02000000000000000000" pitchFamily="2" charset="0"/>
              </a:defRPr>
            </a:pPr>
            <a:r>
              <a:rPr lang="en-US"/>
              <a:t>Total de Ingreso Por Mes</a:t>
            </a:r>
          </a:p>
        </c:rich>
      </c:tx>
      <c:layout>
        <c:manualLayout>
          <c:xMode val="edge"/>
          <c:yMode val="edge"/>
          <c:x val="1.6944444444444429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1F4E79"/>
              </a:solidFill>
              <a:latin typeface="Roboto Black" panose="02000000000000000000" pitchFamily="2" charset="0"/>
              <a:ea typeface="Roboto Black" panose="02000000000000000000" pitchFamily="2" charset="0"/>
              <a:cs typeface="Roboto Black" panose="02000000000000000000" pitchFamily="2" charset="0"/>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Tablas!$F$6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Tablas!$E$7:$E$10</c:f>
              <c:strCache>
                <c:ptCount val="4"/>
                <c:pt idx="0">
                  <c:v>Enero</c:v>
                </c:pt>
                <c:pt idx="1">
                  <c:v>Febrero</c:v>
                </c:pt>
                <c:pt idx="2">
                  <c:v>Marzo</c:v>
                </c:pt>
                <c:pt idx="3">
                  <c:v>Abril</c:v>
                </c:pt>
              </c:strCache>
            </c:strRef>
          </c:cat>
          <c:val>
            <c:numRef>
              <c:f>Tablas!$F$7:$F$10</c:f>
              <c:numCache>
                <c:formatCode>_-"$"* #,##0.00_-;\-"$"* #,##0.00_-;_-"$"* "-"??_-;_-@_-</c:formatCode>
                <c:ptCount val="4"/>
                <c:pt idx="0">
                  <c:v>560233.11</c:v>
                </c:pt>
                <c:pt idx="1">
                  <c:v>443952.64000000001</c:v>
                </c:pt>
                <c:pt idx="2">
                  <c:v>188907.03999999998</c:v>
                </c:pt>
                <c:pt idx="3">
                  <c:v>470262.33999999997</c:v>
                </c:pt>
              </c:numCache>
            </c:numRef>
          </c:val>
          <c:extLst>
            <c:ext xmlns:c16="http://schemas.microsoft.com/office/drawing/2014/chart" uri="{C3380CC4-5D6E-409C-BE32-E72D297353CC}">
              <c16:uniqueId val="{00000000-AD12-4A6E-8532-7B0CE9E53D5D}"/>
            </c:ext>
          </c:extLst>
        </c:ser>
        <c:dLbls>
          <c:showLegendKey val="0"/>
          <c:showVal val="0"/>
          <c:showCatName val="0"/>
          <c:showSerName val="0"/>
          <c:showPercent val="0"/>
          <c:showBubbleSize val="0"/>
        </c:dLbls>
        <c:gapWidth val="219"/>
        <c:overlap val="-27"/>
        <c:axId val="1934689359"/>
        <c:axId val="1934688879"/>
      </c:barChart>
      <c:catAx>
        <c:axId val="193468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934688879"/>
        <c:crosses val="autoZero"/>
        <c:auto val="1"/>
        <c:lblAlgn val="ctr"/>
        <c:lblOffset val="100"/>
        <c:noMultiLvlLbl val="0"/>
      </c:catAx>
      <c:valAx>
        <c:axId val="1934688879"/>
        <c:scaling>
          <c:orientation val="minMax"/>
        </c:scaling>
        <c:delete val="1"/>
        <c:axPos val="l"/>
        <c:numFmt formatCode="_-&quot;$&quot;* #,##0.00_-;\-&quot;$&quot;* #,##0.00_-;_-&quot;$&quot;* &quot;-&quot;??_-;_-@_-" sourceLinked="1"/>
        <c:majorTickMark val="none"/>
        <c:minorTickMark val="none"/>
        <c:tickLblPos val="nextTo"/>
        <c:crossAx val="193468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[LISTADOS DE PROCEDIMIENTOS LEOS.xlsx]Tablas!TablaDinámica1</c:name>
    <c:fmtId val="8"/>
  </c:pivotSource>
  <c:chart>
    <c:title>
      <c:tx>
        <c:rich>
          <a:bodyPr rot="0" spcFirstLastPara="1" vertOverflow="ellipsis" vert="horz" wrap="square" anchor="ctr" anchorCtr="1"/>
          <a:lstStyle/>
          <a:p>
            <a:pPr>
              <a:defRPr sz="1200" b="1" i="0" u="none" strike="noStrike" kern="1200" spc="0" baseline="0">
                <a:solidFill>
                  <a:srgbClr val="1F4E79"/>
                </a:solidFill>
                <a:latin typeface="Roboto Black" panose="02000000000000000000" pitchFamily="2" charset="0"/>
                <a:ea typeface="Roboto Black" panose="02000000000000000000" pitchFamily="2" charset="0"/>
                <a:cs typeface="Roboto Black" panose="02000000000000000000" pitchFamily="2" charset="0"/>
              </a:defRPr>
            </a:pPr>
            <a:r>
              <a:rPr lang="en-US"/>
              <a:t>Gastos por Mes</a:t>
            </a:r>
          </a:p>
        </c:rich>
      </c:tx>
      <c:layout>
        <c:manualLayout>
          <c:xMode val="edge"/>
          <c:yMode val="edge"/>
          <c:x val="1.7867891513560805E-2"/>
          <c:y val="1.851851851851851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1F4E79"/>
              </a:solidFill>
              <a:latin typeface="Roboto Black" panose="02000000000000000000" pitchFamily="2" charset="0"/>
              <a:ea typeface="Roboto Black" panose="02000000000000000000" pitchFamily="2" charset="0"/>
              <a:cs typeface="Roboto Black" panose="02000000000000000000" pitchFamily="2"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Tablas!$F$23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Roboto Light" panose="02000000000000000000" pitchFamily="2" charset="0"/>
                    <a:ea typeface="Roboto Light" panose="02000000000000000000" pitchFamily="2" charset="0"/>
                    <a:cs typeface="Roboto Light" panose="020000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Tablas!$E$24:$E$27</c:f>
              <c:strCache>
                <c:ptCount val="4"/>
                <c:pt idx="0">
                  <c:v>ene</c:v>
                </c:pt>
                <c:pt idx="1">
                  <c:v>feb</c:v>
                </c:pt>
                <c:pt idx="2">
                  <c:v>mar</c:v>
                </c:pt>
                <c:pt idx="3">
                  <c:v>abr</c:v>
                </c:pt>
              </c:strCache>
            </c:strRef>
          </c:cat>
          <c:val>
            <c:numRef>
              <c:f>Tablas!$F$24:$F$27</c:f>
              <c:numCache>
                <c:formatCode>"$"#,##0.00_);[Red]\("$"#,##0.00\)</c:formatCode>
                <c:ptCount val="4"/>
                <c:pt idx="0">
                  <c:v>303815.09999999998</c:v>
                </c:pt>
                <c:pt idx="1">
                  <c:v>216260.22</c:v>
                </c:pt>
                <c:pt idx="2">
                  <c:v>272476.94999999995</c:v>
                </c:pt>
                <c:pt idx="3">
                  <c:v>168730.65999999997</c:v>
                </c:pt>
              </c:numCache>
            </c:numRef>
          </c:val>
          <c:extLst>
            <c:ext xmlns:c16="http://schemas.microsoft.com/office/drawing/2014/chart" uri="{C3380CC4-5D6E-409C-BE32-E72D297353CC}">
              <c16:uniqueId val="{00000000-E199-443A-8E44-84DA13CFE9DC}"/>
            </c:ext>
          </c:extLst>
        </c:ser>
        <c:dLbls>
          <c:showLegendKey val="0"/>
          <c:showVal val="0"/>
          <c:showCatName val="0"/>
          <c:showSerName val="0"/>
          <c:showPercent val="0"/>
          <c:showBubbleSize val="0"/>
        </c:dLbls>
        <c:gapWidth val="219"/>
        <c:overlap val="-27"/>
        <c:axId val="1940678799"/>
        <c:axId val="1940679759"/>
      </c:barChart>
      <c:catAx>
        <c:axId val="194067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940679759"/>
        <c:crosses val="autoZero"/>
        <c:auto val="1"/>
        <c:lblAlgn val="ctr"/>
        <c:lblOffset val="100"/>
        <c:noMultiLvlLbl val="0"/>
      </c:catAx>
      <c:valAx>
        <c:axId val="1940679759"/>
        <c:scaling>
          <c:orientation val="minMax"/>
        </c:scaling>
        <c:delete val="1"/>
        <c:axPos val="l"/>
        <c:numFmt formatCode="&quot;$&quot;#,##0.00_);[Red]\(&quot;$&quot;#,##0.00\)" sourceLinked="1"/>
        <c:majorTickMark val="none"/>
        <c:minorTickMark val="none"/>
        <c:tickLblPos val="nextTo"/>
        <c:crossAx val="194067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K$28" horiz="1" max="60" page="10" val="44"/>
</file>

<file path=xl/ctrlProps/ctrlProp2.xml><?xml version="1.0" encoding="utf-8"?>
<formControlPr xmlns="http://schemas.microsoft.com/office/spreadsheetml/2009/9/main" objectType="Scroll" dx="22" fmlaLink="$K$29" horiz="1" max="54" min="1" page="10" val="54"/>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3.xml"/><Relationship Id="rId5" Type="http://schemas.openxmlformats.org/officeDocument/2006/relationships/image" Target="../media/image4.sv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63500</xdr:colOff>
      <xdr:row>231</xdr:row>
      <xdr:rowOff>63502</xdr:rowOff>
    </xdr:from>
    <xdr:to>
      <xdr:col>15</xdr:col>
      <xdr:colOff>910167</xdr:colOff>
      <xdr:row>248</xdr:row>
      <xdr:rowOff>74084</xdr:rowOff>
    </xdr:to>
    <xdr:graphicFrame macro="">
      <xdr:nvGraphicFramePr>
        <xdr:cNvPr id="3" name="Gráfico 2">
          <a:extLst>
            <a:ext uri="{FF2B5EF4-FFF2-40B4-BE49-F238E27FC236}">
              <a16:creationId xmlns:a16="http://schemas.microsoft.com/office/drawing/2014/main" id="{36E93461-9C70-C6E0-C381-8CA82741E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497416</xdr:colOff>
      <xdr:row>248</xdr:row>
      <xdr:rowOff>105833</xdr:rowOff>
    </xdr:from>
    <xdr:to>
      <xdr:col>15</xdr:col>
      <xdr:colOff>603250</xdr:colOff>
      <xdr:row>267</xdr:row>
      <xdr:rowOff>137583</xdr:rowOff>
    </xdr:to>
    <xdr:graphicFrame macro="">
      <xdr:nvGraphicFramePr>
        <xdr:cNvPr id="4" name="Gráfico 3">
          <a:extLst>
            <a:ext uri="{FF2B5EF4-FFF2-40B4-BE49-F238E27FC236}">
              <a16:creationId xmlns:a16="http://schemas.microsoft.com/office/drawing/2014/main" id="{DD3B17F5-298B-8096-6E46-ED4F3178B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571498</xdr:colOff>
      <xdr:row>1</xdr:row>
      <xdr:rowOff>171448</xdr:rowOff>
    </xdr:from>
    <xdr:to>
      <xdr:col>18</xdr:col>
      <xdr:colOff>104774</xdr:colOff>
      <xdr:row>20</xdr:row>
      <xdr:rowOff>104774</xdr:rowOff>
    </xdr:to>
    <xdr:graphicFrame macro="">
      <xdr:nvGraphicFramePr>
        <xdr:cNvPr id="2" name="Gráfico 1">
          <a:extLst>
            <a:ext uri="{FF2B5EF4-FFF2-40B4-BE49-F238E27FC236}">
              <a16:creationId xmlns:a16="http://schemas.microsoft.com/office/drawing/2014/main" id="{3F5C2E24-C90D-ABBF-CBC5-2A0296934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628650</xdr:colOff>
          <xdr:row>21</xdr:row>
          <xdr:rowOff>123825</xdr:rowOff>
        </xdr:from>
        <xdr:to>
          <xdr:col>16</xdr:col>
          <xdr:colOff>733425</xdr:colOff>
          <xdr:row>23</xdr:row>
          <xdr:rowOff>28575</xdr:rowOff>
        </xdr:to>
        <xdr:sp macro="" textlink="">
          <xdr:nvSpPr>
            <xdr:cNvPr id="9217" name="Scroll Bar 1" hidden="1">
              <a:extLst>
                <a:ext uri="{63B3BB69-23CF-44E3-9099-C40C66FF867C}">
                  <a14:compatExt spid="_x0000_s9217"/>
                </a:ext>
                <a:ext uri="{FF2B5EF4-FFF2-40B4-BE49-F238E27FC236}">
                  <a16:creationId xmlns:a16="http://schemas.microsoft.com/office/drawing/2014/main" id="{00000000-0008-0000-03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619125</xdr:colOff>
          <xdr:row>24</xdr:row>
          <xdr:rowOff>0</xdr:rowOff>
        </xdr:from>
        <xdr:to>
          <xdr:col>16</xdr:col>
          <xdr:colOff>723900</xdr:colOff>
          <xdr:row>25</xdr:row>
          <xdr:rowOff>95250</xdr:rowOff>
        </xdr:to>
        <xdr:sp macro="" textlink="">
          <xdr:nvSpPr>
            <xdr:cNvPr id="9218" name="Scroll Bar 2" hidden="1">
              <a:extLst>
                <a:ext uri="{63B3BB69-23CF-44E3-9099-C40C66FF867C}">
                  <a14:compatExt spid="_x0000_s9218"/>
                </a:ext>
                <a:ext uri="{FF2B5EF4-FFF2-40B4-BE49-F238E27FC236}">
                  <a16:creationId xmlns:a16="http://schemas.microsoft.com/office/drawing/2014/main" id="{00000000-0008-0000-0300-000002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19050</xdr:colOff>
      <xdr:row>21</xdr:row>
      <xdr:rowOff>95250</xdr:rowOff>
    </xdr:from>
    <xdr:to>
      <xdr:col>9</xdr:col>
      <xdr:colOff>520465</xdr:colOff>
      <xdr:row>23</xdr:row>
      <xdr:rowOff>61829</xdr:rowOff>
    </xdr:to>
    <xdr:pic>
      <xdr:nvPicPr>
        <xdr:cNvPr id="4" name="Gráfico 3" descr="Transferencia con relleno sólido">
          <a:extLst>
            <a:ext uri="{FF2B5EF4-FFF2-40B4-BE49-F238E27FC236}">
              <a16:creationId xmlns:a16="http://schemas.microsoft.com/office/drawing/2014/main" id="{82CD28FB-0A9E-2A3B-7A59-A67FBC5DE4D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991600" y="4676775"/>
          <a:ext cx="501415" cy="347579"/>
        </a:xfrm>
        <a:prstGeom prst="rect">
          <a:avLst/>
        </a:prstGeom>
      </xdr:spPr>
    </xdr:pic>
    <xdr:clientData/>
  </xdr:twoCellAnchor>
  <xdr:twoCellAnchor editAs="oneCell">
    <xdr:from>
      <xdr:col>9</xdr:col>
      <xdr:colOff>66676</xdr:colOff>
      <xdr:row>24</xdr:row>
      <xdr:rowOff>0</xdr:rowOff>
    </xdr:from>
    <xdr:to>
      <xdr:col>9</xdr:col>
      <xdr:colOff>457200</xdr:colOff>
      <xdr:row>25</xdr:row>
      <xdr:rowOff>95884</xdr:rowOff>
    </xdr:to>
    <xdr:pic>
      <xdr:nvPicPr>
        <xdr:cNvPr id="6" name="Gráfico 5" descr="Acercar con relleno sólido">
          <a:extLst>
            <a:ext uri="{FF2B5EF4-FFF2-40B4-BE49-F238E27FC236}">
              <a16:creationId xmlns:a16="http://schemas.microsoft.com/office/drawing/2014/main" id="{19A4D9A1-F90A-ED55-23A9-0661D933773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039226" y="5153025"/>
          <a:ext cx="390524" cy="286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22</xdr:row>
      <xdr:rowOff>158750</xdr:rowOff>
    </xdr:from>
    <xdr:to>
      <xdr:col>5</xdr:col>
      <xdr:colOff>76200</xdr:colOff>
      <xdr:row>39</xdr:row>
      <xdr:rowOff>158750</xdr:rowOff>
    </xdr:to>
    <xdr:graphicFrame macro="">
      <xdr:nvGraphicFramePr>
        <xdr:cNvPr id="2" name="Gráfico 1">
          <a:extLst>
            <a:ext uri="{FF2B5EF4-FFF2-40B4-BE49-F238E27FC236}">
              <a16:creationId xmlns:a16="http://schemas.microsoft.com/office/drawing/2014/main" id="{9CDE8542-F088-5BB7-EB68-D93905DAA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330200</xdr:colOff>
      <xdr:row>22</xdr:row>
      <xdr:rowOff>158750</xdr:rowOff>
    </xdr:from>
    <xdr:to>
      <xdr:col>10</xdr:col>
      <xdr:colOff>12700</xdr:colOff>
      <xdr:row>39</xdr:row>
      <xdr:rowOff>158750</xdr:rowOff>
    </xdr:to>
    <xdr:graphicFrame macro="">
      <xdr:nvGraphicFramePr>
        <xdr:cNvPr id="3" name="Gráfico 2">
          <a:extLst>
            <a:ext uri="{FF2B5EF4-FFF2-40B4-BE49-F238E27FC236}">
              <a16:creationId xmlns:a16="http://schemas.microsoft.com/office/drawing/2014/main" id="{CEAA2977-70B6-708C-83B1-352CAA529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31750</xdr:rowOff>
    </xdr:from>
    <xdr:to>
      <xdr:col>11</xdr:col>
      <xdr:colOff>136525</xdr:colOff>
      <xdr:row>61</xdr:row>
      <xdr:rowOff>95250</xdr:rowOff>
    </xdr:to>
    <xdr:graphicFrame macro="">
      <xdr:nvGraphicFramePr>
        <xdr:cNvPr id="4" name="Gráfico 3">
          <a:extLst>
            <a:ext uri="{FF2B5EF4-FFF2-40B4-BE49-F238E27FC236}">
              <a16:creationId xmlns:a16="http://schemas.microsoft.com/office/drawing/2014/main" id="{338202FD-82B2-6AC2-0FC8-8346B5873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266699</xdr:colOff>
      <xdr:row>22</xdr:row>
      <xdr:rowOff>158750</xdr:rowOff>
    </xdr:from>
    <xdr:to>
      <xdr:col>22</xdr:col>
      <xdr:colOff>333374</xdr:colOff>
      <xdr:row>39</xdr:row>
      <xdr:rowOff>158750</xdr:rowOff>
    </xdr:to>
    <xdr:graphicFrame macro="">
      <xdr:nvGraphicFramePr>
        <xdr:cNvPr id="5" name="Gráfico 4">
          <a:extLst>
            <a:ext uri="{FF2B5EF4-FFF2-40B4-BE49-F238E27FC236}">
              <a16:creationId xmlns:a16="http://schemas.microsoft.com/office/drawing/2014/main" id="{18B74ED8-3790-9041-FB1B-3F4D05534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20</xdr:row>
      <xdr:rowOff>0</xdr:rowOff>
    </xdr:from>
    <xdr:to>
      <xdr:col>9</xdr:col>
      <xdr:colOff>1333500</xdr:colOff>
      <xdr:row>40</xdr:row>
      <xdr:rowOff>0</xdr:rowOff>
    </xdr:to>
    <xdr:graphicFrame macro="">
      <xdr:nvGraphicFramePr>
        <xdr:cNvPr id="2" name="Gráfico 1">
          <a:extLst>
            <a:ext uri="{FF2B5EF4-FFF2-40B4-BE49-F238E27FC236}">
              <a16:creationId xmlns:a16="http://schemas.microsoft.com/office/drawing/2014/main" id="{B82897AE-E6A3-229D-4F4E-D07EF7F52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0</xdr:rowOff>
    </xdr:from>
    <xdr:to>
      <xdr:col>10</xdr:col>
      <xdr:colOff>3175</xdr:colOff>
      <xdr:row>35</xdr:row>
      <xdr:rowOff>31750</xdr:rowOff>
    </xdr:to>
    <xdr:graphicFrame macro="">
      <xdr:nvGraphicFramePr>
        <xdr:cNvPr id="3" name="Gráfico 2">
          <a:extLst>
            <a:ext uri="{FF2B5EF4-FFF2-40B4-BE49-F238E27FC236}">
              <a16:creationId xmlns:a16="http://schemas.microsoft.com/office/drawing/2014/main" id="{515EA422-F036-F4E1-1CEF-755590965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6</xdr:row>
      <xdr:rowOff>0</xdr:rowOff>
    </xdr:from>
    <xdr:to>
      <xdr:col>16</xdr:col>
      <xdr:colOff>635000</xdr:colOff>
      <xdr:row>26</xdr:row>
      <xdr:rowOff>95250</xdr:rowOff>
    </xdr:to>
    <xdr:graphicFrame macro="">
      <xdr:nvGraphicFramePr>
        <xdr:cNvPr id="4" name="Gráfico 3">
          <a:extLst>
            <a:ext uri="{FF2B5EF4-FFF2-40B4-BE49-F238E27FC236}">
              <a16:creationId xmlns:a16="http://schemas.microsoft.com/office/drawing/2014/main" id="{9560666B-BC07-B442-3603-A29E6F77C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40</xdr:row>
      <xdr:rowOff>0</xdr:rowOff>
    </xdr:from>
    <xdr:to>
      <xdr:col>16</xdr:col>
      <xdr:colOff>3175</xdr:colOff>
      <xdr:row>63</xdr:row>
      <xdr:rowOff>63500</xdr:rowOff>
    </xdr:to>
    <xdr:graphicFrame macro="">
      <xdr:nvGraphicFramePr>
        <xdr:cNvPr id="5" name="Gráfico 4">
          <a:extLst>
            <a:ext uri="{FF2B5EF4-FFF2-40B4-BE49-F238E27FC236}">
              <a16:creationId xmlns:a16="http://schemas.microsoft.com/office/drawing/2014/main" id="{96493D10-F4E4-FBD0-D775-36E3042D8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9525</xdr:rowOff>
    </xdr:from>
    <xdr:to>
      <xdr:col>23</xdr:col>
      <xdr:colOff>368300</xdr:colOff>
      <xdr:row>46</xdr:row>
      <xdr:rowOff>53976</xdr:rowOff>
    </xdr:to>
    <xdr:sp macro="" textlink="">
      <xdr:nvSpPr>
        <xdr:cNvPr id="2" name="Rectángulo 1">
          <a:extLst>
            <a:ext uri="{FF2B5EF4-FFF2-40B4-BE49-F238E27FC236}">
              <a16:creationId xmlns:a16="http://schemas.microsoft.com/office/drawing/2014/main" id="{0EE9801D-4FC0-4581-B0F5-617F93EC2A96}"/>
            </a:ext>
          </a:extLst>
        </xdr:cNvPr>
        <xdr:cNvSpPr/>
      </xdr:nvSpPr>
      <xdr:spPr>
        <a:xfrm>
          <a:off x="28575" y="9525"/>
          <a:ext cx="17865725" cy="8807451"/>
        </a:xfrm>
        <a:prstGeom prst="rect">
          <a:avLst/>
        </a:prstGeom>
        <a:solidFill>
          <a:schemeClr val="accent5">
            <a:lumMod val="5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xdr:from>
      <xdr:col>0</xdr:col>
      <xdr:colOff>13608</xdr:colOff>
      <xdr:row>0</xdr:row>
      <xdr:rowOff>40821</xdr:rowOff>
    </xdr:from>
    <xdr:to>
      <xdr:col>23</xdr:col>
      <xdr:colOff>353786</xdr:colOff>
      <xdr:row>6</xdr:row>
      <xdr:rowOff>0</xdr:rowOff>
    </xdr:to>
    <xdr:sp macro="" textlink="">
      <xdr:nvSpPr>
        <xdr:cNvPr id="3" name="Rectángulo 2">
          <a:extLst>
            <a:ext uri="{FF2B5EF4-FFF2-40B4-BE49-F238E27FC236}">
              <a16:creationId xmlns:a16="http://schemas.microsoft.com/office/drawing/2014/main" id="{D5B6349A-F489-49F1-A627-2D02EB03CF3F}"/>
            </a:ext>
          </a:extLst>
        </xdr:cNvPr>
        <xdr:cNvSpPr/>
      </xdr:nvSpPr>
      <xdr:spPr>
        <a:xfrm>
          <a:off x="13608" y="40821"/>
          <a:ext cx="17866178" cy="11021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b="0" i="0" u="none" strike="noStrike">
              <a:solidFill>
                <a:srgbClr val="FFFF00"/>
              </a:solidFill>
              <a:latin typeface="Bernard MT Condensed"/>
            </a:rPr>
            <a:t>Balance</a:t>
          </a:r>
          <a:r>
            <a:rPr lang="en-US" sz="5400" b="0" i="0" u="none" strike="noStrike" baseline="0">
              <a:solidFill>
                <a:srgbClr val="FFFF00"/>
              </a:solidFill>
              <a:latin typeface="Bernard MT Condensed"/>
            </a:rPr>
            <a:t> Contable Familia Otaño Zabala </a:t>
          </a:r>
          <a:endParaRPr lang="en-US" sz="5400" b="0" i="0" u="none" strike="noStrike">
            <a:solidFill>
              <a:srgbClr val="FFFF00"/>
            </a:solidFill>
            <a:latin typeface="Bernard MT Condensed"/>
          </a:endParaRPr>
        </a:p>
      </xdr:txBody>
    </xdr:sp>
    <xdr:clientData/>
  </xdr:twoCellAnchor>
  <xdr:twoCellAnchor>
    <xdr:from>
      <xdr:col>0</xdr:col>
      <xdr:colOff>285750</xdr:colOff>
      <xdr:row>6</xdr:row>
      <xdr:rowOff>70757</xdr:rowOff>
    </xdr:from>
    <xdr:to>
      <xdr:col>5</xdr:col>
      <xdr:colOff>149679</xdr:colOff>
      <xdr:row>15</xdr:row>
      <xdr:rowOff>125185</xdr:rowOff>
    </xdr:to>
    <xdr:sp macro="" textlink="Tablas!F19">
      <xdr:nvSpPr>
        <xdr:cNvPr id="4" name="Rectángulo: esquinas redondeadas 3">
          <a:extLst>
            <a:ext uri="{FF2B5EF4-FFF2-40B4-BE49-F238E27FC236}">
              <a16:creationId xmlns:a16="http://schemas.microsoft.com/office/drawing/2014/main" id="{AAE4C176-CBF8-4728-9A35-865BABA52457}"/>
            </a:ext>
          </a:extLst>
        </xdr:cNvPr>
        <xdr:cNvSpPr/>
      </xdr:nvSpPr>
      <xdr:spPr>
        <a:xfrm>
          <a:off x="285750" y="1213757"/>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D840436-02B2-497B-A236-BA9F67E4F693}" type="TxLink">
            <a:rPr lang="en-US" sz="2000" b="0" i="0" u="none" strike="noStrike">
              <a:solidFill>
                <a:srgbClr val="000000"/>
              </a:solidFill>
              <a:latin typeface="Roboto Black" panose="02000000000000000000" pitchFamily="2" charset="0"/>
              <a:ea typeface="Roboto Black" panose="02000000000000000000" pitchFamily="2" charset="0"/>
              <a:cs typeface="Roboto Black" panose="02000000000000000000" pitchFamily="2" charset="0"/>
            </a:rPr>
            <a:pPr marL="0" indent="0" algn="ctr"/>
            <a:t> $1.663.355,13 </a:t>
          </a:fld>
          <a:endParaRPr lang="en-US" sz="2000" b="0" i="0" u="none" strike="noStrike">
            <a:solidFill>
              <a:srgbClr val="000000"/>
            </a:solidFill>
            <a:latin typeface="Roboto Black" panose="02000000000000000000" pitchFamily="2" charset="0"/>
            <a:ea typeface="Roboto Black" panose="02000000000000000000" pitchFamily="2" charset="0"/>
            <a:cs typeface="Roboto Black" panose="02000000000000000000" pitchFamily="2" charset="0"/>
          </a:endParaRPr>
        </a:p>
      </xdr:txBody>
    </xdr:sp>
    <xdr:clientData/>
  </xdr:twoCellAnchor>
  <xdr:twoCellAnchor>
    <xdr:from>
      <xdr:col>18</xdr:col>
      <xdr:colOff>263978</xdr:colOff>
      <xdr:row>26</xdr:row>
      <xdr:rowOff>99787</xdr:rowOff>
    </xdr:from>
    <xdr:to>
      <xdr:col>23</xdr:col>
      <xdr:colOff>127907</xdr:colOff>
      <xdr:row>35</xdr:row>
      <xdr:rowOff>154215</xdr:rowOff>
    </xdr:to>
    <xdr:sp macro="" textlink="">
      <xdr:nvSpPr>
        <xdr:cNvPr id="5" name="Rectángulo: esquinas redondeadas 4">
          <a:extLst>
            <a:ext uri="{FF2B5EF4-FFF2-40B4-BE49-F238E27FC236}">
              <a16:creationId xmlns:a16="http://schemas.microsoft.com/office/drawing/2014/main" id="{D4B17DED-B736-4F62-AAD7-EBA70605873D}"/>
            </a:ext>
          </a:extLst>
        </xdr:cNvPr>
        <xdr:cNvSpPr/>
      </xdr:nvSpPr>
      <xdr:spPr>
        <a:xfrm>
          <a:off x="13979978" y="5052787"/>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263978</xdr:colOff>
      <xdr:row>16</xdr:row>
      <xdr:rowOff>85272</xdr:rowOff>
    </xdr:from>
    <xdr:to>
      <xdr:col>23</xdr:col>
      <xdr:colOff>127907</xdr:colOff>
      <xdr:row>25</xdr:row>
      <xdr:rowOff>139700</xdr:rowOff>
    </xdr:to>
    <xdr:sp macro="" textlink="">
      <xdr:nvSpPr>
        <xdr:cNvPr id="6" name="Rectángulo: esquinas redondeadas 5">
          <a:extLst>
            <a:ext uri="{FF2B5EF4-FFF2-40B4-BE49-F238E27FC236}">
              <a16:creationId xmlns:a16="http://schemas.microsoft.com/office/drawing/2014/main" id="{89494D1D-9ABE-4EC0-95F9-74183B679DA4}"/>
            </a:ext>
          </a:extLst>
        </xdr:cNvPr>
        <xdr:cNvSpPr/>
      </xdr:nvSpPr>
      <xdr:spPr>
        <a:xfrm>
          <a:off x="13979978" y="3133272"/>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278493</xdr:colOff>
      <xdr:row>6</xdr:row>
      <xdr:rowOff>70757</xdr:rowOff>
    </xdr:from>
    <xdr:to>
      <xdr:col>11</xdr:col>
      <xdr:colOff>142422</xdr:colOff>
      <xdr:row>15</xdr:row>
      <xdr:rowOff>125185</xdr:rowOff>
    </xdr:to>
    <xdr:sp macro="" textlink="Tablas!F35">
      <xdr:nvSpPr>
        <xdr:cNvPr id="7" name="Rectángulo: esquinas redondeadas 6">
          <a:extLst>
            <a:ext uri="{FF2B5EF4-FFF2-40B4-BE49-F238E27FC236}">
              <a16:creationId xmlns:a16="http://schemas.microsoft.com/office/drawing/2014/main" id="{337B8DAB-BBB3-4076-AFDE-A2AEC33D6492}"/>
            </a:ext>
          </a:extLst>
        </xdr:cNvPr>
        <xdr:cNvSpPr/>
      </xdr:nvSpPr>
      <xdr:spPr>
        <a:xfrm>
          <a:off x="4850493" y="1213757"/>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374F21D-4B3F-4681-93EB-66D27C0B4A46}" type="TxLink">
            <a:rPr lang="en-US" sz="2000" b="0" i="0" u="none" strike="noStrike">
              <a:solidFill>
                <a:srgbClr val="000000"/>
              </a:solidFill>
              <a:latin typeface="Roboto Black" panose="02000000000000000000" pitchFamily="2" charset="0"/>
              <a:ea typeface="Roboto Black" panose="02000000000000000000" pitchFamily="2" charset="0"/>
              <a:cs typeface="Roboto Black" panose="02000000000000000000" pitchFamily="2" charset="0"/>
            </a:rPr>
            <a:pPr marL="0" indent="0" algn="ctr"/>
            <a:t> </a:t>
          </a:fld>
          <a:endParaRPr lang="en-US" sz="2000" b="0" i="0" u="none" strike="noStrike">
            <a:solidFill>
              <a:srgbClr val="000000"/>
            </a:solidFill>
            <a:latin typeface="Roboto Black" panose="02000000000000000000" pitchFamily="2" charset="0"/>
            <a:ea typeface="Roboto Black" panose="02000000000000000000" pitchFamily="2" charset="0"/>
            <a:cs typeface="Roboto Black" panose="02000000000000000000" pitchFamily="2" charset="0"/>
          </a:endParaRPr>
        </a:p>
      </xdr:txBody>
    </xdr:sp>
    <xdr:clientData/>
  </xdr:twoCellAnchor>
  <xdr:twoCellAnchor>
    <xdr:from>
      <xdr:col>12</xdr:col>
      <xdr:colOff>271236</xdr:colOff>
      <xdr:row>6</xdr:row>
      <xdr:rowOff>70757</xdr:rowOff>
    </xdr:from>
    <xdr:to>
      <xdr:col>17</xdr:col>
      <xdr:colOff>135165</xdr:colOff>
      <xdr:row>15</xdr:row>
      <xdr:rowOff>125185</xdr:rowOff>
    </xdr:to>
    <xdr:sp macro="" textlink="Tablas!D13">
      <xdr:nvSpPr>
        <xdr:cNvPr id="8" name="Rectángulo: esquinas redondeadas 7">
          <a:extLst>
            <a:ext uri="{FF2B5EF4-FFF2-40B4-BE49-F238E27FC236}">
              <a16:creationId xmlns:a16="http://schemas.microsoft.com/office/drawing/2014/main" id="{5F77BC11-DAE8-4FFC-AAEE-48097F918CDB}"/>
            </a:ext>
          </a:extLst>
        </xdr:cNvPr>
        <xdr:cNvSpPr/>
      </xdr:nvSpPr>
      <xdr:spPr>
        <a:xfrm>
          <a:off x="9415236" y="1213757"/>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0EFF2B3-8F50-4158-97A9-3A796D9BD955}" type="TxLink">
            <a:rPr lang="en-US" sz="2000" b="0" i="0" u="none" strike="noStrike">
              <a:solidFill>
                <a:srgbClr val="000000"/>
              </a:solidFill>
              <a:latin typeface="Roboto Black" panose="02000000000000000000" pitchFamily="2" charset="0"/>
              <a:ea typeface="Roboto Black" panose="02000000000000000000" pitchFamily="2" charset="0"/>
              <a:cs typeface="Roboto Black" panose="02000000000000000000" pitchFamily="2" charset="0"/>
            </a:rPr>
            <a:pPr marL="0" indent="0" algn="ctr"/>
            <a:t>$1.663.355,13 </a:t>
          </a:fld>
          <a:endParaRPr lang="en-US" sz="2000" b="0" i="0" u="none" strike="noStrike">
            <a:solidFill>
              <a:srgbClr val="000000"/>
            </a:solidFill>
            <a:latin typeface="Roboto Black" panose="02000000000000000000" pitchFamily="2" charset="0"/>
            <a:ea typeface="Roboto Black" panose="02000000000000000000" pitchFamily="2" charset="0"/>
            <a:cs typeface="Roboto Black" panose="02000000000000000000" pitchFamily="2" charset="0"/>
          </a:endParaRPr>
        </a:p>
      </xdr:txBody>
    </xdr:sp>
    <xdr:clientData/>
  </xdr:twoCellAnchor>
  <xdr:twoCellAnchor>
    <xdr:from>
      <xdr:col>18</xdr:col>
      <xdr:colOff>263978</xdr:colOff>
      <xdr:row>6</xdr:row>
      <xdr:rowOff>70757</xdr:rowOff>
    </xdr:from>
    <xdr:to>
      <xdr:col>23</xdr:col>
      <xdr:colOff>127907</xdr:colOff>
      <xdr:row>15</xdr:row>
      <xdr:rowOff>125185</xdr:rowOff>
    </xdr:to>
    <xdr:sp macro="" textlink="">
      <xdr:nvSpPr>
        <xdr:cNvPr id="9" name="Rectángulo: esquinas redondeadas 8">
          <a:extLst>
            <a:ext uri="{FF2B5EF4-FFF2-40B4-BE49-F238E27FC236}">
              <a16:creationId xmlns:a16="http://schemas.microsoft.com/office/drawing/2014/main" id="{9C3A3303-8055-48E5-A781-A0CD4AEDE47D}"/>
            </a:ext>
          </a:extLst>
        </xdr:cNvPr>
        <xdr:cNvSpPr/>
      </xdr:nvSpPr>
      <xdr:spPr>
        <a:xfrm>
          <a:off x="13979978" y="1213757"/>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312965</xdr:colOff>
      <xdr:row>22</xdr:row>
      <xdr:rowOff>16329</xdr:rowOff>
    </xdr:from>
    <xdr:to>
      <xdr:col>8</xdr:col>
      <xdr:colOff>108858</xdr:colOff>
      <xdr:row>44</xdr:row>
      <xdr:rowOff>138793</xdr:rowOff>
    </xdr:to>
    <xdr:sp macro="" textlink="">
      <xdr:nvSpPr>
        <xdr:cNvPr id="10" name="Rectángulo: esquinas redondeadas 9">
          <a:extLst>
            <a:ext uri="{FF2B5EF4-FFF2-40B4-BE49-F238E27FC236}">
              <a16:creationId xmlns:a16="http://schemas.microsoft.com/office/drawing/2014/main" id="{0F91ADE2-383D-4418-B85E-67006BBFDA7A}"/>
            </a:ext>
          </a:extLst>
        </xdr:cNvPr>
        <xdr:cNvSpPr/>
      </xdr:nvSpPr>
      <xdr:spPr>
        <a:xfrm>
          <a:off x="312965" y="4207329"/>
          <a:ext cx="5891893" cy="4313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16329</xdr:colOff>
      <xdr:row>22</xdr:row>
      <xdr:rowOff>16329</xdr:rowOff>
    </xdr:from>
    <xdr:to>
      <xdr:col>16</xdr:col>
      <xdr:colOff>574222</xdr:colOff>
      <xdr:row>44</xdr:row>
      <xdr:rowOff>138793</xdr:rowOff>
    </xdr:to>
    <xdr:sp macro="" textlink="">
      <xdr:nvSpPr>
        <xdr:cNvPr id="11" name="Rectángulo: esquinas redondeadas 10">
          <a:extLst>
            <a:ext uri="{FF2B5EF4-FFF2-40B4-BE49-F238E27FC236}">
              <a16:creationId xmlns:a16="http://schemas.microsoft.com/office/drawing/2014/main" id="{70CA48B9-804A-42FC-A28D-C0153F4DF06D}"/>
            </a:ext>
          </a:extLst>
        </xdr:cNvPr>
        <xdr:cNvSpPr/>
      </xdr:nvSpPr>
      <xdr:spPr>
        <a:xfrm>
          <a:off x="6874329" y="4207329"/>
          <a:ext cx="5891893" cy="4313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263978</xdr:colOff>
      <xdr:row>36</xdr:row>
      <xdr:rowOff>114301</xdr:rowOff>
    </xdr:from>
    <xdr:to>
      <xdr:col>23</xdr:col>
      <xdr:colOff>127907</xdr:colOff>
      <xdr:row>45</xdr:row>
      <xdr:rowOff>168729</xdr:rowOff>
    </xdr:to>
    <xdr:sp macro="" textlink="">
      <xdr:nvSpPr>
        <xdr:cNvPr id="12" name="Rectángulo: esquinas redondeadas 11">
          <a:extLst>
            <a:ext uri="{FF2B5EF4-FFF2-40B4-BE49-F238E27FC236}">
              <a16:creationId xmlns:a16="http://schemas.microsoft.com/office/drawing/2014/main" id="{B085AA9D-0810-4EAA-AA61-F1ED9D578A9A}"/>
            </a:ext>
          </a:extLst>
        </xdr:cNvPr>
        <xdr:cNvSpPr/>
      </xdr:nvSpPr>
      <xdr:spPr>
        <a:xfrm>
          <a:off x="13979978" y="6972301"/>
          <a:ext cx="3673929" cy="1768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619126</xdr:colOff>
      <xdr:row>24</xdr:row>
      <xdr:rowOff>38098</xdr:rowOff>
    </xdr:from>
    <xdr:to>
      <xdr:col>5</xdr:col>
      <xdr:colOff>234951</xdr:colOff>
      <xdr:row>45</xdr:row>
      <xdr:rowOff>101598</xdr:rowOff>
    </xdr:to>
    <xdr:graphicFrame macro="">
      <xdr:nvGraphicFramePr>
        <xdr:cNvPr id="15" name="Gráfico 14">
          <a:extLst>
            <a:ext uri="{FF2B5EF4-FFF2-40B4-BE49-F238E27FC236}">
              <a16:creationId xmlns:a16="http://schemas.microsoft.com/office/drawing/2014/main" id="{64707003-DFF8-44F1-BBA8-911BCED88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514348</xdr:colOff>
      <xdr:row>24</xdr:row>
      <xdr:rowOff>133350</xdr:rowOff>
    </xdr:from>
    <xdr:to>
      <xdr:col>18</xdr:col>
      <xdr:colOff>6348</xdr:colOff>
      <xdr:row>46</xdr:row>
      <xdr:rowOff>6350</xdr:rowOff>
    </xdr:to>
    <xdr:graphicFrame macro="">
      <xdr:nvGraphicFramePr>
        <xdr:cNvPr id="16" name="Gráfico 15">
          <a:extLst>
            <a:ext uri="{FF2B5EF4-FFF2-40B4-BE49-F238E27FC236}">
              <a16:creationId xmlns:a16="http://schemas.microsoft.com/office/drawing/2014/main" id="{5FD51140-4C66-4A11-AD12-F4C195062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O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S"/>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Lorenzo Otaño" id="{75B8363E-FD14-4457-9957-CAB8F0AF77D5}" userId="bb8f8d851f7487d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Otaño" refreshedDate="45770.717688657409" createdVersion="8" refreshedVersion="8" minRefreshableVersion="3" recordCount="54" xr:uid="{9C8DF47A-9360-42C7-ADF5-56E1DEE24831}">
  <cacheSource type="worksheet">
    <worksheetSource ref="A2:H70" sheet="SUELDOS"/>
  </cacheSource>
  <cacheFields count="8">
    <cacheField name="Año" numFmtId="0">
      <sharedItems containsSemiMixedTypes="0" containsString="0" containsNumber="1" containsInteger="1" minValue="2021" maxValue="2025" count="5">
        <n v="2021"/>
        <n v="2022"/>
        <n v="2023"/>
        <n v="2024"/>
        <n v="2025"/>
      </sharedItems>
    </cacheField>
    <cacheField name="Mes" numFmtId="0">
      <sharedItems count="12">
        <s v="Julio"/>
        <s v="Agosto"/>
        <s v="Septiembre"/>
        <s v="Octubre"/>
        <s v="Noviembre"/>
        <s v="Diciembre"/>
        <s v="Enero"/>
        <s v="Febrero"/>
        <s v="Marzo"/>
        <s v="Abril"/>
        <s v="Mayo"/>
        <s v="Junio"/>
      </sharedItems>
    </cacheField>
    <cacheField name="ERD" numFmtId="164">
      <sharedItems containsSemiMixedTypes="0" containsString="0" containsNumber="1" minValue="26500" maxValue="89000"/>
    </cacheField>
    <cacheField name="MARVESA" numFmtId="164">
      <sharedItems containsSemiMixedTypes="0" containsString="0" containsNumber="1" minValue="58466.92" maxValue="74886"/>
    </cacheField>
    <cacheField name="HMNSA" numFmtId="0">
      <sharedItems containsSemiMixedTypes="0" containsString="0" containsNumber="1" minValue="34954.57" maxValue="62609.62"/>
    </cacheField>
    <cacheField name="HONORARIOS" numFmtId="164">
      <sharedItems containsString="0" containsBlank="1" containsNumber="1" minValue="0" maxValue="829822.23800000013"/>
    </cacheField>
    <cacheField name="CONSULTAS" numFmtId="164">
      <sharedItems containsString="0" containsBlank="1" containsNumber="1" containsInteger="1" minValue="0" maxValue="30000"/>
    </cacheField>
    <cacheField name="TOTAL DEL MES" numFmtId="164">
      <sharedItems containsSemiMixedTypes="0" containsString="0" containsNumber="1" minValue="188907.03999999998" maxValue="1018729.2780000002"/>
    </cacheField>
  </cacheFields>
  <extLst>
    <ext xmlns:x14="http://schemas.microsoft.com/office/spreadsheetml/2009/9/main" uri="{725AE2AE-9491-48be-B2B4-4EB974FC3084}">
      <x14:pivotCacheDefinition pivotCacheId="11498678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Otaño" refreshedDate="45772.430092592593" createdVersion="8" refreshedVersion="8" minRefreshableVersion="3" recordCount="176" xr:uid="{3311E958-6F86-489A-AD09-FA423662F8DC}">
  <cacheSource type="worksheet">
    <worksheetSource name="Detalles2025"/>
  </cacheSource>
  <cacheFields count="36">
    <cacheField name="Fecha" numFmtId="14">
      <sharedItems containsSemiMixedTypes="0" containsNonDate="0" containsDate="1" containsString="0" minDate="2025-01-01T00:00:00" maxDate="2025-04-27T00:00:00" count="81">
        <d v="2025-01-20T00:00:00"/>
        <d v="2025-01-18T00:00:00"/>
        <d v="2025-01-31T00:00:00"/>
        <d v="2025-01-07T00:00:00"/>
        <d v="2025-01-26T00:00:00"/>
        <d v="2025-01-16T00:00:00"/>
        <d v="2025-01-24T00:00:00"/>
        <d v="2025-01-01T00:00:00"/>
        <d v="2025-01-04T00:00:00"/>
        <d v="2025-01-08T00:00:00"/>
        <d v="2025-01-06T00:00:00"/>
        <d v="2025-01-22T00:00:00"/>
        <d v="2025-01-30T00:00:00"/>
        <d v="2025-01-09T00:00:00"/>
        <d v="2025-01-27T00:00:00"/>
        <d v="2025-01-29T00:00:00"/>
        <d v="2025-01-14T00:00:00"/>
        <d v="2025-01-03T00:00:00"/>
        <d v="2025-01-19T00:00:00"/>
        <d v="2025-01-21T00:00:00"/>
        <d v="2025-01-17T00:00:00"/>
        <d v="2025-01-10T00:00:00"/>
        <d v="2025-02-04T00:00:00"/>
        <d v="2025-02-05T00:00:00"/>
        <d v="2025-02-26T00:00:00"/>
        <d v="2025-02-12T00:00:00"/>
        <d v="2025-02-19T00:00:00"/>
        <d v="2025-02-13T00:00:00"/>
        <d v="2025-02-16T00:00:00"/>
        <d v="2025-02-08T00:00:00"/>
        <d v="2025-02-01T00:00:00"/>
        <d v="2025-02-18T00:00:00"/>
        <d v="2025-02-17T00:00:00"/>
        <d v="2025-02-03T00:00:00"/>
        <d v="2025-02-24T00:00:00"/>
        <d v="2025-02-07T00:00:00"/>
        <d v="2025-02-11T00:00:00"/>
        <d v="2025-02-14T00:00:00"/>
        <d v="2025-02-23T00:00:00"/>
        <d v="2025-02-27T00:00:00"/>
        <d v="2025-02-28T00:00:00"/>
        <d v="2025-02-20T00:00:00"/>
        <d v="2025-02-10T00:00:00"/>
        <d v="2025-03-24T00:00:00"/>
        <d v="2025-03-04T00:00:00"/>
        <d v="2025-03-16T00:00:00"/>
        <d v="2025-03-01T00:00:00"/>
        <d v="2025-03-20T00:00:00"/>
        <d v="2025-03-27T00:00:00"/>
        <d v="2025-03-12T00:00:00"/>
        <d v="2025-03-06T00:00:00"/>
        <d v="2025-03-07T00:00:00"/>
        <d v="2025-03-22T00:00:00"/>
        <d v="2025-03-26T00:00:00"/>
        <d v="2025-03-15T00:00:00"/>
        <d v="2025-03-11T00:00:00"/>
        <d v="2025-03-05T00:00:00"/>
        <d v="2025-03-21T00:00:00"/>
        <d v="2025-03-28T00:00:00"/>
        <d v="2025-03-19T00:00:00"/>
        <d v="2025-03-09T00:00:00"/>
        <d v="2025-03-14T00:00:00"/>
        <d v="2025-03-31T00:00:00"/>
        <d v="2025-03-10T00:00:00"/>
        <d v="2025-04-11T00:00:00"/>
        <d v="2025-04-26T00:00:00"/>
        <d v="2025-04-21T00:00:00"/>
        <d v="2025-04-08T00:00:00"/>
        <d v="2025-04-16T00:00:00"/>
        <d v="2025-04-19T00:00:00"/>
        <d v="2025-04-03T00:00:00"/>
        <d v="2025-04-10T00:00:00"/>
        <d v="2025-04-05T00:00:00"/>
        <d v="2025-04-13T00:00:00"/>
        <d v="2025-04-14T00:00:00"/>
        <d v="2025-04-24T00:00:00"/>
        <d v="2025-04-04T00:00:00"/>
        <d v="2025-04-01T00:00:00"/>
        <d v="2025-04-18T00:00:00"/>
        <d v="2025-04-22T00:00:00"/>
        <d v="2025-04-23T00:00:00"/>
      </sharedItems>
      <fieldGroup par="35"/>
    </cacheField>
    <cacheField name="Año" numFmtId="14">
      <sharedItems containsBlank="1" count="2">
        <s v="2025"/>
        <m u="1"/>
      </sharedItems>
    </cacheField>
    <cacheField name="Mes" numFmtId="14">
      <sharedItems containsBlank="1" count="5">
        <s v="enero"/>
        <s v="febrero"/>
        <s v="marzo"/>
        <s v="abril"/>
        <m u="1"/>
      </sharedItems>
    </cacheField>
    <cacheField name="Dia de la semana" numFmtId="14">
      <sharedItems count="7">
        <s v="lunes"/>
        <s v="sábado"/>
        <s v="viernes"/>
        <s v="martes"/>
        <s v="domingo"/>
        <s v="jueves"/>
        <s v="miércoles"/>
      </sharedItems>
    </cacheField>
    <cacheField name="RNC o Cédula" numFmtId="49">
      <sharedItems containsMixedTypes="1" containsNumber="1" containsInteger="1" minValue="430078549" maxValue="430078549"/>
    </cacheField>
    <cacheField name="Tipo Id" numFmtId="0">
      <sharedItems containsSemiMixedTypes="0" containsString="0" containsNumber="1" containsInteger="1" minValue="1" maxValue="2"/>
    </cacheField>
    <cacheField name="Tipo Bienes y Servicios Comprados" numFmtId="0">
      <sharedItems containsSemiMixedTypes="0" containsString="0" containsNumber="1" containsInteger="1" minValue="1" maxValue="12"/>
    </cacheField>
    <cacheField name="Descripción" numFmtId="43">
      <sharedItems/>
    </cacheField>
    <cacheField name="NCF" numFmtId="0">
      <sharedItems containsBlank="1" containsMixedTypes="1" containsNumber="1" containsInteger="1" minValue="0" maxValue="0"/>
    </cacheField>
    <cacheField name="NCF ó Documento Modificado" numFmtId="0">
      <sharedItems containsString="0" containsBlank="1" containsNumber="1" containsInteger="1" minValue="202501" maxValue="202501"/>
    </cacheField>
    <cacheField name="Fecha Comprobante" numFmtId="0">
      <sharedItems containsSemiMixedTypes="0" containsString="0" containsNumber="1" containsInteger="1" minValue="202501" maxValue="202504"/>
    </cacheField>
    <cacheField name="Dia" numFmtId="0">
      <sharedItems containsSemiMixedTypes="0" containsString="0" containsNumber="1" containsInteger="1" minValue="1" maxValue="31"/>
    </cacheField>
    <cacheField name="Fecha Pago   " numFmtId="0">
      <sharedItems containsNonDate="0" containsString="0" containsBlank="1"/>
    </cacheField>
    <cacheField name="Columna2" numFmtId="0">
      <sharedItems containsString="0" containsBlank="1" containsNumber="1" containsInteger="1" minValue="7300" maxValue="7300"/>
    </cacheField>
    <cacheField name="Monto Facturado en Servicios" numFmtId="0">
      <sharedItems containsSemiMixedTypes="0" containsString="0" containsNumber="1" minValue="0" maxValue="8672"/>
    </cacheField>
    <cacheField name="Monto Facturado en Bienes" numFmtId="0">
      <sharedItems containsString="0" containsBlank="1" containsNumber="1" minValue="0" maxValue="48000"/>
    </cacheField>
    <cacheField name="Monto Facturado" numFmtId="43">
      <sharedItems containsSemiMixedTypes="0" containsString="0" containsNumber="1" minValue="0" maxValue="48000"/>
    </cacheField>
    <cacheField name="ITBIS Facturado" numFmtId="165">
      <sharedItems containsString="0" containsBlank="1" containsNumber="1" minValue="0" maxValue="1630.8"/>
    </cacheField>
    <cacheField name="ITBIS Retenido" numFmtId="165">
      <sharedItems containsString="0" containsBlank="1" containsNumber="1" containsInteger="1" minValue="0" maxValue="0"/>
    </cacheField>
    <cacheField name="ITBIS sujeto a Proporcionalidad (Art. 349)" numFmtId="165">
      <sharedItems containsString="0" containsBlank="1" containsNumber="1" containsInteger="1" minValue="0" maxValue="7300"/>
    </cacheField>
    <cacheField name="ITBIS llevado al Costo" numFmtId="165">
      <sharedItems containsString="0" containsBlank="1" containsNumber="1" containsInteger="1" minValue="0" maxValue="0"/>
    </cacheField>
    <cacheField name="ITBIS por Adelantar" numFmtId="0">
      <sharedItems containsBlank="1" containsMixedTypes="1" containsNumber="1" containsInteger="1" minValue="0" maxValue="0"/>
    </cacheField>
    <cacheField name="ITBIS percibido en compras" numFmtId="0">
      <sharedItems containsBlank="1" containsMixedTypes="1" containsNumber="1" containsInteger="1" minValue="0" maxValue="0"/>
    </cacheField>
    <cacheField name="Tipo de Retención en ISR" numFmtId="165">
      <sharedItems containsBlank="1" containsMixedTypes="1" containsNumber="1" containsInteger="1" minValue="0" maxValue="0"/>
    </cacheField>
    <cacheField name="Monto Retención Renta" numFmtId="165">
      <sharedItems containsString="0" containsBlank="1" containsNumber="1" containsInteger="1" minValue="0" maxValue="0"/>
    </cacheField>
    <cacheField name="ISR Percibido en compras" numFmtId="165">
      <sharedItems containsString="0" containsBlank="1" containsNumber="1" containsInteger="1" minValue="0" maxValue="0"/>
    </cacheField>
    <cacheField name="Impuesto Selectivo al Consumo" numFmtId="165">
      <sharedItems containsString="0" containsBlank="1" containsNumber="1" minValue="0" maxValue="240.77"/>
    </cacheField>
    <cacheField name="Otros Impuesto/Tasas" numFmtId="165">
      <sharedItems containsString="0" containsBlank="1" containsNumber="1" minValue="0" maxValue="48.15"/>
    </cacheField>
    <cacheField name="Monto Propina Legal" numFmtId="165">
      <sharedItems containsString="0" containsBlank="1" containsNumber="1" minValue="0" maxValue="906"/>
    </cacheField>
    <cacheField name="Total Facturado" numFmtId="165">
      <sharedItems containsSemiMixedTypes="0" containsString="0" containsNumber="1" minValue="0" maxValue="48000"/>
    </cacheField>
    <cacheField name="Forma de Pago" numFmtId="165">
      <sharedItems/>
    </cacheField>
    <cacheField name="Suplidor" numFmtId="0">
      <sharedItems count="34">
        <s v="Strata, S.R.L."/>
        <s v="U.S. POLO ASSN"/>
        <s v="Little Ceasars Pizza Alma Rosa"/>
        <s v="No Registrado"/>
        <s v="Banco Dominicano del Progreso, S. A.//Banco Multiple"/>
        <s v="Floremch Importaciones SRL"/>
        <s v="Farmacía Medicar GBC, A. H."/>
        <s v="Abastek Marketing SRL"/>
        <s v="Farmacia VIP Mendo SRL"/>
        <s v="Grupo VARNET"/>
        <s v="INDY PLAZA"/>
        <s v="Bravo, S.A.//Supermercados Bravo"/>
        <s v="Jade Teriyaki, S.A."/>
        <s v="Pricesmart Dominicana S. A."/>
        <s v="Centro Cuesta Nacional S.A.S.//Supermercados Nacional//Casa Cuesta//Ferretería Cuesta//JUMBO//Bebemundo"/>
        <s v="MARYSOF IS GOOD SRL"/>
        <s v="Almacenes Unidos, S.A.S."/>
        <s v="ACADEMIA EUROPEA"/>
        <s v="COLEGIO SANTA ROSA DE LIMA"/>
        <s v="CLARO//CODETEL"/>
        <s v="EDEESTE"/>
        <s v="Fundacion Cristiana de Consolacion y Ayuda"/>
        <s v="Isla Dominicana de Petroleo, Corp."/>
        <s v="NOCCIOLA FOOD HALL SRL"/>
        <s v="EL CORRIDO TAQUERIA RESTAURANT"/>
        <s v="Kentucky Foods Group Limited//KFC"/>
        <s v="Narex, S.A.//Pizza Hut"/>
        <s v="Grupo Ramos, S. A.//Super Pola//La Sirena"/>
        <s v="FERRETERIA Y ELECTODOSMETICOS PUERTO RICO SRL"/>
        <s v="Envasadora Gas Caribe Principal"/>
        <s v="Almacenes Garrido"/>
        <s v="Ferreziro SRL"/>
        <s v="Mc Donalds Los Pinos"/>
        <s v="Encajes La Rosario, S.R.L."/>
      </sharedItems>
    </cacheField>
    <cacheField name="Producto" numFmtId="0">
      <sharedItems count="40">
        <s v="Gasolina"/>
        <s v="Diesel"/>
        <s v="tienda"/>
        <s v="Cena Familiar"/>
        <s v="Mesada"/>
        <s v="Hipoteca"/>
        <s v="BHD"/>
        <s v="Popular"/>
        <s v="salud"/>
        <s v="Mantenimiento de CRV"/>
        <s v="Compra supermercado"/>
        <s v="Compra de libros"/>
        <s v="Mantenimiento Hilux"/>
        <s v="Cumpleaños de Javier"/>
        <s v="Ingles"/>
        <s v="Colegio"/>
        <s v="Telefono "/>
        <s v="Celular"/>
        <s v="Luz"/>
        <s v="Liga Baseball"/>
        <s v="Gimnasio"/>
        <s v="Odontologo"/>
        <s v="Netflix"/>
        <s v="Chatgpt"/>
        <s v="Gas Propano"/>
        <s v="Café"/>
        <s v="Herramientas"/>
        <s v="Materiar Escolar"/>
        <s v="Ropa"/>
        <s v="Materiales de pc"/>
        <s v="Cumpleaños de Yajaira"/>
        <s v="Lave del Lava manos del baño"/>
        <s v="Dermatologia"/>
        <s v="Teclado"/>
        <s v="Libro"/>
        <s v="Comida Familiar"/>
        <s v="pago a tito"/>
        <s v="Compra de picadera "/>
        <s v="materiales para colegio"/>
        <s v="Material para el colegio"/>
      </sharedItems>
    </cacheField>
    <cacheField name="Objeto del gasto" numFmtId="165">
      <sharedItems containsBlank="1" count="13">
        <s v="CRV"/>
        <s v="HILUX"/>
        <s v="casa"/>
        <s v="Restorant"/>
        <s v="Yajaira"/>
        <s v="Yahelis"/>
        <s v="Javier"/>
        <s v="Lorena"/>
        <s v="Andres"/>
        <s v="Prestamo"/>
        <s v="Salud"/>
        <s v="Ernesto"/>
        <m u="1"/>
      </sharedItems>
    </cacheField>
    <cacheField name="Días (Fecha)" numFmtId="0" databaseField="0">
      <fieldGroup base="0">
        <rangePr groupBy="days" startDate="2025-01-01T00:00:00" endDate="2025-04-27T00:00:00"/>
        <groupItems count="368">
          <s v="&lt;01/01/2025"/>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27/04/2025"/>
        </groupItems>
      </fieldGroup>
    </cacheField>
    <cacheField name="Meses (Fecha)" numFmtId="0" databaseField="0">
      <fieldGroup base="0">
        <rangePr groupBy="months" startDate="2025-01-01T00:00:00" endDate="2025-04-27T00:00:00"/>
        <groupItems count="14">
          <s v="&lt;01/01/2025"/>
          <s v="ene"/>
          <s v="feb"/>
          <s v="mar"/>
          <s v="abr"/>
          <s v="may"/>
          <s v="jun"/>
          <s v="jul"/>
          <s v="ago"/>
          <s v="sep"/>
          <s v="oct"/>
          <s v="nov"/>
          <s v="dic"/>
          <s v="&gt;27/04/2025"/>
        </groupItems>
      </fieldGroup>
    </cacheField>
  </cacheFields>
  <extLst>
    <ext xmlns:x14="http://schemas.microsoft.com/office/spreadsheetml/2009/9/main" uri="{725AE2AE-9491-48be-B2B4-4EB974FC3084}">
      <x14:pivotCacheDefinition pivotCacheId="176168129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Otaño" refreshedDate="45782.400663657405" createdVersion="8" refreshedVersion="8" minRefreshableVersion="3" recordCount="72" xr:uid="{B155EE36-6F38-40C6-8C20-438F77CBA307}">
  <cacheSource type="worksheet">
    <worksheetSource name="ingreso_egreso"/>
  </cacheSource>
  <cacheFields count="12">
    <cacheField name="Fecha" numFmtId="14">
      <sharedItems containsSemiMixedTypes="0" containsNonDate="0" containsDate="1" containsString="0" minDate="2025-04-01T00:00:00" maxDate="2025-04-27T00:00:00" count="22">
        <d v="2025-04-26T00:00:00"/>
        <d v="2025-04-25T00:00:00"/>
        <d v="2025-04-24T00:00:00"/>
        <d v="2025-04-23T00:00:00"/>
        <d v="2025-04-22T00:00:00"/>
        <d v="2025-04-21T00:00:00"/>
        <d v="2025-04-20T00:00:00"/>
        <d v="2025-04-19T00:00:00"/>
        <d v="2025-04-18T00:00:00"/>
        <d v="2025-04-16T00:00:00"/>
        <d v="2025-04-17T00:00:00"/>
        <d v="2025-04-15T00:00:00"/>
        <d v="2025-04-14T00:00:00"/>
        <d v="2025-04-13T00:00:00"/>
        <d v="2025-04-11T00:00:00"/>
        <d v="2025-04-10T00:00:00"/>
        <d v="2025-04-09T00:00:00"/>
        <d v="2025-04-08T00:00:00"/>
        <d v="2025-04-05T00:00:00"/>
        <d v="2025-04-01T00:00:00"/>
        <d v="2025-04-04T00:00:00"/>
        <d v="2025-04-02T00:00:00"/>
      </sharedItems>
      <fieldGroup par="11"/>
    </cacheField>
    <cacheField name="Categoría" numFmtId="0">
      <sharedItems count="12">
        <s v="Educación"/>
        <s v="Alimentación"/>
        <s v="Deudas"/>
        <s v="Otros gastos"/>
        <s v="Salud"/>
        <s v="Vivienda"/>
        <s v="Ingresos"/>
        <s v="Entretenimiento"/>
        <s v="Transporte"/>
        <s v="Telecomunicacion"/>
        <s v="Ropa y Calzado"/>
        <s v="Inversión"/>
      </sharedItems>
    </cacheField>
    <cacheField name="Subcategoría" numFmtId="0">
      <sharedItems/>
    </cacheField>
    <cacheField name="Descripción" numFmtId="0">
      <sharedItems count="48">
        <s v="Liga de baseball"/>
        <s v="Regalos de cumpleaños"/>
        <s v="Credimas"/>
        <s v="compras varias"/>
        <s v="Hipertension"/>
        <s v="Prestamo BHD2"/>
        <s v="Gas"/>
        <s v="Salario mensual"/>
        <s v="Encaje La Rosario"/>
        <s v="Compras quincenales"/>
        <s v="Ferrecentro"/>
        <s v="Diferencia en clinica"/>
        <s v="Ferreteria Celma"/>
        <s v="Pago mensual"/>
        <s v="Netflix"/>
        <s v="Disney"/>
        <s v="Chatgpt"/>
        <s v="Salida a cenar"/>
        <s v="Retiro de cajero"/>
        <s v="Luz"/>
        <s v="Mercado local"/>
        <s v="Airplus"/>
        <s v="Combustible Hilux"/>
        <s v="Insentivo del Hospital"/>
        <s v="Salon de Belleza"/>
        <s v="Servicio de Supervisor Hospital Central"/>
        <s v="Ortodonsia"/>
        <s v="Dermatologia"/>
        <s v="Pizza Hut"/>
        <s v="Pago de internet"/>
        <s v="Celular Yajaira"/>
        <s v="Celular Ernesto"/>
        <s v="Torneo Sanky"/>
        <s v="Academia Europea"/>
        <s v="Combustible CRV"/>
        <s v="iCloud"/>
        <s v="Microsoft"/>
        <s v="Compra de ropa casual"/>
        <s v="Prestamo Popular"/>
        <s v="Prestamo BHD1"/>
        <s v="Empresa Cesar Iglecia"/>
        <s v="Interative Broker"/>
        <s v="Quik"/>
        <s v="Exodus"/>
        <s v="Total prestamo popular"/>
        <s v="Total de prestamo Bhd"/>
        <s v="Total de prestamo Hipotecario"/>
        <s v="Total tarjeta de credito"/>
      </sharedItems>
    </cacheField>
    <cacheField name="Monto" numFmtId="0">
      <sharedItems containsSemiMixedTypes="0" containsString="0" containsNumber="1" minValue="0" maxValue="3511000"/>
    </cacheField>
    <cacheField name="Tipo" numFmtId="0">
      <sharedItems count="5">
        <s v="Gasto"/>
        <s v="Gasto Financieros"/>
        <s v="Ingreso"/>
        <s v="Ahorro"/>
        <s v="Pendiente de pago"/>
      </sharedItems>
    </cacheField>
    <cacheField name="Método de pago" numFmtId="0">
      <sharedItems/>
    </cacheField>
    <cacheField name="Persona" numFmtId="0">
      <sharedItems/>
    </cacheField>
    <cacheField name="Días (Fecha)" numFmtId="0" databaseField="0">
      <fieldGroup base="0">
        <rangePr groupBy="days" startDate="2025-04-01T00:00:00" endDate="2025-04-27T00:00:00"/>
        <groupItems count="368">
          <s v="&lt;01/04/2025"/>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27/04/2025"/>
        </groupItems>
      </fieldGroup>
    </cacheField>
    <cacheField name="Meses (Fecha)" numFmtId="0" databaseField="0">
      <fieldGroup base="0">
        <rangePr groupBy="months" startDate="2025-04-01T00:00:00" endDate="2025-04-27T00:00:00"/>
        <groupItems count="14">
          <s v="&lt;01/04/2025"/>
          <s v="ene"/>
          <s v="feb"/>
          <s v="mar"/>
          <s v="abr"/>
          <s v="may"/>
          <s v="jun"/>
          <s v="jul"/>
          <s v="ago"/>
          <s v="sep"/>
          <s v="oct"/>
          <s v="nov"/>
          <s v="dic"/>
          <s v="&gt;27/04/2025"/>
        </groupItems>
      </fieldGroup>
    </cacheField>
    <cacheField name="Trimestres (Fecha)" numFmtId="0" databaseField="0">
      <fieldGroup base="0">
        <rangePr groupBy="quarters" startDate="2025-04-01T00:00:00" endDate="2025-04-27T00:00:00"/>
        <groupItems count="6">
          <s v="&lt;01/04/2025"/>
          <s v="Trim.1"/>
          <s v="Trim.2"/>
          <s v="Trim.3"/>
          <s v="Trim.4"/>
          <s v="&gt;27/04/2025"/>
        </groupItems>
      </fieldGroup>
    </cacheField>
    <cacheField name="Años (Fecha)" numFmtId="0" databaseField="0">
      <fieldGroup base="0">
        <rangePr groupBy="years" startDate="2025-04-01T00:00:00" endDate="2025-04-27T00:00:00"/>
        <groupItems count="3">
          <s v="&lt;01/04/2025"/>
          <s v="2025"/>
          <s v="&gt;27/04/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Otaño" refreshedDate="45784.393323263888" createdVersion="8" refreshedVersion="8" minRefreshableVersion="3" recordCount="32" xr:uid="{F53A90C8-6D70-4259-AE0F-4B614E9936E2}">
  <cacheSource type="worksheet">
    <worksheetSource name="pres"/>
  </cacheSource>
  <cacheFields count="6">
    <cacheField name="Fecha" numFmtId="17">
      <sharedItems containsSemiMixedTypes="0" containsNonDate="0" containsDate="1" containsString="0" minDate="2025-04-01T00:00:00" maxDate="2025-05-02T00:00:00" count="2">
        <d v="2025-05-01T00:00:00"/>
        <d v="2025-04-01T00:00:00" u="1"/>
      </sharedItems>
    </cacheField>
    <cacheField name="Categoría" numFmtId="0">
      <sharedItems/>
    </cacheField>
    <cacheField name="Subcategoría" numFmtId="0">
      <sharedItems/>
    </cacheField>
    <cacheField name="Descripción" numFmtId="0">
      <sharedItems/>
    </cacheField>
    <cacheField name="Monto" numFmtId="0">
      <sharedItems containsSemiMixedTypes="0" containsString="0" containsNumber="1" minValue="500" maxValue="93000"/>
    </cacheField>
    <cacheField name="Tipo" numFmtId="0">
      <sharedItems count="4">
        <s v="Gasto"/>
        <s v="Gasto Financieros"/>
        <s v="Ingreso"/>
        <s v="Cobro pendient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Otaño" refreshedDate="45786.764488310182" createdVersion="8" refreshedVersion="8" minRefreshableVersion="3" recordCount="256" xr:uid="{8C34D40F-DBC8-48D2-A90E-7CCF06D1ABDD}">
  <cacheSource type="worksheet">
    <worksheetSource name="Honorarios"/>
  </cacheSource>
  <cacheFields count="13">
    <cacheField name="FECHA" numFmtId="14">
      <sharedItems containsSemiMixedTypes="0" containsNonDate="0" containsDate="1" containsString="0" minDate="2021-07-05T00:00:00" maxDate="2025-04-06T00:00:00" count="44">
        <d v="2021-07-05T00:00:00"/>
        <d v="2021-08-05T00:00:00"/>
        <d v="2021-09-05T00:00:00"/>
        <d v="2021-10-05T00:00:00"/>
        <d v="2021-11-05T00:00:00"/>
        <d v="2021-12-05T00:00:00"/>
        <d v="2022-01-05T00:00:00"/>
        <d v="2022-02-05T00:00:00"/>
        <d v="2022-03-05T00:00:00"/>
        <d v="2022-04-05T00:00:00"/>
        <d v="2022-05-05T00:00:00"/>
        <d v="2022-06-05T00:00:00"/>
        <d v="2022-07-05T00:00:00"/>
        <d v="2022-08-05T00:00:00"/>
        <d v="2022-09-05T00:00:00"/>
        <d v="2022-10-05T00:00:00"/>
        <d v="2022-11-05T00:00:00"/>
        <d v="2022-12-05T00:00:00"/>
        <d v="2023-01-05T00:00:00"/>
        <d v="2023-02-05T00:00:00"/>
        <d v="2023-03-05T00:00:00"/>
        <d v="2023-04-05T00:00:00"/>
        <d v="2023-05-05T00:00:00"/>
        <d v="2023-06-05T00:00:00"/>
        <d v="2023-07-05T00:00:00"/>
        <d v="2023-08-05T00:00:00"/>
        <d v="2023-09-05T00:00:00"/>
        <d v="2023-10-05T00:00:00"/>
        <d v="2023-11-05T00:00:00"/>
        <d v="2023-12-05T00:00:00"/>
        <d v="2024-01-05T00:00:00"/>
        <d v="2024-02-05T00:00:00"/>
        <d v="2024-04-05T00:00:00"/>
        <d v="2024-05-05T00:00:00"/>
        <d v="2024-06-05T00:00:00"/>
        <d v="2024-07-05T00:00:00"/>
        <d v="2024-08-05T00:00:00"/>
        <d v="2024-09-05T00:00:00"/>
        <d v="2024-10-05T00:00:00"/>
        <d v="2024-11-05T00:00:00"/>
        <d v="2024-12-05T00:00:00"/>
        <d v="2025-02-05T00:00:00"/>
        <d v="2025-03-05T00:00:00"/>
        <d v="2025-04-05T00:00:00"/>
      </sharedItems>
      <fieldGroup par="12"/>
    </cacheField>
    <cacheField name="ARS" numFmtId="0">
      <sharedItems count="33">
        <s v="SENASA"/>
        <s v="HUMANO"/>
        <s v="MAPFRE"/>
        <s v="P-HUMANO"/>
        <s v="SEMMA"/>
        <s v="UNIVERSAL"/>
        <s v="GMA"/>
        <s v="FUTURO"/>
        <s v="Yunen"/>
        <s v="RENACER"/>
        <s v="APS"/>
        <s v="ASEMAP"/>
        <s v="MONUMENTAL"/>
        <s v="RESERVAS"/>
        <s v="Integral III"/>
        <s v="META SALUD"/>
        <s v="clinica integral 3"/>
        <s v="integral 3"/>
        <s v="METASALUD"/>
        <s v="BANCO CENTRAL"/>
        <s v="BANCO Reservas"/>
        <s v="Monumantel"/>
        <s v="SEGUROS YUNEN"/>
        <s v="cli integral 3"/>
        <s v="GMSM"/>
        <s v="Fututo"/>
        <s v="CMD"/>
        <s v="integrar III"/>
        <s v="senasa "/>
        <s v="Mapfre Salud"/>
        <s v="PH"/>
        <s v="P-H"/>
        <s v="INTEGRAL"/>
      </sharedItems>
    </cacheField>
    <cacheField name="RNC" numFmtId="0">
      <sharedItems/>
    </cacheField>
    <cacheField name="MONTO FACTURADO" numFmtId="0">
      <sharedItems containsString="0" containsBlank="1" containsNumber="1" minValue="500" maxValue="649016"/>
    </cacheField>
    <cacheField name="MONTO RETENIDO(RENTA)" numFmtId="0">
      <sharedItems containsBlank="1" containsMixedTypes="1" containsNumber="1" minValue="50" maxValue="64901.600000000006"/>
    </cacheField>
    <cacheField name="TOTAL A PAGAR " numFmtId="0">
      <sharedItems containsString="0" containsBlank="1" containsNumber="1" minValue="450" maxValue="584114.4"/>
    </cacheField>
    <cacheField name="FECHA DE ENTREGA" numFmtId="14">
      <sharedItems containsDate="1" containsBlank="1" containsMixedTypes="1" minDate="2021-05-04T00:00:00" maxDate="2025-04-06T00:00:00"/>
    </cacheField>
    <cacheField name="FECHA DE PAGO" numFmtId="14">
      <sharedItems containsDate="1" containsBlank="1" containsMixedTypes="1" minDate="2021-08-05T00:00:00" maxDate="2025-05-13T00:00:00"/>
    </cacheField>
    <cacheField name="Estatus" numFmtId="0">
      <sharedItems count="3">
        <s v="Pagada"/>
        <s v="Nulo"/>
        <s v="Pendiente de pago"/>
      </sharedItems>
    </cacheField>
    <cacheField name="OBSERVACIONES" numFmtId="0">
      <sharedItems containsBlank="1"/>
    </cacheField>
    <cacheField name="Meses (FECHA)" numFmtId="0" databaseField="0">
      <fieldGroup base="0">
        <rangePr groupBy="months" startDate="2021-07-05T00:00:00" endDate="2025-04-06T00:00:00"/>
        <groupItems count="14">
          <s v="&lt;05/07/2021"/>
          <s v="ene"/>
          <s v="feb"/>
          <s v="mar"/>
          <s v="abr"/>
          <s v="may"/>
          <s v="jun"/>
          <s v="jul"/>
          <s v="ago"/>
          <s v="sep"/>
          <s v="oct"/>
          <s v="nov"/>
          <s v="dic"/>
          <s v="&gt;06/04/2025"/>
        </groupItems>
      </fieldGroup>
    </cacheField>
    <cacheField name="Trimestres (FECHA)" numFmtId="0" databaseField="0">
      <fieldGroup base="0">
        <rangePr groupBy="quarters" startDate="2021-07-05T00:00:00" endDate="2025-04-06T00:00:00"/>
        <groupItems count="6">
          <s v="&lt;05/07/2021"/>
          <s v="Trim.1"/>
          <s v="Trim.2"/>
          <s v="Trim.3"/>
          <s v="Trim.4"/>
          <s v="&gt;06/04/2025"/>
        </groupItems>
      </fieldGroup>
    </cacheField>
    <cacheField name="Años (FECHA)" numFmtId="0" databaseField="0">
      <fieldGroup base="0">
        <rangePr groupBy="years" startDate="2021-07-05T00:00:00" endDate="2025-04-06T00:00:00"/>
        <groupItems count="7">
          <s v="&lt;05/07/2021"/>
          <s v="2021"/>
          <s v="2022"/>
          <s v="2023"/>
          <s v="2024"/>
          <s v="2025"/>
          <s v="&gt;06/04/2025"/>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Otaño" refreshedDate="45787.606032638891" createdVersion="8" refreshedVersion="8" minRefreshableVersion="3" recordCount="54" xr:uid="{98FF5972-11F1-4E9D-8971-A5F513B811A5}">
  <cacheSource type="worksheet">
    <worksheetSource name="Sueldos"/>
  </cacheSource>
  <cacheFields count="8">
    <cacheField name="Año" numFmtId="0">
      <sharedItems containsSemiMixedTypes="0" containsString="0" containsNumber="1" containsInteger="1" minValue="2021" maxValue="2025"/>
    </cacheField>
    <cacheField name="Mes" numFmtId="0">
      <sharedItems count="12">
        <s v="Julio"/>
        <s v="Agosto"/>
        <s v="Septiembre"/>
        <s v="Octubre"/>
        <s v="Noviembre"/>
        <s v="Diciembre"/>
        <s v="Enero"/>
        <s v="Febrero"/>
        <s v="Marzo"/>
        <s v="Abril"/>
        <s v="Mayo"/>
        <s v="Junio"/>
      </sharedItems>
    </cacheField>
    <cacheField name="ERD" numFmtId="164">
      <sharedItems containsSemiMixedTypes="0" containsString="0" containsNumber="1" minValue="26500" maxValue="89000"/>
    </cacheField>
    <cacheField name="MARVESA" numFmtId="164">
      <sharedItems containsSemiMixedTypes="0" containsString="0" containsNumber="1" minValue="58466.92" maxValue="74886"/>
    </cacheField>
    <cacheField name="HMNSA" numFmtId="0">
      <sharedItems containsSemiMixedTypes="0" containsString="0" containsNumber="1" minValue="34954.57" maxValue="62609.62"/>
    </cacheField>
    <cacheField name="HONORARIOS" numFmtId="164">
      <sharedItems containsString="0" containsBlank="1" containsNumber="1" minValue="0" maxValue="829822.23800000013"/>
    </cacheField>
    <cacheField name="CONSULTAS" numFmtId="164">
      <sharedItems containsString="0" containsBlank="1" containsNumber="1" containsInteger="1" minValue="0" maxValue="30000"/>
    </cacheField>
    <cacheField name="TOTAL DEL MES" numFmtId="164">
      <sharedItems containsSemiMixedTypes="0" containsString="0" containsNumber="1" minValue="188907.03999999998" maxValue="1018729.278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n v="35925"/>
    <n v="58466.92"/>
    <n v="34954.57"/>
    <n v="121000"/>
    <m/>
    <n v="250346.49"/>
  </r>
  <r>
    <x v="0"/>
    <x v="1"/>
    <n v="35925"/>
    <n v="58466.92"/>
    <n v="34954.57"/>
    <n v="61445.25"/>
    <m/>
    <n v="190791.74"/>
  </r>
  <r>
    <x v="0"/>
    <x v="2"/>
    <n v="35925"/>
    <n v="58466.92"/>
    <n v="34954.57"/>
    <n v="331913.01"/>
    <m/>
    <n v="461259.5"/>
  </r>
  <r>
    <x v="0"/>
    <x v="3"/>
    <n v="35925"/>
    <n v="58466.92"/>
    <n v="34954.57"/>
    <n v="195013.04399999999"/>
    <m/>
    <n v="324359.53399999999"/>
  </r>
  <r>
    <x v="0"/>
    <x v="4"/>
    <n v="26500"/>
    <n v="58886.92"/>
    <n v="57700"/>
    <n v="123506.96400000001"/>
    <m/>
    <n v="266593.88399999996"/>
  </r>
  <r>
    <x v="0"/>
    <x v="5"/>
    <n v="26500"/>
    <n v="58466.92"/>
    <n v="57700"/>
    <n v="102406.5"/>
    <m/>
    <n v="245073.41999999998"/>
  </r>
  <r>
    <x v="1"/>
    <x v="6"/>
    <n v="26500"/>
    <n v="58889.87"/>
    <n v="57365.93"/>
    <n v="80956.97099999999"/>
    <m/>
    <n v="223712.77099999998"/>
  </r>
  <r>
    <x v="1"/>
    <x v="7"/>
    <n v="26500"/>
    <n v="58886"/>
    <n v="57365.93"/>
    <n v="75409.649999999994"/>
    <m/>
    <n v="218161.58"/>
  </r>
  <r>
    <x v="1"/>
    <x v="8"/>
    <n v="71300"/>
    <n v="74886"/>
    <n v="57365.93"/>
    <n v="129321"/>
    <m/>
    <n v="332872.93"/>
  </r>
  <r>
    <x v="1"/>
    <x v="9"/>
    <n v="72655.11"/>
    <n v="58886"/>
    <n v="57365.93"/>
    <n v="169756.02"/>
    <m/>
    <n v="358663.05999999994"/>
  </r>
  <r>
    <x v="1"/>
    <x v="10"/>
    <n v="72655.11"/>
    <n v="58886"/>
    <n v="57365.93"/>
    <n v="130658.40000000002"/>
    <m/>
    <n v="319565.44"/>
  </r>
  <r>
    <x v="1"/>
    <x v="11"/>
    <n v="72655.11"/>
    <n v="58886"/>
    <n v="57365.93"/>
    <n v="39941.1"/>
    <m/>
    <n v="228848.13999999998"/>
  </r>
  <r>
    <x v="1"/>
    <x v="0"/>
    <n v="72655.11"/>
    <n v="58886"/>
    <n v="57365.93"/>
    <n v="65691"/>
    <m/>
    <n v="254598.03999999998"/>
  </r>
  <r>
    <x v="1"/>
    <x v="1"/>
    <n v="72655.11"/>
    <n v="58886"/>
    <n v="57365.93"/>
    <n v="246284.87399999998"/>
    <m/>
    <n v="435191.91399999999"/>
  </r>
  <r>
    <x v="1"/>
    <x v="2"/>
    <n v="72655.11"/>
    <n v="58886"/>
    <n v="57365.93"/>
    <n v="829822.23800000013"/>
    <m/>
    <n v="1018729.2780000002"/>
  </r>
  <r>
    <x v="1"/>
    <x v="3"/>
    <n v="72655.11"/>
    <n v="58886"/>
    <n v="57365.93"/>
    <n v="200775.008"/>
    <m/>
    <n v="389682.04799999995"/>
  </r>
  <r>
    <x v="1"/>
    <x v="4"/>
    <n v="72655.11"/>
    <n v="58886"/>
    <n v="57365.93"/>
    <n v="308422.81799999997"/>
    <m/>
    <n v="497329.85799999995"/>
  </r>
  <r>
    <x v="1"/>
    <x v="5"/>
    <n v="72655.11"/>
    <n v="58886"/>
    <n v="57365.93"/>
    <n v="309126.59999999998"/>
    <m/>
    <n v="498033.63999999996"/>
  </r>
  <r>
    <x v="2"/>
    <x v="6"/>
    <n v="72655.11"/>
    <n v="58889.87"/>
    <n v="57365.93"/>
    <n v="160148.53"/>
    <n v="6000"/>
    <n v="355059.44"/>
  </r>
  <r>
    <x v="2"/>
    <x v="7"/>
    <n v="72655.11"/>
    <n v="58886"/>
    <n v="57365.93"/>
    <n v="23911.200000000001"/>
    <n v="30000"/>
    <n v="242818.24"/>
  </r>
  <r>
    <x v="2"/>
    <x v="8"/>
    <n v="72655.11"/>
    <n v="58886"/>
    <n v="57365.93"/>
    <n v="230489.53199999998"/>
    <n v="30000"/>
    <n v="449396.57199999993"/>
  </r>
  <r>
    <x v="2"/>
    <x v="9"/>
    <n v="72655.11"/>
    <n v="58886"/>
    <n v="57365.93"/>
    <n v="260954.32500000001"/>
    <n v="0"/>
    <n v="449861.36499999999"/>
  </r>
  <r>
    <x v="2"/>
    <x v="10"/>
    <n v="72655.11"/>
    <n v="58886"/>
    <n v="57365.93"/>
    <n v="278545.14"/>
    <n v="10000"/>
    <n v="477452.18"/>
  </r>
  <r>
    <x v="2"/>
    <x v="11"/>
    <n v="72655.11"/>
    <n v="58886"/>
    <n v="57365.93"/>
    <n v="286613.09999999998"/>
    <n v="20000"/>
    <n v="495520.13999999996"/>
  </r>
  <r>
    <x v="2"/>
    <x v="0"/>
    <n v="72655.11"/>
    <n v="58886"/>
    <n v="57365.93"/>
    <n v="189596.15999999997"/>
    <m/>
    <n v="378503.19999999995"/>
  </r>
  <r>
    <x v="2"/>
    <x v="1"/>
    <n v="72655.11"/>
    <n v="58886"/>
    <n v="57365.93"/>
    <n v="403213.05"/>
    <n v="10000"/>
    <n v="602120.09"/>
  </r>
  <r>
    <x v="2"/>
    <x v="2"/>
    <n v="72655.11"/>
    <n v="58886"/>
    <n v="57365.93"/>
    <n v="372549.78"/>
    <n v="20000"/>
    <n v="581456.82000000007"/>
  </r>
  <r>
    <x v="2"/>
    <x v="3"/>
    <n v="72655.11"/>
    <n v="58886"/>
    <n v="57365.93"/>
    <n v="208166.21999999997"/>
    <n v="5000"/>
    <n v="402073.25999999995"/>
  </r>
  <r>
    <x v="2"/>
    <x v="4"/>
    <n v="89000"/>
    <n v="58886"/>
    <n v="57365.93"/>
    <n v="285923.54700000002"/>
    <n v="0"/>
    <n v="491175.47700000001"/>
  </r>
  <r>
    <x v="2"/>
    <x v="5"/>
    <n v="72655.11"/>
    <n v="58886"/>
    <n v="57365.93"/>
    <n v="193207.5"/>
    <n v="0"/>
    <n v="382114.54"/>
  </r>
  <r>
    <x v="3"/>
    <x v="6"/>
    <n v="72655.11"/>
    <n v="58889.87"/>
    <n v="57365.93"/>
    <n v="369322.2"/>
    <n v="2000"/>
    <n v="560233.11"/>
  </r>
  <r>
    <x v="3"/>
    <x v="7"/>
    <n v="72655.11"/>
    <n v="58886"/>
    <n v="57365.93"/>
    <n v="255045.6"/>
    <m/>
    <n v="443952.64000000001"/>
  </r>
  <r>
    <x v="3"/>
    <x v="8"/>
    <n v="72655.11"/>
    <n v="58886"/>
    <n v="57365.93"/>
    <n v="0"/>
    <m/>
    <n v="188907.03999999998"/>
  </r>
  <r>
    <x v="3"/>
    <x v="9"/>
    <n v="72655.11"/>
    <n v="58886"/>
    <n v="57365.93"/>
    <n v="281355.3"/>
    <m/>
    <n v="470262.33999999997"/>
  </r>
  <r>
    <x v="3"/>
    <x v="10"/>
    <n v="72655.11"/>
    <n v="58886"/>
    <n v="57365.93"/>
    <n v="143850.6"/>
    <m/>
    <n v="332757.64"/>
  </r>
  <r>
    <x v="3"/>
    <x v="11"/>
    <n v="72655.11"/>
    <n v="58886"/>
    <n v="57365.93"/>
    <n v="197221.70699999999"/>
    <m/>
    <n v="386128.74699999997"/>
  </r>
  <r>
    <x v="3"/>
    <x v="0"/>
    <n v="72655.11"/>
    <n v="58886"/>
    <n v="57365.93"/>
    <n v="106668"/>
    <m/>
    <n v="295575.03999999998"/>
  </r>
  <r>
    <x v="3"/>
    <x v="1"/>
    <n v="72655.11"/>
    <n v="58886"/>
    <n v="57365.93"/>
    <n v="249540.58799999999"/>
    <m/>
    <n v="438447.62799999997"/>
  </r>
  <r>
    <x v="3"/>
    <x v="2"/>
    <n v="72655.11"/>
    <n v="58886"/>
    <n v="57365.93"/>
    <n v="255935.00099999999"/>
    <m/>
    <n v="444842.04099999997"/>
  </r>
  <r>
    <x v="3"/>
    <x v="3"/>
    <n v="72655.11"/>
    <n v="58886"/>
    <n v="57365.93"/>
    <n v="339408.9"/>
    <m/>
    <n v="528315.93999999994"/>
  </r>
  <r>
    <x v="3"/>
    <x v="4"/>
    <n v="89000"/>
    <n v="58886"/>
    <n v="57365.93"/>
    <n v="120828.321"/>
    <m/>
    <n v="326080.25099999999"/>
  </r>
  <r>
    <x v="3"/>
    <x v="5"/>
    <n v="72655.11"/>
    <n v="58886"/>
    <n v="57365.93"/>
    <n v="43571.7"/>
    <m/>
    <n v="232478.74"/>
  </r>
  <r>
    <x v="4"/>
    <x v="6"/>
    <n v="81161.81"/>
    <n v="64778.86"/>
    <n v="62609.62"/>
    <n v="0"/>
    <n v="2000"/>
    <n v="210550.28999999998"/>
  </r>
  <r>
    <x v="4"/>
    <x v="7"/>
    <n v="81161.81"/>
    <n v="64778.86"/>
    <n v="62609.62"/>
    <n v="76257"/>
    <m/>
    <n v="284807.28999999998"/>
  </r>
  <r>
    <x v="4"/>
    <x v="8"/>
    <n v="81161.81"/>
    <n v="64778.86"/>
    <n v="62609.62"/>
    <n v="105621.3"/>
    <m/>
    <n v="314171.58999999997"/>
  </r>
  <r>
    <x v="4"/>
    <x v="9"/>
    <n v="81161.81"/>
    <n v="64778.86"/>
    <n v="62609.62"/>
    <n v="21454.955999999998"/>
    <m/>
    <n v="230005.24599999998"/>
  </r>
  <r>
    <x v="4"/>
    <x v="10"/>
    <n v="81161.81"/>
    <n v="64778.86"/>
    <n v="62609.62"/>
    <m/>
    <m/>
    <n v="208550.28999999998"/>
  </r>
  <r>
    <x v="4"/>
    <x v="11"/>
    <n v="81161.81"/>
    <n v="64778.86"/>
    <n v="62609.62"/>
    <m/>
    <m/>
    <n v="208550.28999999998"/>
  </r>
  <r>
    <x v="4"/>
    <x v="0"/>
    <n v="81161.81"/>
    <n v="64778.86"/>
    <n v="62609.62"/>
    <m/>
    <m/>
    <n v="208550.28999999998"/>
  </r>
  <r>
    <x v="4"/>
    <x v="1"/>
    <n v="81161.81"/>
    <n v="64778.86"/>
    <n v="62609.62"/>
    <m/>
    <m/>
    <n v="208550.28999999998"/>
  </r>
  <r>
    <x v="4"/>
    <x v="2"/>
    <n v="81161.81"/>
    <n v="64778.86"/>
    <n v="62609.62"/>
    <m/>
    <m/>
    <n v="208550.28999999998"/>
  </r>
  <r>
    <x v="4"/>
    <x v="3"/>
    <n v="81161.81"/>
    <n v="64778.86"/>
    <n v="62609.62"/>
    <m/>
    <m/>
    <n v="208550.28999999998"/>
  </r>
  <r>
    <x v="4"/>
    <x v="4"/>
    <n v="81161.81"/>
    <n v="64778.86"/>
    <n v="62609.62"/>
    <m/>
    <m/>
    <n v="208550.28999999998"/>
  </r>
  <r>
    <x v="4"/>
    <x v="5"/>
    <n v="81161.81"/>
    <n v="64778.86"/>
    <n v="62609.62"/>
    <m/>
    <m/>
    <n v="208550.28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x v="0"/>
    <x v="0"/>
    <x v="0"/>
    <s v="130794987"/>
    <n v="1"/>
    <n v="4"/>
    <s v="GASTOS DE ACTIVOS FIJO "/>
    <s v="B0101358927"/>
    <m/>
    <n v="202501"/>
    <n v="20"/>
    <m/>
    <m/>
    <n v="0"/>
    <n v="3400"/>
    <n v="3400"/>
    <n v="0"/>
    <m/>
    <m/>
    <n v="0"/>
    <m/>
    <m/>
    <m/>
    <m/>
    <m/>
    <n v="0"/>
    <n v="0"/>
    <n v="0"/>
    <n v="3400"/>
    <s v="Tarjeta de Credito"/>
    <x v="0"/>
    <x v="0"/>
    <x v="0"/>
  </r>
  <r>
    <x v="1"/>
    <x v="0"/>
    <x v="0"/>
    <x v="1"/>
    <s v="130794987"/>
    <n v="1"/>
    <n v="4"/>
    <s v="GASTOS DE ACTIVOS FIJO "/>
    <s v="B0101358304"/>
    <m/>
    <n v="202501"/>
    <n v="18"/>
    <m/>
    <m/>
    <n v="0"/>
    <n v="4702"/>
    <n v="4702"/>
    <n v="0"/>
    <m/>
    <m/>
    <n v="0"/>
    <m/>
    <m/>
    <m/>
    <m/>
    <m/>
    <n v="0"/>
    <n v="0"/>
    <n v="0"/>
    <n v="4702"/>
    <s v="Tarjeta de Credito"/>
    <x v="0"/>
    <x v="1"/>
    <x v="1"/>
  </r>
  <r>
    <x v="2"/>
    <x v="0"/>
    <x v="0"/>
    <x v="2"/>
    <s v="131208371"/>
    <n v="1"/>
    <n v="2"/>
    <s v="GASTOS POR TRABAJOS, SUMINISTROS Y SERVICIOS "/>
    <s v="B0100026718"/>
    <m/>
    <n v="202501"/>
    <n v="31"/>
    <m/>
    <m/>
    <n v="0"/>
    <n v="800"/>
    <n v="800"/>
    <n v="0"/>
    <m/>
    <m/>
    <n v="0"/>
    <n v="0"/>
    <n v="0"/>
    <n v="0"/>
    <n v="0"/>
    <n v="0"/>
    <n v="0"/>
    <n v="0"/>
    <n v="0"/>
    <n v="800"/>
    <s v="Tarjeta de Credito"/>
    <x v="1"/>
    <x v="2"/>
    <x v="2"/>
  </r>
  <r>
    <x v="3"/>
    <x v="0"/>
    <x v="0"/>
    <x v="3"/>
    <s v="131341136"/>
    <n v="1"/>
    <n v="2"/>
    <s v="GASTOS POR TRABAJOS, SUMINISTROS Y SERVICIOS "/>
    <s v="B0100703682"/>
    <m/>
    <n v="202501"/>
    <n v="7"/>
    <m/>
    <m/>
    <n v="0"/>
    <n v="634.75"/>
    <n v="634.75"/>
    <n v="114.26"/>
    <m/>
    <m/>
    <n v="0"/>
    <n v="0"/>
    <n v="0"/>
    <n v="0"/>
    <n v="0"/>
    <n v="0"/>
    <n v="0"/>
    <n v="0"/>
    <n v="0"/>
    <n v="749.01"/>
    <s v="Tarjeta de Credito"/>
    <x v="2"/>
    <x v="3"/>
    <x v="3"/>
  </r>
  <r>
    <x v="4"/>
    <x v="0"/>
    <x v="0"/>
    <x v="4"/>
    <s v="000000001"/>
    <n v="1"/>
    <n v="12"/>
    <s v=" GASTOS MENORES"/>
    <n v="0"/>
    <m/>
    <n v="202501"/>
    <n v="26"/>
    <m/>
    <m/>
    <n v="0"/>
    <n v="6000"/>
    <n v="6000"/>
    <n v="0"/>
    <n v="0"/>
    <n v="0"/>
    <n v="0"/>
    <n v="0"/>
    <n v="0"/>
    <n v="0"/>
    <n v="0"/>
    <n v="0"/>
    <n v="0"/>
    <n v="0"/>
    <n v="0"/>
    <n v="6000"/>
    <s v="Transferencia Bancaria"/>
    <x v="3"/>
    <x v="4"/>
    <x v="4"/>
  </r>
  <r>
    <x v="4"/>
    <x v="0"/>
    <x v="0"/>
    <x v="4"/>
    <s v="000000002"/>
    <n v="1"/>
    <n v="12"/>
    <s v=" GASTOS MENORES"/>
    <n v="0"/>
    <m/>
    <n v="202501"/>
    <n v="26"/>
    <m/>
    <m/>
    <n v="0"/>
    <n v="3000"/>
    <n v="3000"/>
    <n v="0"/>
    <n v="0"/>
    <n v="0"/>
    <n v="0"/>
    <n v="0"/>
    <n v="0"/>
    <n v="0"/>
    <n v="0"/>
    <n v="0"/>
    <n v="0"/>
    <n v="0"/>
    <n v="0"/>
    <n v="3000"/>
    <s v="Transferencia Bancaria"/>
    <x v="3"/>
    <x v="4"/>
    <x v="5"/>
  </r>
  <r>
    <x v="4"/>
    <x v="0"/>
    <x v="0"/>
    <x v="4"/>
    <s v="000000003"/>
    <n v="1"/>
    <n v="12"/>
    <s v=" GASTOS MENORES"/>
    <n v="0"/>
    <m/>
    <n v="202501"/>
    <n v="26"/>
    <m/>
    <m/>
    <n v="0"/>
    <n v="1500"/>
    <n v="1500"/>
    <n v="0"/>
    <n v="0"/>
    <n v="0"/>
    <n v="0"/>
    <n v="0"/>
    <n v="0"/>
    <n v="0"/>
    <n v="0"/>
    <n v="0"/>
    <n v="0"/>
    <n v="0"/>
    <n v="0"/>
    <n v="1500"/>
    <s v="Efectivo"/>
    <x v="3"/>
    <x v="4"/>
    <x v="6"/>
  </r>
  <r>
    <x v="4"/>
    <x v="0"/>
    <x v="0"/>
    <x v="4"/>
    <s v="000000004"/>
    <n v="1"/>
    <n v="12"/>
    <s v=" GASTOS MENORES"/>
    <n v="0"/>
    <m/>
    <n v="202501"/>
    <n v="26"/>
    <m/>
    <m/>
    <n v="0"/>
    <n v="500"/>
    <n v="500"/>
    <n v="0"/>
    <n v="0"/>
    <n v="0"/>
    <n v="0"/>
    <n v="0"/>
    <n v="0"/>
    <n v="0"/>
    <n v="0"/>
    <n v="0"/>
    <n v="0"/>
    <n v="0"/>
    <n v="0"/>
    <n v="500"/>
    <s v="Efectivo"/>
    <x v="3"/>
    <x v="4"/>
    <x v="7"/>
  </r>
  <r>
    <x v="4"/>
    <x v="0"/>
    <x v="0"/>
    <x v="4"/>
    <s v="000000005"/>
    <n v="1"/>
    <n v="12"/>
    <s v=" GASTOS MENORES"/>
    <n v="0"/>
    <m/>
    <n v="202501"/>
    <n v="26"/>
    <m/>
    <m/>
    <n v="0"/>
    <n v="500"/>
    <n v="500"/>
    <n v="0"/>
    <n v="0"/>
    <n v="0"/>
    <n v="0"/>
    <n v="0"/>
    <n v="0"/>
    <n v="0"/>
    <n v="0"/>
    <n v="0"/>
    <n v="0"/>
    <n v="0"/>
    <n v="0"/>
    <n v="500"/>
    <s v="Efectivo"/>
    <x v="3"/>
    <x v="4"/>
    <x v="8"/>
  </r>
  <r>
    <x v="5"/>
    <x v="0"/>
    <x v="0"/>
    <x v="5"/>
    <s v="101043598"/>
    <n v="1"/>
    <n v="7"/>
    <s v="GASTOS FINANCIEROS "/>
    <s v="E310000175557"/>
    <m/>
    <n v="202501"/>
    <n v="16"/>
    <m/>
    <m/>
    <n v="0"/>
    <n v="48000"/>
    <n v="48000"/>
    <n v="0"/>
    <m/>
    <m/>
    <n v="0"/>
    <m/>
    <m/>
    <m/>
    <m/>
    <m/>
    <n v="0"/>
    <n v="0"/>
    <n v="0"/>
    <n v="48000"/>
    <s v="Transferencia Bancaria"/>
    <x v="4"/>
    <x v="5"/>
    <x v="9"/>
  </r>
  <r>
    <x v="6"/>
    <x v="0"/>
    <x v="0"/>
    <x v="2"/>
    <s v="4453939"/>
    <n v="1"/>
    <n v="7"/>
    <s v="GASTOS FINANCIEROS "/>
    <n v="0"/>
    <m/>
    <n v="202501"/>
    <n v="24"/>
    <m/>
    <m/>
    <n v="0"/>
    <n v="23443.75"/>
    <n v="23443.75"/>
    <n v="0"/>
    <m/>
    <m/>
    <n v="0"/>
    <m/>
    <m/>
    <m/>
    <m/>
    <m/>
    <n v="0"/>
    <n v="0"/>
    <n v="0"/>
    <n v="23443.75"/>
    <s v="Transferencia Bancaria"/>
    <x v="3"/>
    <x v="6"/>
    <x v="9"/>
  </r>
  <r>
    <x v="7"/>
    <x v="0"/>
    <x v="0"/>
    <x v="6"/>
    <s v="835651126"/>
    <n v="1"/>
    <n v="7"/>
    <s v="GASTOS FINANCIEROS "/>
    <n v="0"/>
    <m/>
    <n v="202501"/>
    <n v="1"/>
    <m/>
    <m/>
    <n v="0"/>
    <n v="25404.27"/>
    <n v="25404.27"/>
    <n v="0"/>
    <m/>
    <m/>
    <n v="0"/>
    <m/>
    <m/>
    <m/>
    <m/>
    <m/>
    <n v="0"/>
    <n v="0"/>
    <n v="0"/>
    <n v="25404.27"/>
    <s v="Transferencia Bancaria"/>
    <x v="3"/>
    <x v="7"/>
    <x v="9"/>
  </r>
  <r>
    <x v="8"/>
    <x v="0"/>
    <x v="0"/>
    <x v="1"/>
    <s v="4458538"/>
    <n v="1"/>
    <n v="7"/>
    <s v="GASTOS FINANCIEROS "/>
    <n v="0"/>
    <m/>
    <n v="202501"/>
    <n v="4"/>
    <m/>
    <m/>
    <n v="0"/>
    <n v="15208.33"/>
    <n v="15208.33"/>
    <n v="0"/>
    <m/>
    <m/>
    <n v="0"/>
    <m/>
    <m/>
    <m/>
    <m/>
    <m/>
    <n v="0"/>
    <n v="0"/>
    <n v="0"/>
    <n v="15208.33"/>
    <s v="Transferencia Bancaria"/>
    <x v="3"/>
    <x v="6"/>
    <x v="9"/>
  </r>
  <r>
    <x v="9"/>
    <x v="0"/>
    <x v="0"/>
    <x v="6"/>
    <s v="131436781"/>
    <n v="2"/>
    <n v="2"/>
    <s v="GASTOS POR TRABAJOS, SUMINISTROS Y SERVICIOS "/>
    <s v="B0100019983"/>
    <m/>
    <n v="202501"/>
    <n v="8"/>
    <m/>
    <m/>
    <n v="0"/>
    <n v="885.59"/>
    <n v="885.59"/>
    <n v="159.41"/>
    <m/>
    <m/>
    <n v="0"/>
    <n v="0"/>
    <n v="0"/>
    <n v="0"/>
    <n v="0"/>
    <n v="0"/>
    <n v="0"/>
    <n v="0"/>
    <n v="0"/>
    <n v="1045"/>
    <s v="Tarjeta de Credito"/>
    <x v="5"/>
    <x v="2"/>
    <x v="2"/>
  </r>
  <r>
    <x v="10"/>
    <x v="0"/>
    <x v="0"/>
    <x v="0"/>
    <s v="130064423"/>
    <n v="1"/>
    <n v="2"/>
    <s v="GASTOS POR TRABAJOS, SUMINISTROS Y SERVICIOS "/>
    <s v="B0102042097"/>
    <m/>
    <n v="202501"/>
    <n v="6"/>
    <m/>
    <m/>
    <n v="0"/>
    <n v="1216"/>
    <n v="1216"/>
    <n v="0"/>
    <m/>
    <m/>
    <n v="0"/>
    <n v="0"/>
    <n v="0"/>
    <n v="0"/>
    <n v="0"/>
    <n v="0"/>
    <n v="0"/>
    <n v="0"/>
    <n v="0"/>
    <n v="1216"/>
    <s v="Tarjeta de Credito"/>
    <x v="6"/>
    <x v="8"/>
    <x v="10"/>
  </r>
  <r>
    <x v="10"/>
    <x v="0"/>
    <x v="0"/>
    <x v="0"/>
    <s v="131649122"/>
    <n v="1"/>
    <n v="2"/>
    <s v="GASTOS POR TRABAJOS, SUMINISTROS Y SERVICIOS "/>
    <s v="B0100144365"/>
    <m/>
    <n v="202501"/>
    <n v="6"/>
    <m/>
    <m/>
    <n v="0"/>
    <n v="593.20000000000005"/>
    <n v="593.20000000000005"/>
    <n v="106.78"/>
    <m/>
    <m/>
    <n v="0"/>
    <n v="0"/>
    <n v="0"/>
    <n v="0"/>
    <n v="0"/>
    <n v="0"/>
    <n v="0"/>
    <n v="0"/>
    <n v="0"/>
    <n v="699.98"/>
    <s v="Tarjeta de Credito"/>
    <x v="7"/>
    <x v="2"/>
    <x v="2"/>
  </r>
  <r>
    <x v="11"/>
    <x v="0"/>
    <x v="0"/>
    <x v="6"/>
    <s v="131039499"/>
    <n v="1"/>
    <n v="2"/>
    <s v="GASTOS POR TRABAJOS, SUMINISTROS Y SERVICIOS "/>
    <s v="B0100096375"/>
    <m/>
    <n v="202501"/>
    <n v="22"/>
    <m/>
    <m/>
    <n v="0"/>
    <n v="751.52"/>
    <n v="751.52"/>
    <n v="0"/>
    <m/>
    <m/>
    <n v="0"/>
    <n v="0"/>
    <n v="0"/>
    <n v="0"/>
    <n v="0"/>
    <n v="0"/>
    <n v="0"/>
    <n v="0"/>
    <n v="0"/>
    <n v="751.52"/>
    <s v="Tarjeta de Credito"/>
    <x v="8"/>
    <x v="8"/>
    <x v="10"/>
  </r>
  <r>
    <x v="12"/>
    <x v="0"/>
    <x v="0"/>
    <x v="5"/>
    <s v="131153666"/>
    <n v="1"/>
    <n v="2"/>
    <s v="GASTOS POR TRABAJOS, SUMINISTROS Y SERVICIOS "/>
    <s v="B0100006053"/>
    <m/>
    <n v="202501"/>
    <n v="30"/>
    <m/>
    <m/>
    <n v="0"/>
    <n v="933.47"/>
    <n v="933.47"/>
    <n v="136.52000000000001"/>
    <m/>
    <m/>
    <n v="0"/>
    <n v="0"/>
    <n v="0"/>
    <n v="0"/>
    <n v="0"/>
    <n v="0"/>
    <n v="0"/>
    <n v="0"/>
    <n v="0"/>
    <n v="1069.99"/>
    <s v="Tarjeta de Credito"/>
    <x v="9"/>
    <x v="2"/>
    <x v="2"/>
  </r>
  <r>
    <x v="13"/>
    <x v="0"/>
    <x v="0"/>
    <x v="5"/>
    <s v="101651555"/>
    <n v="1"/>
    <n v="4"/>
    <s v="GASTOS DE ACTIVOS FIJO "/>
    <s v="B0100048701"/>
    <m/>
    <n v="202501"/>
    <n v="9"/>
    <m/>
    <m/>
    <n v="0"/>
    <n v="3279.66"/>
    <n v="3279.66"/>
    <n v="590.34"/>
    <m/>
    <m/>
    <n v="0"/>
    <n v="0"/>
    <n v="0"/>
    <n v="0"/>
    <n v="0"/>
    <n v="0"/>
    <n v="0"/>
    <n v="0"/>
    <n v="0"/>
    <n v="3870"/>
    <s v="Tarjeta de Credito"/>
    <x v="10"/>
    <x v="9"/>
    <x v="0"/>
  </r>
  <r>
    <x v="14"/>
    <x v="0"/>
    <x v="0"/>
    <x v="0"/>
    <s v="101602465"/>
    <n v="1"/>
    <n v="2"/>
    <s v="GASTOS POR TRABAJOS, SUMINISTROS Y SERVICIOS "/>
    <s v="E310006681341"/>
    <m/>
    <n v="202501"/>
    <n v="27"/>
    <m/>
    <m/>
    <n v="0"/>
    <n v="1754.06"/>
    <n v="1754.06"/>
    <n v="195.94"/>
    <m/>
    <m/>
    <n v="0"/>
    <n v="0"/>
    <n v="0"/>
    <n v="0"/>
    <n v="0"/>
    <n v="0"/>
    <n v="0"/>
    <n v="0"/>
    <n v="0"/>
    <n v="1950"/>
    <s v="Tarjeta de Credito"/>
    <x v="11"/>
    <x v="10"/>
    <x v="2"/>
  </r>
  <r>
    <x v="6"/>
    <x v="0"/>
    <x v="0"/>
    <x v="2"/>
    <s v="130389586"/>
    <n v="1"/>
    <n v="2"/>
    <s v="GASTOS POR TRABAJOS, SUMINISTROS Y SERVICIOS "/>
    <s v="E310000121980"/>
    <m/>
    <n v="202501"/>
    <n v="24"/>
    <m/>
    <m/>
    <n v="0"/>
    <n v="2109.41"/>
    <n v="2109.41"/>
    <n v="379.69"/>
    <m/>
    <m/>
    <n v="0"/>
    <n v="0"/>
    <n v="0"/>
    <n v="0"/>
    <n v="0"/>
    <n v="0"/>
    <n v="0"/>
    <n v="0"/>
    <n v="210.94"/>
    <n v="2700.04"/>
    <s v="Tarjeta de Credito"/>
    <x v="12"/>
    <x v="3"/>
    <x v="3"/>
  </r>
  <r>
    <x v="14"/>
    <x v="0"/>
    <x v="0"/>
    <x v="0"/>
    <s v="101801875"/>
    <n v="1"/>
    <n v="2"/>
    <s v="GASTOS POR TRABAJOS, SUMINISTROS Y SERVICIOS "/>
    <s v="E310001078218"/>
    <m/>
    <n v="202501"/>
    <n v="27"/>
    <m/>
    <m/>
    <n v="0"/>
    <n v="7885.26"/>
    <n v="7885.26"/>
    <n v="1154.74"/>
    <m/>
    <m/>
    <n v="0"/>
    <n v="0"/>
    <n v="0"/>
    <n v="0"/>
    <n v="0"/>
    <n v="0"/>
    <n v="0"/>
    <n v="0"/>
    <n v="0"/>
    <n v="9040"/>
    <s v="Tarjeta de Credito"/>
    <x v="13"/>
    <x v="10"/>
    <x v="2"/>
  </r>
  <r>
    <x v="15"/>
    <x v="0"/>
    <x v="0"/>
    <x v="6"/>
    <s v="101019921"/>
    <n v="1"/>
    <n v="2"/>
    <s v="GASTOS POR TRABAJOS, SUMINISTROS Y SERVICIOS "/>
    <s v="B012052147"/>
    <m/>
    <n v="202501"/>
    <n v="29"/>
    <m/>
    <m/>
    <n v="0"/>
    <n v="2365.4"/>
    <n v="2365.4"/>
    <n v="50.21"/>
    <m/>
    <m/>
    <n v="0"/>
    <n v="0"/>
    <n v="0"/>
    <n v="0"/>
    <n v="0"/>
    <n v="0"/>
    <n v="0"/>
    <n v="0"/>
    <n v="0"/>
    <n v="2415.61"/>
    <s v="Tarjeta de Credito"/>
    <x v="14"/>
    <x v="11"/>
    <x v="5"/>
  </r>
  <r>
    <x v="13"/>
    <x v="0"/>
    <x v="0"/>
    <x v="5"/>
    <s v="101602465"/>
    <n v="1"/>
    <n v="2"/>
    <s v="GASTOS POR TRABAJOS, SUMINISTROS Y SERVICIOS "/>
    <s v="E310006676912"/>
    <m/>
    <n v="202501"/>
    <n v="9"/>
    <m/>
    <m/>
    <n v="0"/>
    <n v="12378.94"/>
    <n v="12378.94"/>
    <n v="1177.06"/>
    <m/>
    <m/>
    <n v="0"/>
    <n v="0"/>
    <n v="0"/>
    <n v="0"/>
    <n v="0"/>
    <n v="0"/>
    <n v="0"/>
    <n v="0"/>
    <n v="0"/>
    <n v="13556"/>
    <s v="Tarjeta de Credito"/>
    <x v="11"/>
    <x v="10"/>
    <x v="2"/>
  </r>
  <r>
    <x v="16"/>
    <x v="0"/>
    <x v="0"/>
    <x v="3"/>
    <s v="101602465"/>
    <n v="1"/>
    <n v="2"/>
    <s v="GASTOS POR TRABAJOS, SUMINISTROS Y SERVICIOS "/>
    <s v="E310006677922"/>
    <m/>
    <n v="202501"/>
    <n v="14"/>
    <m/>
    <m/>
    <n v="0"/>
    <n v="1959.54"/>
    <n v="1959.54"/>
    <n v="144.46"/>
    <m/>
    <m/>
    <n v="0"/>
    <n v="0"/>
    <n v="0"/>
    <n v="0"/>
    <n v="0"/>
    <n v="0"/>
    <n v="0"/>
    <n v="0"/>
    <n v="0"/>
    <n v="2104"/>
    <s v="Tarjeta de Credito"/>
    <x v="11"/>
    <x v="10"/>
    <x v="2"/>
  </r>
  <r>
    <x v="17"/>
    <x v="0"/>
    <x v="0"/>
    <x v="2"/>
    <s v="101602465"/>
    <n v="1"/>
    <n v="2"/>
    <s v="GASTOS POR TRABAJOS, SUMINISTROS Y SERVICIOS "/>
    <s v="E310006487720"/>
    <m/>
    <n v="202501"/>
    <n v="3"/>
    <m/>
    <m/>
    <n v="0"/>
    <n v="661.77"/>
    <n v="661.77"/>
    <n v="73.23"/>
    <m/>
    <m/>
    <n v="0"/>
    <n v="0"/>
    <n v="0"/>
    <n v="0"/>
    <n v="0"/>
    <n v="0"/>
    <n v="0"/>
    <n v="0"/>
    <n v="0"/>
    <n v="735"/>
    <s v="Tarjeta de Credito"/>
    <x v="11"/>
    <x v="10"/>
    <x v="2"/>
  </r>
  <r>
    <x v="8"/>
    <x v="0"/>
    <x v="0"/>
    <x v="1"/>
    <s v="101602465"/>
    <n v="1"/>
    <n v="2"/>
    <s v="GASTOS POR TRABAJOS, SUMINISTROS Y SERVICIOS "/>
    <s v="E310006487814"/>
    <m/>
    <n v="202501"/>
    <n v="4"/>
    <m/>
    <m/>
    <n v="0"/>
    <n v="3216.45"/>
    <n v="3216.45"/>
    <n v="218.55"/>
    <m/>
    <m/>
    <n v="0"/>
    <n v="0"/>
    <n v="0"/>
    <n v="0"/>
    <n v="0"/>
    <n v="0"/>
    <n v="0"/>
    <n v="0"/>
    <n v="0"/>
    <n v="3435"/>
    <s v="Tarjeta de Credito"/>
    <x v="11"/>
    <x v="10"/>
    <x v="2"/>
  </r>
  <r>
    <x v="13"/>
    <x v="0"/>
    <x v="0"/>
    <x v="5"/>
    <s v="101651555"/>
    <n v="1"/>
    <n v="4"/>
    <s v="GASTOS DE ACTIVOS FIJO "/>
    <s v="B0100048709"/>
    <m/>
    <n v="202501"/>
    <n v="9"/>
    <m/>
    <m/>
    <n v="0"/>
    <n v="4784.75"/>
    <n v="4784.75"/>
    <n v="861.25"/>
    <m/>
    <m/>
    <n v="0"/>
    <n v="0"/>
    <n v="0"/>
    <n v="0"/>
    <n v="0"/>
    <n v="0"/>
    <n v="0"/>
    <n v="0"/>
    <n v="0"/>
    <n v="5646"/>
    <s v="Tarjeta de Credito"/>
    <x v="10"/>
    <x v="12"/>
    <x v="1"/>
  </r>
  <r>
    <x v="5"/>
    <x v="0"/>
    <x v="0"/>
    <x v="5"/>
    <s v="132345657"/>
    <n v="1"/>
    <n v="2"/>
    <s v="GASTOS POR TRABAJOS, SUMINISTROS Y SERVICIOS "/>
    <s v="E310000002078"/>
    <m/>
    <n v="202501"/>
    <n v="16"/>
    <m/>
    <m/>
    <n v="0"/>
    <n v="9060"/>
    <n v="9060"/>
    <n v="1630.8"/>
    <m/>
    <m/>
    <n v="0"/>
    <n v="0"/>
    <n v="0"/>
    <n v="0"/>
    <n v="0"/>
    <n v="0"/>
    <n v="0"/>
    <n v="0"/>
    <n v="906"/>
    <n v="11596.8"/>
    <s v="Tarjeta de Credito"/>
    <x v="15"/>
    <x v="13"/>
    <x v="3"/>
  </r>
  <r>
    <x v="18"/>
    <x v="0"/>
    <x v="0"/>
    <x v="4"/>
    <s v="101013834"/>
    <n v="1"/>
    <n v="2"/>
    <s v="GASTOS POR TRABAJOS, SUMINISTROS Y SERVICIOS "/>
    <s v="E310000652384"/>
    <m/>
    <n v="202501"/>
    <n v="19"/>
    <m/>
    <m/>
    <n v="0"/>
    <n v="7933.59"/>
    <n v="7933.59"/>
    <n v="1392.41"/>
    <m/>
    <m/>
    <n v="0"/>
    <n v="0"/>
    <n v="0"/>
    <n v="0"/>
    <n v="0"/>
    <n v="0"/>
    <n v="0"/>
    <n v="0"/>
    <n v="0"/>
    <n v="9326"/>
    <s v="Tarjeta de Credito"/>
    <x v="16"/>
    <x v="2"/>
    <x v="2"/>
  </r>
  <r>
    <x v="19"/>
    <x v="0"/>
    <x v="0"/>
    <x v="3"/>
    <s v="101602465"/>
    <n v="1"/>
    <n v="2"/>
    <s v="GASTOS POR TRABAJOS, SUMINISTROS Y SERVICIOS "/>
    <s v="E310006679660"/>
    <m/>
    <n v="202501"/>
    <n v="21"/>
    <m/>
    <m/>
    <n v="0"/>
    <n v="12241.44"/>
    <n v="12241.44"/>
    <n v="913.56"/>
    <m/>
    <m/>
    <n v="0"/>
    <n v="0"/>
    <n v="0"/>
    <n v="0"/>
    <n v="0"/>
    <n v="0"/>
    <n v="0"/>
    <n v="0"/>
    <n v="0"/>
    <n v="13155"/>
    <s v="Tarjeta de Credito"/>
    <x v="11"/>
    <x v="10"/>
    <x v="2"/>
  </r>
  <r>
    <x v="17"/>
    <x v="0"/>
    <x v="0"/>
    <x v="2"/>
    <s v="130196796"/>
    <n v="1"/>
    <n v="2"/>
    <s v="GASTOS POR TRABAJOS, SUMINISTROS Y SERVICIOS "/>
    <s v="B0100069506"/>
    <m/>
    <n v="202501"/>
    <n v="3"/>
    <m/>
    <m/>
    <n v="3195"/>
    <n v="0"/>
    <n v="3195"/>
    <n v="0"/>
    <m/>
    <m/>
    <n v="0"/>
    <n v="0"/>
    <n v="0"/>
    <n v="0"/>
    <n v="0"/>
    <n v="0"/>
    <n v="0"/>
    <n v="0"/>
    <n v="0"/>
    <n v="3195"/>
    <s v="Tarjeta de Credito"/>
    <x v="17"/>
    <x v="14"/>
    <x v="7"/>
  </r>
  <r>
    <x v="7"/>
    <x v="0"/>
    <x v="0"/>
    <x v="6"/>
    <s v="130196796"/>
    <n v="1"/>
    <n v="2"/>
    <s v="GASTOS POR TRABAJOS, SUMINISTROS Y SERVICIOS "/>
    <s v="B0100069579"/>
    <m/>
    <n v="202501"/>
    <n v="1"/>
    <m/>
    <m/>
    <n v="8672"/>
    <n v="0"/>
    <n v="8672"/>
    <n v="0"/>
    <m/>
    <m/>
    <n v="0"/>
    <n v="0"/>
    <n v="0"/>
    <n v="0"/>
    <n v="0"/>
    <n v="0"/>
    <n v="0"/>
    <n v="0"/>
    <n v="0"/>
    <n v="8672"/>
    <s v="Tarjeta de Credito"/>
    <x v="17"/>
    <x v="14"/>
    <x v="8"/>
  </r>
  <r>
    <x v="9"/>
    <x v="0"/>
    <x v="0"/>
    <x v="6"/>
    <s v="430030341"/>
    <n v="1"/>
    <n v="2"/>
    <s v="GASTOS POR TRABAJOS, SUMINISTROS Y SERVICIOS "/>
    <s v="B0100015374"/>
    <m/>
    <n v="202501"/>
    <n v="8"/>
    <m/>
    <m/>
    <n v="7600"/>
    <n v="0"/>
    <n v="7600"/>
    <n v="0"/>
    <m/>
    <m/>
    <n v="0"/>
    <n v="0"/>
    <n v="0"/>
    <n v="0"/>
    <n v="0"/>
    <n v="0"/>
    <n v="0"/>
    <n v="0"/>
    <n v="0"/>
    <n v="7600"/>
    <s v="Tarjeta de Credito"/>
    <x v="18"/>
    <x v="15"/>
    <x v="5"/>
  </r>
  <r>
    <x v="9"/>
    <x v="0"/>
    <x v="0"/>
    <x v="6"/>
    <s v="430030341"/>
    <n v="1"/>
    <n v="2"/>
    <s v="GASTOS POR TRABAJOS, SUMINISTROS Y SERVICIOS "/>
    <s v="B0100015375"/>
    <m/>
    <n v="202501"/>
    <n v="8"/>
    <m/>
    <m/>
    <n v="7300"/>
    <n v="0"/>
    <n v="7300"/>
    <n v="0"/>
    <m/>
    <m/>
    <n v="0"/>
    <n v="0"/>
    <n v="0"/>
    <n v="0"/>
    <n v="0"/>
    <n v="0"/>
    <n v="0"/>
    <n v="0"/>
    <n v="0"/>
    <n v="7300"/>
    <s v="Tarjeta de Credito"/>
    <x v="18"/>
    <x v="15"/>
    <x v="6"/>
  </r>
  <r>
    <x v="9"/>
    <x v="0"/>
    <x v="0"/>
    <x v="6"/>
    <s v="430030341"/>
    <n v="1"/>
    <n v="2"/>
    <s v="GASTOS POR TRABAJOS, SUMINISTROS Y SERVICIOS "/>
    <s v="B0100015376"/>
    <m/>
    <n v="202501"/>
    <n v="8"/>
    <m/>
    <m/>
    <n v="7300"/>
    <n v="0"/>
    <n v="7300"/>
    <n v="0"/>
    <m/>
    <m/>
    <n v="0"/>
    <m/>
    <m/>
    <m/>
    <m/>
    <m/>
    <n v="0"/>
    <n v="0"/>
    <m/>
    <n v="7300"/>
    <s v="Tarjeta de Credito"/>
    <x v="18"/>
    <x v="15"/>
    <x v="7"/>
  </r>
  <r>
    <x v="12"/>
    <x v="0"/>
    <x v="0"/>
    <x v="5"/>
    <s v="430030341"/>
    <n v="2"/>
    <n v="2"/>
    <s v="GASTOS POR TRABAJOS, SUMINISTROS Y SERVICIOS "/>
    <s v="B0100015534"/>
    <m/>
    <n v="202501"/>
    <n v="30"/>
    <m/>
    <m/>
    <n v="7600"/>
    <m/>
    <n v="7600"/>
    <n v="0"/>
    <m/>
    <m/>
    <n v="0"/>
    <m/>
    <m/>
    <m/>
    <m/>
    <m/>
    <n v="0"/>
    <n v="0"/>
    <n v="0"/>
    <n v="7600"/>
    <s v="Tarjeta de Credito"/>
    <x v="18"/>
    <x v="15"/>
    <x v="5"/>
  </r>
  <r>
    <x v="12"/>
    <x v="0"/>
    <x v="0"/>
    <x v="5"/>
    <s v="430030341"/>
    <n v="1"/>
    <n v="2"/>
    <s v="GASTOS POR TRABAJOS, SUMINISTROS Y SERVICIOS "/>
    <s v="B0100015535"/>
    <m/>
    <n v="202501"/>
    <n v="30"/>
    <m/>
    <m/>
    <n v="7300"/>
    <m/>
    <n v="7300"/>
    <n v="0"/>
    <m/>
    <m/>
    <m/>
    <m/>
    <m/>
    <m/>
    <m/>
    <m/>
    <n v="0"/>
    <n v="0"/>
    <m/>
    <n v="7300"/>
    <s v="Tarjeta de Credito"/>
    <x v="18"/>
    <x v="15"/>
    <x v="6"/>
  </r>
  <r>
    <x v="12"/>
    <x v="0"/>
    <x v="0"/>
    <x v="5"/>
    <s v="430030341"/>
    <n v="1"/>
    <n v="2"/>
    <s v="GASTOS POR TRABAJOS, SUMINISTROS Y SERVICIOS "/>
    <s v="B0100015536"/>
    <m/>
    <n v="202501"/>
    <n v="30"/>
    <m/>
    <m/>
    <n v="7300"/>
    <m/>
    <n v="7300"/>
    <n v="0"/>
    <m/>
    <m/>
    <m/>
    <m/>
    <m/>
    <m/>
    <m/>
    <m/>
    <n v="0"/>
    <n v="0"/>
    <m/>
    <n v="7300"/>
    <s v="Tarjeta de Credito"/>
    <x v="18"/>
    <x v="15"/>
    <x v="7"/>
  </r>
  <r>
    <x v="12"/>
    <x v="0"/>
    <x v="0"/>
    <x v="5"/>
    <s v="430030341"/>
    <n v="1"/>
    <n v="2"/>
    <s v="GASTOS POR TRABAJOS, SUMINISTROS Y SERVICIOS "/>
    <s v="B0100015536"/>
    <n v="202501"/>
    <n v="202501"/>
    <n v="30"/>
    <m/>
    <n v="7300"/>
    <n v="0"/>
    <n v="0"/>
    <n v="0"/>
    <n v="0"/>
    <m/>
    <n v="7300"/>
    <n v="0"/>
    <s v="COLEGIO SANTA ROSA DE LIMA"/>
    <s v="Colegio"/>
    <s v="Lorena"/>
    <m/>
    <m/>
    <n v="0"/>
    <n v="0"/>
    <n v="0"/>
    <n v="0"/>
    <s v="Tarjeta de Credito"/>
    <x v="18"/>
    <x v="15"/>
    <x v="8"/>
  </r>
  <r>
    <x v="2"/>
    <x v="0"/>
    <x v="0"/>
    <x v="2"/>
    <s v="130196796"/>
    <n v="1"/>
    <n v="2"/>
    <s v="GASTOS POR TRABAJOS, SUMINISTROS Y SERVICIOS "/>
    <s v="B0100069864"/>
    <m/>
    <n v="202501"/>
    <n v="31"/>
    <m/>
    <m/>
    <n v="5801"/>
    <m/>
    <n v="5801"/>
    <n v="0"/>
    <m/>
    <m/>
    <m/>
    <m/>
    <m/>
    <m/>
    <m/>
    <m/>
    <n v="0"/>
    <n v="0"/>
    <m/>
    <n v="5801"/>
    <s v="Tarjeta de Credito"/>
    <x v="17"/>
    <x v="14"/>
    <x v="6"/>
  </r>
  <r>
    <x v="6"/>
    <x v="0"/>
    <x v="0"/>
    <x v="2"/>
    <s v="130196796"/>
    <n v="1"/>
    <n v="2"/>
    <s v="GASTOS POR TRABAJOS, SUMINISTROS Y SERVICIOS "/>
    <s v="B0100069761"/>
    <m/>
    <n v="202501"/>
    <n v="24"/>
    <m/>
    <m/>
    <n v="3190"/>
    <m/>
    <n v="3190"/>
    <n v="0"/>
    <m/>
    <m/>
    <m/>
    <m/>
    <m/>
    <m/>
    <m/>
    <m/>
    <n v="0"/>
    <n v="0"/>
    <m/>
    <n v="3190"/>
    <s v="Tarjeta de Credito"/>
    <x v="17"/>
    <x v="14"/>
    <x v="8"/>
  </r>
  <r>
    <x v="3"/>
    <x v="0"/>
    <x v="0"/>
    <x v="3"/>
    <s v="101001577"/>
    <n v="1"/>
    <n v="2"/>
    <s v="GASTOS POR TRABAJOS, SUMINISTROS Y SERVICIOS "/>
    <s v="E310010838524"/>
    <m/>
    <n v="202501"/>
    <n v="7"/>
    <m/>
    <m/>
    <n v="1153.08"/>
    <m/>
    <n v="1153.08"/>
    <n v="207.55"/>
    <m/>
    <m/>
    <m/>
    <m/>
    <m/>
    <m/>
    <m/>
    <m/>
    <n v="115.31"/>
    <n v="23.06"/>
    <m/>
    <n v="1498.9999999999998"/>
    <s v="Tarjeta de Credito"/>
    <x v="19"/>
    <x v="16"/>
    <x v="2"/>
  </r>
  <r>
    <x v="3"/>
    <x v="0"/>
    <x v="0"/>
    <x v="3"/>
    <s v="101001577"/>
    <n v="1"/>
    <n v="2"/>
    <s v="GASTOS POR TRABAJOS, SUMINISTROS Y SERVICIOS "/>
    <s v="E310010835663"/>
    <m/>
    <n v="202501"/>
    <n v="7"/>
    <m/>
    <m/>
    <n v="2407.69"/>
    <m/>
    <n v="2407.69"/>
    <n v="433.39"/>
    <m/>
    <m/>
    <m/>
    <m/>
    <m/>
    <m/>
    <m/>
    <m/>
    <n v="240.77"/>
    <n v="48.15"/>
    <m/>
    <n v="3130"/>
    <s v="Tarjeta de Credito"/>
    <x v="19"/>
    <x v="17"/>
    <x v="11"/>
  </r>
  <r>
    <x v="0"/>
    <x v="0"/>
    <x v="0"/>
    <x v="0"/>
    <s v="101820217"/>
    <n v="1"/>
    <n v="2"/>
    <s v="GASTOS POR TRABAJOS, SUMINISTROS Y SERVICIOS "/>
    <s v="E310000046093"/>
    <m/>
    <n v="202501"/>
    <n v="20"/>
    <m/>
    <m/>
    <n v="3849.79"/>
    <m/>
    <n v="3849.79"/>
    <m/>
    <m/>
    <m/>
    <m/>
    <m/>
    <m/>
    <m/>
    <m/>
    <m/>
    <m/>
    <m/>
    <m/>
    <n v="3849.79"/>
    <s v="Tarjeta de Credito"/>
    <x v="20"/>
    <x v="18"/>
    <x v="2"/>
  </r>
  <r>
    <x v="14"/>
    <x v="0"/>
    <x v="0"/>
    <x v="0"/>
    <s v="00000000"/>
    <n v="1"/>
    <n v="12"/>
    <s v=" GASTOS MENORES"/>
    <n v="0"/>
    <m/>
    <n v="202501"/>
    <n v="27"/>
    <m/>
    <m/>
    <n v="0"/>
    <n v="2000"/>
    <n v="2000"/>
    <m/>
    <m/>
    <m/>
    <m/>
    <m/>
    <m/>
    <m/>
    <m/>
    <m/>
    <m/>
    <m/>
    <m/>
    <n v="2000"/>
    <s v="Transferencia Bancaria"/>
    <x v="3"/>
    <x v="19"/>
    <x v="8"/>
  </r>
  <r>
    <x v="14"/>
    <x v="0"/>
    <x v="0"/>
    <x v="0"/>
    <s v="00000000"/>
    <n v="1"/>
    <n v="12"/>
    <s v=" GASTOS MENORES"/>
    <n v="0"/>
    <m/>
    <n v="202501"/>
    <n v="27"/>
    <m/>
    <m/>
    <n v="0"/>
    <n v="2000"/>
    <n v="2000"/>
    <m/>
    <m/>
    <m/>
    <m/>
    <m/>
    <m/>
    <m/>
    <m/>
    <m/>
    <m/>
    <m/>
    <m/>
    <n v="2000"/>
    <s v="Transferencia Bancaria"/>
    <x v="3"/>
    <x v="19"/>
    <x v="6"/>
  </r>
  <r>
    <x v="0"/>
    <x v="0"/>
    <x v="0"/>
    <x v="0"/>
    <s v="101602465"/>
    <n v="1"/>
    <n v="12"/>
    <s v=" GASTOS MENORES"/>
    <n v="0"/>
    <m/>
    <n v="202501"/>
    <n v="20"/>
    <m/>
    <m/>
    <n v="0"/>
    <n v="1390"/>
    <n v="1390"/>
    <n v="0"/>
    <m/>
    <m/>
    <n v="0"/>
    <m/>
    <m/>
    <m/>
    <m/>
    <m/>
    <n v="0"/>
    <n v="0"/>
    <n v="0"/>
    <n v="1390"/>
    <s v="Tarjeta de Credito"/>
    <x v="11"/>
    <x v="20"/>
    <x v="5"/>
  </r>
  <r>
    <x v="20"/>
    <x v="0"/>
    <x v="0"/>
    <x v="2"/>
    <n v="430078549"/>
    <n v="2"/>
    <n v="12"/>
    <s v=" GASTOS MENORES"/>
    <n v="0"/>
    <m/>
    <n v="202501"/>
    <n v="17"/>
    <m/>
    <m/>
    <n v="0"/>
    <n v="1000"/>
    <n v="1000"/>
    <n v="0"/>
    <m/>
    <m/>
    <n v="0"/>
    <m/>
    <m/>
    <m/>
    <m/>
    <m/>
    <n v="0"/>
    <n v="0"/>
    <n v="0"/>
    <n v="1000"/>
    <s v="Tarjeta de Credito"/>
    <x v="21"/>
    <x v="21"/>
    <x v="5"/>
  </r>
  <r>
    <x v="0"/>
    <x v="0"/>
    <x v="0"/>
    <x v="0"/>
    <s v="101010020"/>
    <n v="1"/>
    <n v="12"/>
    <s v=" GASTOS MENORES"/>
    <n v="0"/>
    <m/>
    <n v="202501"/>
    <n v="20"/>
    <m/>
    <m/>
    <n v="1364"/>
    <n v="0"/>
    <n v="1364"/>
    <n v="0"/>
    <m/>
    <m/>
    <n v="0"/>
    <m/>
    <m/>
    <m/>
    <m/>
    <m/>
    <n v="0"/>
    <n v="0"/>
    <n v="0"/>
    <n v="1364"/>
    <s v="Tarjeta de Credito"/>
    <x v="3"/>
    <x v="22"/>
    <x v="2"/>
  </r>
  <r>
    <x v="21"/>
    <x v="0"/>
    <x v="0"/>
    <x v="2"/>
    <s v="020101011"/>
    <n v="1"/>
    <n v="12"/>
    <s v=" GASTOS MENORES"/>
    <n v="0"/>
    <m/>
    <n v="202501"/>
    <n v="10"/>
    <m/>
    <m/>
    <n v="1085.01"/>
    <n v="0"/>
    <n v="1085.01"/>
    <n v="0"/>
    <m/>
    <m/>
    <n v="0"/>
    <m/>
    <m/>
    <m/>
    <m/>
    <m/>
    <n v="0"/>
    <n v="0"/>
    <n v="0"/>
    <n v="1085.01"/>
    <s v="Tarjeta de Credito"/>
    <x v="3"/>
    <x v="17"/>
    <x v="4"/>
  </r>
  <r>
    <x v="21"/>
    <x v="0"/>
    <x v="0"/>
    <x v="2"/>
    <s v="0000000011"/>
    <n v="1"/>
    <n v="12"/>
    <s v=" GASTOS MENORES"/>
    <n v="0"/>
    <m/>
    <n v="202501"/>
    <n v="19"/>
    <m/>
    <m/>
    <n v="3720"/>
    <n v="0"/>
    <n v="3720"/>
    <n v="0"/>
    <m/>
    <m/>
    <n v="0"/>
    <m/>
    <m/>
    <m/>
    <m/>
    <m/>
    <n v="0"/>
    <n v="0"/>
    <n v="0"/>
    <n v="3720"/>
    <s v="Tarjeta de Credito"/>
    <x v="3"/>
    <x v="23"/>
    <x v="11"/>
  </r>
  <r>
    <x v="22"/>
    <x v="0"/>
    <x v="1"/>
    <x v="3"/>
    <s v="101008172"/>
    <n v="1"/>
    <n v="2"/>
    <s v="GASTOS POR TRABAJOS, SUMINISTROS Y SERVICIOS "/>
    <s v="B0108657107"/>
    <m/>
    <n v="202502"/>
    <n v="4"/>
    <m/>
    <m/>
    <n v="0"/>
    <n v="1458"/>
    <n v="1458"/>
    <n v="0"/>
    <m/>
    <m/>
    <n v="0"/>
    <m/>
    <m/>
    <m/>
    <m/>
    <m/>
    <n v="0"/>
    <n v="0"/>
    <n v="0"/>
    <n v="1458"/>
    <s v="Tarjeta de Credito"/>
    <x v="22"/>
    <x v="24"/>
    <x v="2"/>
  </r>
  <r>
    <x v="23"/>
    <x v="0"/>
    <x v="1"/>
    <x v="6"/>
    <s v="130794987"/>
    <n v="1"/>
    <n v="4"/>
    <s v="GASTOS DE ACTIVOS FIJO "/>
    <s v="B0101366307"/>
    <m/>
    <n v="202502"/>
    <n v="5"/>
    <m/>
    <m/>
    <n v="0"/>
    <n v="3429"/>
    <n v="3429"/>
    <n v="0"/>
    <m/>
    <m/>
    <n v="0"/>
    <m/>
    <m/>
    <m/>
    <m/>
    <m/>
    <n v="0"/>
    <n v="0"/>
    <n v="0"/>
    <n v="3429"/>
    <s v="Tarjeta de Credito"/>
    <x v="0"/>
    <x v="0"/>
    <x v="0"/>
  </r>
  <r>
    <x v="24"/>
    <x v="0"/>
    <x v="1"/>
    <x v="6"/>
    <s v="000000001"/>
    <n v="1"/>
    <n v="12"/>
    <s v=" GASTOS MENORES"/>
    <n v="0"/>
    <m/>
    <n v="202502"/>
    <n v="26"/>
    <m/>
    <m/>
    <n v="0"/>
    <n v="6000"/>
    <n v="6000"/>
    <n v="0"/>
    <n v="0"/>
    <n v="0"/>
    <n v="0"/>
    <n v="0"/>
    <n v="0"/>
    <n v="0"/>
    <n v="0"/>
    <n v="0"/>
    <n v="0"/>
    <n v="0"/>
    <n v="0"/>
    <n v="6000"/>
    <s v="Transferencia Bancaria"/>
    <x v="3"/>
    <x v="4"/>
    <x v="4"/>
  </r>
  <r>
    <x v="24"/>
    <x v="0"/>
    <x v="1"/>
    <x v="6"/>
    <s v="000000002"/>
    <n v="1"/>
    <n v="12"/>
    <s v=" GASTOS MENORES"/>
    <n v="0"/>
    <m/>
    <n v="202502"/>
    <n v="26"/>
    <m/>
    <m/>
    <n v="0"/>
    <n v="3000"/>
    <n v="3000"/>
    <n v="0"/>
    <n v="0"/>
    <n v="0"/>
    <n v="0"/>
    <n v="0"/>
    <n v="0"/>
    <n v="0"/>
    <n v="0"/>
    <n v="0"/>
    <n v="0"/>
    <n v="0"/>
    <n v="0"/>
    <n v="3000"/>
    <s v="Transferencia Bancaria"/>
    <x v="3"/>
    <x v="4"/>
    <x v="5"/>
  </r>
  <r>
    <x v="24"/>
    <x v="0"/>
    <x v="1"/>
    <x v="6"/>
    <s v="000000003"/>
    <n v="1"/>
    <n v="12"/>
    <s v=" GASTOS MENORES"/>
    <n v="0"/>
    <m/>
    <n v="202502"/>
    <n v="26"/>
    <m/>
    <m/>
    <n v="0"/>
    <n v="1500"/>
    <n v="1500"/>
    <n v="0"/>
    <n v="0"/>
    <n v="0"/>
    <n v="0"/>
    <n v="0"/>
    <n v="0"/>
    <n v="0"/>
    <n v="0"/>
    <n v="0"/>
    <n v="0"/>
    <n v="0"/>
    <n v="0"/>
    <n v="1500"/>
    <s v="Efectivo"/>
    <x v="3"/>
    <x v="4"/>
    <x v="6"/>
  </r>
  <r>
    <x v="24"/>
    <x v="0"/>
    <x v="1"/>
    <x v="6"/>
    <s v="000000004"/>
    <n v="1"/>
    <n v="12"/>
    <s v=" GASTOS MENORES"/>
    <n v="0"/>
    <m/>
    <n v="202502"/>
    <n v="26"/>
    <m/>
    <m/>
    <n v="0"/>
    <n v="500"/>
    <n v="500"/>
    <n v="0"/>
    <n v="0"/>
    <n v="0"/>
    <n v="0"/>
    <n v="0"/>
    <n v="0"/>
    <n v="0"/>
    <n v="0"/>
    <n v="0"/>
    <n v="0"/>
    <n v="0"/>
    <n v="0"/>
    <n v="500"/>
    <s v="Efectivo"/>
    <x v="3"/>
    <x v="4"/>
    <x v="7"/>
  </r>
  <r>
    <x v="24"/>
    <x v="0"/>
    <x v="1"/>
    <x v="6"/>
    <s v="000000005"/>
    <n v="1"/>
    <n v="12"/>
    <s v=" GASTOS MENORES"/>
    <n v="0"/>
    <m/>
    <n v="202502"/>
    <n v="26"/>
    <m/>
    <m/>
    <n v="0"/>
    <n v="500"/>
    <n v="500"/>
    <n v="0"/>
    <n v="0"/>
    <n v="0"/>
    <n v="0"/>
    <n v="0"/>
    <n v="0"/>
    <n v="0"/>
    <n v="0"/>
    <n v="0"/>
    <n v="0"/>
    <n v="0"/>
    <n v="0"/>
    <n v="500"/>
    <s v="Efectivo"/>
    <x v="3"/>
    <x v="4"/>
    <x v="8"/>
  </r>
  <r>
    <x v="25"/>
    <x v="0"/>
    <x v="1"/>
    <x v="6"/>
    <s v="130794987"/>
    <n v="1"/>
    <n v="4"/>
    <s v="GASTOS DE ACTIVOS FIJO "/>
    <s v="B0101369091"/>
    <m/>
    <n v="202502"/>
    <n v="12"/>
    <m/>
    <m/>
    <n v="0"/>
    <n v="4722"/>
    <n v="4722"/>
    <n v="0"/>
    <m/>
    <m/>
    <n v="0"/>
    <m/>
    <m/>
    <m/>
    <m/>
    <m/>
    <n v="0"/>
    <n v="0"/>
    <n v="0"/>
    <n v="4722"/>
    <s v="Tarjeta de Credito"/>
    <x v="0"/>
    <x v="1"/>
    <x v="1"/>
  </r>
  <r>
    <x v="26"/>
    <x v="0"/>
    <x v="1"/>
    <x v="6"/>
    <s v="130794987"/>
    <n v="1"/>
    <n v="4"/>
    <s v="GASTOS DE ACTIVOS FIJO "/>
    <s v="B0101370926"/>
    <m/>
    <n v="202502"/>
    <n v="19"/>
    <m/>
    <m/>
    <n v="0"/>
    <n v="3400"/>
    <n v="3400"/>
    <n v="0"/>
    <m/>
    <m/>
    <n v="0"/>
    <m/>
    <m/>
    <m/>
    <m/>
    <m/>
    <n v="0"/>
    <n v="0"/>
    <n v="0"/>
    <n v="3400"/>
    <s v="Tarjeta de Credito"/>
    <x v="0"/>
    <x v="0"/>
    <x v="0"/>
  </r>
  <r>
    <x v="27"/>
    <x v="0"/>
    <x v="1"/>
    <x v="5"/>
    <s v="131233465"/>
    <n v="1"/>
    <n v="2"/>
    <s v="GASTOS POR TRABAJOS, SUMINISTROS Y SERVICIOS "/>
    <s v="B0100045296"/>
    <m/>
    <n v="202502"/>
    <n v="13"/>
    <m/>
    <m/>
    <n v="0"/>
    <n v="500"/>
    <n v="500"/>
    <n v="90"/>
    <m/>
    <m/>
    <n v="0"/>
    <m/>
    <m/>
    <m/>
    <m/>
    <m/>
    <n v="0"/>
    <n v="0"/>
    <n v="50"/>
    <n v="640"/>
    <s v="Tarjeta de Credito"/>
    <x v="23"/>
    <x v="25"/>
    <x v="11"/>
  </r>
  <r>
    <x v="23"/>
    <x v="0"/>
    <x v="1"/>
    <x v="6"/>
    <s v="131341136"/>
    <n v="1"/>
    <n v="2"/>
    <s v="GASTOS POR TRABAJOS, SUMINISTROS Y SERVICIOS "/>
    <s v="B0100703870"/>
    <m/>
    <n v="202502"/>
    <n v="5"/>
    <m/>
    <m/>
    <n v="0"/>
    <n v="593.22"/>
    <n v="593.22"/>
    <n v="106.78"/>
    <m/>
    <m/>
    <n v="0"/>
    <m/>
    <m/>
    <m/>
    <m/>
    <m/>
    <n v="0"/>
    <n v="0"/>
    <n v="0"/>
    <n v="700"/>
    <s v="Tarjeta de Credito"/>
    <x v="2"/>
    <x v="3"/>
    <x v="3"/>
  </r>
  <r>
    <x v="28"/>
    <x v="0"/>
    <x v="1"/>
    <x v="4"/>
    <s v="130647811"/>
    <n v="1"/>
    <n v="2"/>
    <s v="GASTOS POR TRABAJOS, SUMINISTROS Y SERVICIOS "/>
    <s v="B0100008568"/>
    <m/>
    <n v="202502"/>
    <n v="16"/>
    <m/>
    <m/>
    <n v="0"/>
    <n v="1750"/>
    <n v="1750"/>
    <n v="315"/>
    <m/>
    <m/>
    <n v="0"/>
    <m/>
    <m/>
    <m/>
    <m/>
    <m/>
    <n v="0"/>
    <n v="0"/>
    <n v="0"/>
    <n v="2065"/>
    <s v="Tarjeta de Credito"/>
    <x v="24"/>
    <x v="3"/>
    <x v="3"/>
  </r>
  <r>
    <x v="29"/>
    <x v="0"/>
    <x v="1"/>
    <x v="1"/>
    <s v="130064423"/>
    <n v="1"/>
    <n v="2"/>
    <s v="GASTOS POR TRABAJOS, SUMINISTROS Y SERVICIOS "/>
    <s v="B0102092152"/>
    <m/>
    <n v="202502"/>
    <n v="8"/>
    <m/>
    <m/>
    <n v="0"/>
    <n v="1600"/>
    <n v="1600"/>
    <n v="0"/>
    <m/>
    <m/>
    <n v="0"/>
    <m/>
    <m/>
    <m/>
    <m/>
    <m/>
    <n v="0"/>
    <n v="0"/>
    <n v="0"/>
    <n v="1600"/>
    <s v="Tarjeta de Credito"/>
    <x v="6"/>
    <x v="8"/>
    <x v="10"/>
  </r>
  <r>
    <x v="22"/>
    <x v="0"/>
    <x v="1"/>
    <x v="3"/>
    <s v="131039499"/>
    <n v="1"/>
    <n v="2"/>
    <s v="GASTOS POR TRABAJOS, SUMINISTROS Y SERVICIOS "/>
    <s v="B0100097038"/>
    <m/>
    <n v="202502"/>
    <n v="4"/>
    <m/>
    <m/>
    <n v="0"/>
    <n v="373"/>
    <n v="373"/>
    <n v="0"/>
    <m/>
    <m/>
    <n v="0"/>
    <m/>
    <m/>
    <m/>
    <m/>
    <m/>
    <n v="0"/>
    <n v="0"/>
    <n v="0"/>
    <n v="373"/>
    <s v="Tarjeta de Credito"/>
    <x v="8"/>
    <x v="8"/>
    <x v="10"/>
  </r>
  <r>
    <x v="28"/>
    <x v="0"/>
    <x v="1"/>
    <x v="4"/>
    <s v="101043598"/>
    <n v="1"/>
    <n v="7"/>
    <s v="GASTOS FINANCIEROS "/>
    <s v="E310000175557"/>
    <m/>
    <n v="202502"/>
    <n v="16"/>
    <m/>
    <m/>
    <n v="0"/>
    <n v="48000"/>
    <n v="48000"/>
    <n v="0"/>
    <m/>
    <m/>
    <n v="0"/>
    <m/>
    <m/>
    <m/>
    <m/>
    <m/>
    <n v="0"/>
    <n v="0"/>
    <n v="0"/>
    <n v="48000"/>
    <s v="Transferencia Bancaria"/>
    <x v="4"/>
    <x v="5"/>
    <x v="9"/>
  </r>
  <r>
    <x v="30"/>
    <x v="0"/>
    <x v="1"/>
    <x v="1"/>
    <s v="835651126"/>
    <n v="1"/>
    <n v="7"/>
    <s v="GASTOS FINANCIEROS "/>
    <m/>
    <m/>
    <n v="202502"/>
    <n v="1"/>
    <m/>
    <m/>
    <n v="0"/>
    <n v="25404.27"/>
    <n v="25404.27"/>
    <n v="0"/>
    <m/>
    <m/>
    <n v="0"/>
    <m/>
    <m/>
    <m/>
    <m/>
    <m/>
    <n v="0"/>
    <n v="0"/>
    <n v="0"/>
    <n v="25404.27"/>
    <s v="Transferencia Bancaria"/>
    <x v="3"/>
    <x v="7"/>
    <x v="9"/>
  </r>
  <r>
    <x v="29"/>
    <x v="0"/>
    <x v="1"/>
    <x v="1"/>
    <s v="124003091"/>
    <n v="1"/>
    <n v="2"/>
    <s v="GASTOS POR TRABAJOS, SUMINISTROS Y SERVICIOS "/>
    <s v="E310000146373"/>
    <m/>
    <n v="202502"/>
    <n v="8"/>
    <m/>
    <m/>
    <n v="0"/>
    <n v="1367.19"/>
    <n v="1367.19"/>
    <n v="246.09"/>
    <m/>
    <m/>
    <n v="0"/>
    <m/>
    <m/>
    <m/>
    <m/>
    <m/>
    <n v="0"/>
    <n v="0"/>
    <n v="136.72"/>
    <n v="1750"/>
    <s v="Tarjeta de Credito"/>
    <x v="25"/>
    <x v="3"/>
    <x v="3"/>
  </r>
  <r>
    <x v="31"/>
    <x v="0"/>
    <x v="1"/>
    <x v="3"/>
    <s v="101555815"/>
    <n v="1"/>
    <n v="2"/>
    <s v="GASTOS POR TRABAJOS, SUMINISTROS Y SERVICIOS "/>
    <s v="E310000115333"/>
    <m/>
    <n v="202502"/>
    <n v="18"/>
    <m/>
    <m/>
    <n v="0"/>
    <n v="923.72"/>
    <n v="923.72"/>
    <n v="166.27"/>
    <m/>
    <m/>
    <n v="0"/>
    <m/>
    <m/>
    <m/>
    <m/>
    <m/>
    <n v="0"/>
    <n v="0"/>
    <n v="0"/>
    <n v="1089.99"/>
    <s v="Tarjeta de Credito"/>
    <x v="26"/>
    <x v="3"/>
    <x v="3"/>
  </r>
  <r>
    <x v="32"/>
    <x v="0"/>
    <x v="1"/>
    <x v="0"/>
    <s v="101602465"/>
    <n v="1"/>
    <n v="2"/>
    <s v="GASTOS POR TRABAJOS, SUMINISTROS Y SERVICIOS "/>
    <s v="E310006808261"/>
    <m/>
    <n v="202502"/>
    <n v="17"/>
    <m/>
    <m/>
    <n v="0"/>
    <n v="980.6"/>
    <n v="980.6"/>
    <n v="94.4"/>
    <m/>
    <m/>
    <n v="0"/>
    <m/>
    <m/>
    <m/>
    <m/>
    <m/>
    <n v="0"/>
    <n v="0"/>
    <n v="0"/>
    <n v="1075"/>
    <s v="Tarjeta de Credito"/>
    <x v="11"/>
    <x v="10"/>
    <x v="2"/>
  </r>
  <r>
    <x v="33"/>
    <x v="0"/>
    <x v="1"/>
    <x v="0"/>
    <s v="101602465"/>
    <n v="1"/>
    <n v="2"/>
    <s v="GASTOS POR TRABAJOS, SUMINISTROS Y SERVICIOS "/>
    <s v="E310006804353"/>
    <m/>
    <n v="202502"/>
    <n v="3"/>
    <m/>
    <m/>
    <n v="0"/>
    <n v="11975.380000000001"/>
    <n v="11975.380000000001"/>
    <n v="1142.6199999999999"/>
    <m/>
    <m/>
    <n v="0"/>
    <m/>
    <m/>
    <m/>
    <m/>
    <m/>
    <n v="0"/>
    <n v="0"/>
    <n v="0"/>
    <n v="13118"/>
    <s v="Tarjeta de Credito"/>
    <x v="11"/>
    <x v="10"/>
    <x v="2"/>
  </r>
  <r>
    <x v="34"/>
    <x v="0"/>
    <x v="1"/>
    <x v="0"/>
    <s v="4453939"/>
    <n v="1"/>
    <n v="7"/>
    <s v="GASTOS FINANCIEROS "/>
    <m/>
    <m/>
    <n v="202502"/>
    <n v="24"/>
    <m/>
    <m/>
    <n v="0"/>
    <n v="23443.75"/>
    <n v="23443.75"/>
    <n v="0"/>
    <m/>
    <m/>
    <n v="0"/>
    <m/>
    <m/>
    <m/>
    <m/>
    <m/>
    <n v="0"/>
    <n v="0"/>
    <n v="0"/>
    <n v="23443.75"/>
    <s v="Transferencia Bancaria"/>
    <x v="3"/>
    <x v="6"/>
    <x v="9"/>
  </r>
  <r>
    <x v="22"/>
    <x v="0"/>
    <x v="1"/>
    <x v="3"/>
    <s v="4458538"/>
    <n v="1"/>
    <n v="7"/>
    <s v="GASTOS FINANCIEROS "/>
    <m/>
    <m/>
    <n v="202502"/>
    <n v="4"/>
    <m/>
    <m/>
    <n v="0"/>
    <n v="15208.33"/>
    <n v="15208.33"/>
    <n v="0"/>
    <m/>
    <m/>
    <n v="0"/>
    <m/>
    <m/>
    <m/>
    <m/>
    <m/>
    <n v="0"/>
    <n v="0"/>
    <n v="0"/>
    <n v="15208.33"/>
    <s v="Transferencia Bancaria"/>
    <x v="3"/>
    <x v="6"/>
    <x v="9"/>
  </r>
  <r>
    <x v="35"/>
    <x v="0"/>
    <x v="1"/>
    <x v="2"/>
    <s v="101019921"/>
    <n v="1"/>
    <n v="2"/>
    <s v="GASTOS POR TRABAJOS, SUMINISTROS Y SERVICIOS "/>
    <s v="B0120521908"/>
    <m/>
    <n v="202502"/>
    <n v="7"/>
    <m/>
    <m/>
    <n v="0"/>
    <n v="1355.6"/>
    <n v="1355.6"/>
    <n v="65.709999999999994"/>
    <m/>
    <m/>
    <n v="0"/>
    <m/>
    <m/>
    <m/>
    <m/>
    <m/>
    <n v="0"/>
    <n v="0"/>
    <n v="0"/>
    <n v="1421.31"/>
    <s v="Tarjeta de Credito"/>
    <x v="14"/>
    <x v="10"/>
    <x v="2"/>
  </r>
  <r>
    <x v="36"/>
    <x v="0"/>
    <x v="1"/>
    <x v="3"/>
    <s v="101602465"/>
    <n v="1"/>
    <n v="2"/>
    <s v="GASTOS POR TRABAJOS, SUMINISTROS Y SERVICIOS "/>
    <s v="E310006806385"/>
    <m/>
    <n v="202502"/>
    <n v="11"/>
    <m/>
    <m/>
    <n v="0"/>
    <n v="2411.92"/>
    <n v="2411.92"/>
    <n v="130.08000000000001"/>
    <m/>
    <m/>
    <n v="0"/>
    <m/>
    <m/>
    <m/>
    <m/>
    <m/>
    <n v="0"/>
    <n v="0"/>
    <n v="0"/>
    <n v="2542"/>
    <s v="Tarjeta de Credito"/>
    <x v="11"/>
    <x v="10"/>
    <x v="2"/>
  </r>
  <r>
    <x v="37"/>
    <x v="0"/>
    <x v="1"/>
    <x v="2"/>
    <s v="101602465"/>
    <n v="1"/>
    <n v="2"/>
    <s v="GASTOS POR TRABAJOS, SUMINISTROS Y SERVICIOS "/>
    <s v="E310006807573"/>
    <m/>
    <n v="202502"/>
    <n v="14"/>
    <m/>
    <m/>
    <n v="0"/>
    <n v="2311.0700000000002"/>
    <n v="2311.0700000000002"/>
    <n v="133.93"/>
    <m/>
    <m/>
    <n v="0"/>
    <m/>
    <m/>
    <m/>
    <m/>
    <m/>
    <n v="0"/>
    <n v="0"/>
    <n v="0"/>
    <n v="2445"/>
    <s v="Tarjeta de Credito"/>
    <x v="11"/>
    <x v="10"/>
    <x v="2"/>
  </r>
  <r>
    <x v="38"/>
    <x v="0"/>
    <x v="1"/>
    <x v="4"/>
    <s v="130389586"/>
    <n v="1"/>
    <n v="2"/>
    <s v="GASTOS POR TRABAJOS, SUMINISTROS Y SERVICIOS "/>
    <s v="E310000132865"/>
    <m/>
    <n v="202502"/>
    <n v="23"/>
    <m/>
    <m/>
    <n v="0"/>
    <n v="1601.59"/>
    <n v="1601.59"/>
    <n v="288.29000000000002"/>
    <m/>
    <m/>
    <n v="0"/>
    <m/>
    <m/>
    <m/>
    <m/>
    <m/>
    <n v="0"/>
    <n v="0"/>
    <n v="160.16"/>
    <n v="2050.04"/>
    <s v="Tarjeta de Credito"/>
    <x v="12"/>
    <x v="3"/>
    <x v="3"/>
  </r>
  <r>
    <x v="38"/>
    <x v="0"/>
    <x v="1"/>
    <x v="4"/>
    <s v="101019921"/>
    <n v="1"/>
    <n v="2"/>
    <s v="GASTOS POR TRABAJOS, SUMINISTROS Y SERVICIOS "/>
    <s v="B0120525262"/>
    <m/>
    <n v="202502"/>
    <n v="23"/>
    <m/>
    <m/>
    <n v="0"/>
    <n v="1378.53"/>
    <n v="1378.53"/>
    <n v="86.94"/>
    <m/>
    <m/>
    <n v="0"/>
    <m/>
    <m/>
    <m/>
    <m/>
    <m/>
    <n v="0"/>
    <n v="0"/>
    <n v="0"/>
    <n v="1465.47"/>
    <s v="Tarjeta de Credito"/>
    <x v="14"/>
    <x v="10"/>
    <x v="2"/>
  </r>
  <r>
    <x v="39"/>
    <x v="0"/>
    <x v="1"/>
    <x v="5"/>
    <s v="101019921"/>
    <n v="1"/>
    <n v="2"/>
    <s v="GASTOS POR TRABAJOS, SUMINISTROS Y SERVICIOS "/>
    <s v="B0119458232"/>
    <m/>
    <n v="202502"/>
    <n v="27"/>
    <m/>
    <m/>
    <n v="0"/>
    <n v="2908.7400000000002"/>
    <n v="2908.7400000000002"/>
    <n v="429.81"/>
    <m/>
    <m/>
    <n v="0"/>
    <m/>
    <m/>
    <m/>
    <m/>
    <m/>
    <n v="0"/>
    <n v="0"/>
    <n v="0"/>
    <n v="3338.55"/>
    <s v="Tarjeta de Credito"/>
    <x v="14"/>
    <x v="10"/>
    <x v="2"/>
  </r>
  <r>
    <x v="25"/>
    <x v="0"/>
    <x v="1"/>
    <x v="6"/>
    <s v="101796822"/>
    <n v="1"/>
    <n v="2"/>
    <s v="GASTOS POR TRABAJOS, SUMINISTROS Y SERVICIOS "/>
    <s v="E310005488429"/>
    <m/>
    <n v="202502"/>
    <n v="12"/>
    <m/>
    <m/>
    <n v="0"/>
    <n v="1356.45"/>
    <n v="1356.45"/>
    <n v="209.05"/>
    <m/>
    <m/>
    <n v="0"/>
    <m/>
    <m/>
    <m/>
    <m/>
    <m/>
    <n v="0"/>
    <n v="0"/>
    <n v="0"/>
    <n v="1565.5"/>
    <s v="Tarjeta de Credito"/>
    <x v="27"/>
    <x v="10"/>
    <x v="2"/>
  </r>
  <r>
    <x v="26"/>
    <x v="0"/>
    <x v="1"/>
    <x v="6"/>
    <s v="101602465"/>
    <n v="1"/>
    <n v="2"/>
    <s v="GASTOS POR TRABAJOS, SUMINISTROS Y SERVICIOS "/>
    <s v="E310006969133"/>
    <m/>
    <n v="202502"/>
    <n v="19"/>
    <m/>
    <m/>
    <n v="0"/>
    <n v="14677.369999999999"/>
    <n v="14677.369999999999"/>
    <n v="1381.63"/>
    <m/>
    <m/>
    <n v="0"/>
    <m/>
    <m/>
    <m/>
    <m/>
    <m/>
    <n v="0"/>
    <n v="0"/>
    <n v="0"/>
    <n v="16059"/>
    <s v="Tarjeta de Credito"/>
    <x v="11"/>
    <x v="10"/>
    <x v="2"/>
  </r>
  <r>
    <x v="35"/>
    <x v="0"/>
    <x v="1"/>
    <x v="2"/>
    <s v="131751253"/>
    <n v="1"/>
    <n v="2"/>
    <s v="GASTOS POR TRABAJOS, SUMINISTROS Y SERVICIOS "/>
    <s v="B0100058136"/>
    <m/>
    <n v="202502"/>
    <n v="7"/>
    <m/>
    <m/>
    <n v="0"/>
    <n v="580.51"/>
    <n v="580.51"/>
    <n v="104.5"/>
    <m/>
    <m/>
    <n v="0"/>
    <m/>
    <m/>
    <m/>
    <m/>
    <m/>
    <n v="0"/>
    <n v="0"/>
    <n v="0"/>
    <n v="685.01"/>
    <s v="Tarjeta de Credito"/>
    <x v="28"/>
    <x v="26"/>
    <x v="2"/>
  </r>
  <r>
    <x v="37"/>
    <x v="0"/>
    <x v="1"/>
    <x v="2"/>
    <s v="130196796"/>
    <n v="1"/>
    <n v="2"/>
    <s v="GASTOS POR TRABAJOS, SUMINISTROS Y SERVICIOS "/>
    <s v="B0100070048"/>
    <m/>
    <n v="202502"/>
    <n v="14"/>
    <m/>
    <m/>
    <n v="2876"/>
    <n v="0"/>
    <n v="2876"/>
    <n v="0"/>
    <m/>
    <m/>
    <n v="0"/>
    <m/>
    <m/>
    <m/>
    <m/>
    <m/>
    <n v="0"/>
    <n v="0"/>
    <n v="0"/>
    <n v="2876"/>
    <s v="Tarjeta de Credito"/>
    <x v="17"/>
    <x v="14"/>
    <x v="7"/>
  </r>
  <r>
    <x v="40"/>
    <x v="0"/>
    <x v="1"/>
    <x v="2"/>
    <s v="130196796"/>
    <n v="1"/>
    <n v="2"/>
    <s v="GASTOS POR TRABAJOS, SUMINISTROS Y SERVICIOS "/>
    <s v="B0100070225"/>
    <m/>
    <n v="202502"/>
    <n v="28"/>
    <m/>
    <m/>
    <n v="3195"/>
    <n v="0"/>
    <n v="3195"/>
    <n v="0"/>
    <m/>
    <m/>
    <n v="0"/>
    <m/>
    <m/>
    <m/>
    <m/>
    <m/>
    <n v="0"/>
    <n v="0"/>
    <n v="0"/>
    <n v="3195"/>
    <s v="Tarjeta de Credito"/>
    <x v="17"/>
    <x v="14"/>
    <x v="6"/>
  </r>
  <r>
    <x v="40"/>
    <x v="0"/>
    <x v="1"/>
    <x v="2"/>
    <s v="130196796"/>
    <n v="1"/>
    <n v="2"/>
    <s v="GASTOS POR TRABAJOS, SUMINISTROS Y SERVICIOS "/>
    <s v="B0100070225"/>
    <m/>
    <n v="202502"/>
    <n v="28"/>
    <m/>
    <m/>
    <n v="2606"/>
    <n v="0"/>
    <n v="2606"/>
    <n v="0"/>
    <m/>
    <m/>
    <n v="0"/>
    <m/>
    <m/>
    <m/>
    <m/>
    <m/>
    <n v="0"/>
    <n v="0"/>
    <n v="0"/>
    <n v="2606"/>
    <s v="Tarjeta de Credito"/>
    <x v="17"/>
    <x v="14"/>
    <x v="8"/>
  </r>
  <r>
    <x v="32"/>
    <x v="0"/>
    <x v="1"/>
    <x v="0"/>
    <s v="101001577"/>
    <n v="1"/>
    <n v="2"/>
    <s v="GASTOS POR TRABAJOS, SUMINISTROS Y SERVICIOS "/>
    <s v="E310010999069"/>
    <m/>
    <n v="202502"/>
    <n v="17"/>
    <m/>
    <m/>
    <n v="1153.08"/>
    <n v="0"/>
    <n v="1153.08"/>
    <n v="207.55"/>
    <m/>
    <m/>
    <n v="0"/>
    <m/>
    <m/>
    <m/>
    <m/>
    <m/>
    <n v="115.31"/>
    <n v="23.06"/>
    <n v="0"/>
    <n v="1498.9999999999998"/>
    <s v="Tarjeta de Credito"/>
    <x v="19"/>
    <x v="16"/>
    <x v="2"/>
  </r>
  <r>
    <x v="32"/>
    <x v="0"/>
    <x v="1"/>
    <x v="0"/>
    <s v="101001577"/>
    <n v="1"/>
    <n v="2"/>
    <s v="GASTOS POR TRABAJOS, SUMINISTROS Y SERVICIOS "/>
    <s v="E310010996240"/>
    <m/>
    <n v="202502"/>
    <n v="17"/>
    <m/>
    <m/>
    <n v="2407.69"/>
    <n v="0"/>
    <n v="2407.69"/>
    <n v="433.39"/>
    <m/>
    <m/>
    <n v="0"/>
    <m/>
    <m/>
    <m/>
    <m/>
    <m/>
    <n v="240.77"/>
    <n v="48.15"/>
    <n v="0"/>
    <n v="3130"/>
    <s v="Tarjeta de Credito"/>
    <x v="19"/>
    <x v="17"/>
    <x v="11"/>
  </r>
  <r>
    <x v="26"/>
    <x v="0"/>
    <x v="1"/>
    <x v="6"/>
    <s v="101820217"/>
    <n v="1"/>
    <n v="2"/>
    <s v="GASTOS POR TRABAJOS, SUMINISTROS Y SERVICIOS "/>
    <s v="E310000075985"/>
    <m/>
    <n v="202502"/>
    <n v="19"/>
    <m/>
    <m/>
    <n v="4566.99"/>
    <n v="0"/>
    <n v="4566.99"/>
    <n v="0"/>
    <m/>
    <m/>
    <n v="0"/>
    <m/>
    <m/>
    <m/>
    <m/>
    <m/>
    <n v="0"/>
    <n v="0"/>
    <n v="0"/>
    <n v="4566.99"/>
    <s v="Tarjeta de Credito"/>
    <x v="20"/>
    <x v="18"/>
    <x v="2"/>
  </r>
  <r>
    <x v="41"/>
    <x v="0"/>
    <x v="1"/>
    <x v="5"/>
    <s v="101602465"/>
    <n v="1"/>
    <n v="2"/>
    <s v="GASTOS POR TRABAJOS, SUMINISTROS Y SERVICIOS "/>
    <n v="0"/>
    <m/>
    <n v="202502"/>
    <n v="20"/>
    <m/>
    <m/>
    <n v="1390"/>
    <n v="0"/>
    <n v="1390"/>
    <n v="0"/>
    <m/>
    <m/>
    <n v="0"/>
    <m/>
    <m/>
    <m/>
    <m/>
    <m/>
    <n v="0"/>
    <n v="0"/>
    <n v="0"/>
    <n v="1390"/>
    <s v="Tarjeta de Credito"/>
    <x v="11"/>
    <x v="20"/>
    <x v="5"/>
  </r>
  <r>
    <x v="41"/>
    <x v="0"/>
    <x v="1"/>
    <x v="5"/>
    <s v="101010020"/>
    <n v="1"/>
    <n v="12"/>
    <s v=" GASTOS MENORES"/>
    <n v="0"/>
    <m/>
    <n v="202502"/>
    <n v="20"/>
    <m/>
    <m/>
    <n v="1364"/>
    <n v="0"/>
    <n v="1364"/>
    <n v="0"/>
    <m/>
    <m/>
    <n v="0"/>
    <m/>
    <m/>
    <m/>
    <m/>
    <m/>
    <n v="0"/>
    <n v="0"/>
    <n v="0"/>
    <n v="1364"/>
    <s v="Tarjeta de Credito"/>
    <x v="3"/>
    <x v="22"/>
    <x v="2"/>
  </r>
  <r>
    <x v="39"/>
    <x v="0"/>
    <x v="1"/>
    <x v="5"/>
    <s v="00000000"/>
    <n v="1"/>
    <n v="12"/>
    <s v=" GASTOS MENORES"/>
    <n v="0"/>
    <m/>
    <n v="202502"/>
    <n v="27"/>
    <m/>
    <m/>
    <n v="0"/>
    <n v="2000"/>
    <n v="2000"/>
    <n v="0"/>
    <n v="0"/>
    <n v="0"/>
    <n v="0"/>
    <n v="0"/>
    <n v="0"/>
    <n v="0"/>
    <n v="0"/>
    <n v="0"/>
    <n v="0"/>
    <n v="0"/>
    <n v="0"/>
    <n v="2000"/>
    <s v="Transferencia Bancaria"/>
    <x v="3"/>
    <x v="19"/>
    <x v="8"/>
  </r>
  <r>
    <x v="39"/>
    <x v="0"/>
    <x v="1"/>
    <x v="5"/>
    <s v="00000000"/>
    <n v="1"/>
    <n v="12"/>
    <s v=" GASTOS MENORES"/>
    <n v="0"/>
    <m/>
    <n v="202502"/>
    <n v="27"/>
    <m/>
    <m/>
    <n v="0"/>
    <n v="2000"/>
    <n v="2000"/>
    <n v="0"/>
    <n v="0"/>
    <n v="0"/>
    <n v="0"/>
    <n v="0"/>
    <n v="0"/>
    <n v="0"/>
    <n v="0"/>
    <n v="0"/>
    <n v="0"/>
    <n v="0"/>
    <n v="0"/>
    <n v="2000"/>
    <s v="Transferencia Bancaria"/>
    <x v="3"/>
    <x v="19"/>
    <x v="6"/>
  </r>
  <r>
    <x v="42"/>
    <x v="0"/>
    <x v="1"/>
    <x v="0"/>
    <s v="101001577"/>
    <n v="1"/>
    <n v="12"/>
    <s v=" GASTOS MENORES"/>
    <n v="0"/>
    <m/>
    <n v="202502"/>
    <n v="10"/>
    <m/>
    <m/>
    <n v="1085.01"/>
    <n v="0"/>
    <n v="1085.01"/>
    <n v="0"/>
    <m/>
    <m/>
    <n v="0"/>
    <m/>
    <m/>
    <m/>
    <m/>
    <m/>
    <n v="0"/>
    <n v="0"/>
    <n v="0"/>
    <n v="1085.01"/>
    <s v="Tarjeta de Credito"/>
    <x v="19"/>
    <x v="17"/>
    <x v="4"/>
  </r>
  <r>
    <x v="43"/>
    <x v="0"/>
    <x v="2"/>
    <x v="0"/>
    <s v="4453939"/>
    <n v="1"/>
    <n v="7"/>
    <s v="GASTOS FINANCIEROS "/>
    <m/>
    <m/>
    <n v="202503"/>
    <n v="24"/>
    <m/>
    <m/>
    <n v="0"/>
    <n v="23443.75"/>
    <n v="23443.75"/>
    <n v="0"/>
    <m/>
    <m/>
    <n v="0"/>
    <m/>
    <m/>
    <m/>
    <m/>
    <m/>
    <n v="0"/>
    <n v="0"/>
    <n v="0"/>
    <n v="23443.75"/>
    <s v="Transferencia Bancaria"/>
    <x v="3"/>
    <x v="6"/>
    <x v="9"/>
  </r>
  <r>
    <x v="44"/>
    <x v="0"/>
    <x v="2"/>
    <x v="3"/>
    <s v="4458538"/>
    <n v="1"/>
    <n v="7"/>
    <s v="GASTOS FINANCIEROS "/>
    <m/>
    <m/>
    <n v="202503"/>
    <n v="4"/>
    <m/>
    <m/>
    <n v="0"/>
    <n v="15208.33"/>
    <n v="15208.33"/>
    <n v="0"/>
    <m/>
    <m/>
    <n v="0"/>
    <m/>
    <m/>
    <m/>
    <m/>
    <m/>
    <n v="0"/>
    <n v="0"/>
    <n v="0"/>
    <n v="15208.33"/>
    <s v="Transferencia Bancaria"/>
    <x v="3"/>
    <x v="6"/>
    <x v="9"/>
  </r>
  <r>
    <x v="45"/>
    <x v="0"/>
    <x v="2"/>
    <x v="4"/>
    <s v="101043598"/>
    <n v="1"/>
    <n v="7"/>
    <s v="GASTOS FINANCIEROS "/>
    <s v="E310000175557"/>
    <m/>
    <n v="202503"/>
    <n v="16"/>
    <m/>
    <m/>
    <n v="0"/>
    <n v="48000"/>
    <n v="48000"/>
    <n v="0"/>
    <m/>
    <m/>
    <n v="0"/>
    <m/>
    <m/>
    <m/>
    <m/>
    <m/>
    <n v="0"/>
    <n v="0"/>
    <n v="0"/>
    <n v="48000"/>
    <s v="Transferencia Bancaria"/>
    <x v="4"/>
    <x v="5"/>
    <x v="9"/>
  </r>
  <r>
    <x v="46"/>
    <x v="0"/>
    <x v="2"/>
    <x v="1"/>
    <s v="835651126"/>
    <n v="1"/>
    <n v="7"/>
    <s v="GASTOS FINANCIEROS "/>
    <m/>
    <m/>
    <n v="202503"/>
    <n v="1"/>
    <m/>
    <m/>
    <n v="0"/>
    <n v="25404.27"/>
    <n v="25404.27"/>
    <n v="0"/>
    <m/>
    <m/>
    <n v="0"/>
    <m/>
    <m/>
    <m/>
    <m/>
    <m/>
    <n v="0"/>
    <n v="0"/>
    <n v="0"/>
    <n v="25404.27"/>
    <s v="Transferencia Bancaria"/>
    <x v="3"/>
    <x v="7"/>
    <x v="9"/>
  </r>
  <r>
    <x v="47"/>
    <x v="0"/>
    <x v="2"/>
    <x v="5"/>
    <s v="101602465"/>
    <n v="1"/>
    <n v="12"/>
    <s v=" GASTOS MENORES"/>
    <n v="0"/>
    <m/>
    <n v="202503"/>
    <n v="20"/>
    <m/>
    <m/>
    <n v="0"/>
    <n v="1390"/>
    <n v="1390"/>
    <n v="0"/>
    <m/>
    <m/>
    <n v="0"/>
    <m/>
    <m/>
    <m/>
    <m/>
    <m/>
    <n v="0"/>
    <n v="0"/>
    <n v="0"/>
    <n v="1390"/>
    <s v="Tarjeta de Credito"/>
    <x v="11"/>
    <x v="20"/>
    <x v="5"/>
  </r>
  <r>
    <x v="47"/>
    <x v="0"/>
    <x v="2"/>
    <x v="5"/>
    <s v="101010020"/>
    <n v="1"/>
    <n v="12"/>
    <s v=" GASTOS MENORES"/>
    <n v="0"/>
    <m/>
    <n v="202503"/>
    <n v="20"/>
    <m/>
    <m/>
    <n v="1364"/>
    <n v="0"/>
    <n v="1364"/>
    <n v="0"/>
    <m/>
    <m/>
    <n v="0"/>
    <m/>
    <m/>
    <m/>
    <m/>
    <m/>
    <n v="0"/>
    <n v="0"/>
    <n v="0"/>
    <n v="1364"/>
    <s v="Tarjeta de Credito"/>
    <x v="3"/>
    <x v="22"/>
    <x v="2"/>
  </r>
  <r>
    <x v="48"/>
    <x v="0"/>
    <x v="2"/>
    <x v="5"/>
    <s v="00000000"/>
    <n v="1"/>
    <n v="12"/>
    <s v=" GASTOS MENORES"/>
    <n v="0"/>
    <m/>
    <n v="202503"/>
    <n v="27"/>
    <m/>
    <m/>
    <n v="0"/>
    <n v="2000"/>
    <n v="2000"/>
    <m/>
    <m/>
    <m/>
    <m/>
    <m/>
    <m/>
    <m/>
    <m/>
    <m/>
    <m/>
    <m/>
    <m/>
    <n v="2000"/>
    <s v="Transferencia Bancaria"/>
    <x v="3"/>
    <x v="19"/>
    <x v="8"/>
  </r>
  <r>
    <x v="48"/>
    <x v="0"/>
    <x v="2"/>
    <x v="5"/>
    <s v="00000000"/>
    <n v="1"/>
    <n v="12"/>
    <s v=" GASTOS MENORES"/>
    <n v="0"/>
    <m/>
    <n v="202503"/>
    <n v="27"/>
    <m/>
    <m/>
    <n v="0"/>
    <n v="2000"/>
    <n v="2000"/>
    <m/>
    <m/>
    <m/>
    <m/>
    <m/>
    <m/>
    <m/>
    <m/>
    <m/>
    <m/>
    <m/>
    <m/>
    <n v="2000"/>
    <s v="Transferencia Bancaria"/>
    <x v="3"/>
    <x v="19"/>
    <x v="6"/>
  </r>
  <r>
    <x v="49"/>
    <x v="0"/>
    <x v="2"/>
    <x v="6"/>
    <s v="101025794"/>
    <n v="1"/>
    <n v="2"/>
    <s v="GASTOS POR TRABAJOS, SUMINISTROS Y SERVICIOS "/>
    <s v="B0100145993"/>
    <m/>
    <n v="202503"/>
    <n v="12"/>
    <m/>
    <m/>
    <n v="0"/>
    <n v="1578"/>
    <n v="1578"/>
    <n v="0"/>
    <m/>
    <m/>
    <n v="0"/>
    <m/>
    <m/>
    <m/>
    <m/>
    <m/>
    <n v="0"/>
    <n v="0"/>
    <n v="0"/>
    <n v="1578"/>
    <s v="Tarjeta de Credito"/>
    <x v="29"/>
    <x v="24"/>
    <x v="2"/>
  </r>
  <r>
    <x v="50"/>
    <x v="0"/>
    <x v="2"/>
    <x v="5"/>
    <s v="130794987"/>
    <n v="1"/>
    <n v="2"/>
    <s v="GASTOS POR TRABAJOS, SUMINISTROS Y SERVICIOS "/>
    <s v="B0101376535"/>
    <m/>
    <n v="202503"/>
    <n v="6"/>
    <m/>
    <m/>
    <n v="0"/>
    <n v="3358"/>
    <n v="3358"/>
    <n v="0"/>
    <m/>
    <m/>
    <n v="0"/>
    <m/>
    <m/>
    <m/>
    <m/>
    <m/>
    <n v="0"/>
    <n v="0"/>
    <n v="0"/>
    <n v="3358"/>
    <s v="Tarjeta de Credito"/>
    <x v="0"/>
    <x v="0"/>
    <x v="0"/>
  </r>
  <r>
    <x v="51"/>
    <x v="0"/>
    <x v="2"/>
    <x v="2"/>
    <s v="130794987"/>
    <n v="1"/>
    <n v="2"/>
    <s v="GASTOS POR TRABAJOS, SUMINISTROS Y SERVICIOS "/>
    <s v="B0101377121"/>
    <m/>
    <n v="202503"/>
    <n v="7"/>
    <m/>
    <m/>
    <n v="0"/>
    <n v="4867"/>
    <n v="4867"/>
    <n v="0"/>
    <m/>
    <m/>
    <n v="0"/>
    <m/>
    <m/>
    <m/>
    <m/>
    <m/>
    <n v="0"/>
    <n v="0"/>
    <n v="0"/>
    <n v="4867"/>
    <s v="Tarjeta de Credito"/>
    <x v="0"/>
    <x v="1"/>
    <x v="1"/>
  </r>
  <r>
    <x v="52"/>
    <x v="0"/>
    <x v="2"/>
    <x v="1"/>
    <s v="130794987"/>
    <n v="1"/>
    <n v="2"/>
    <s v="GASTOS POR TRABAJOS, SUMINISTROS Y SERVICIOS "/>
    <s v="B0101384645"/>
    <m/>
    <n v="202503"/>
    <n v="22"/>
    <m/>
    <m/>
    <n v="0"/>
    <n v="4822.8999999999996"/>
    <n v="4822.8999999999996"/>
    <n v="0"/>
    <m/>
    <m/>
    <n v="0"/>
    <m/>
    <m/>
    <m/>
    <m/>
    <m/>
    <n v="0"/>
    <n v="0"/>
    <n v="0"/>
    <n v="4822.8999999999996"/>
    <s v="Tarjeta de Credito"/>
    <x v="0"/>
    <x v="1"/>
    <x v="1"/>
  </r>
  <r>
    <x v="53"/>
    <x v="0"/>
    <x v="2"/>
    <x v="6"/>
    <s v="000000001"/>
    <n v="1"/>
    <n v="12"/>
    <s v=" GASTOS MENORES"/>
    <n v="0"/>
    <m/>
    <n v="202503"/>
    <n v="26"/>
    <m/>
    <m/>
    <n v="0"/>
    <n v="6000"/>
    <n v="6000"/>
    <n v="0"/>
    <n v="0"/>
    <n v="0"/>
    <n v="0"/>
    <n v="0"/>
    <n v="0"/>
    <n v="0"/>
    <n v="0"/>
    <n v="0"/>
    <n v="0"/>
    <n v="0"/>
    <n v="0"/>
    <n v="6000"/>
    <s v="Transferencia Bancaria"/>
    <x v="3"/>
    <x v="4"/>
    <x v="4"/>
  </r>
  <r>
    <x v="53"/>
    <x v="0"/>
    <x v="2"/>
    <x v="6"/>
    <s v="000000002"/>
    <n v="1"/>
    <n v="12"/>
    <s v=" GASTOS MENORES"/>
    <n v="0"/>
    <m/>
    <n v="202503"/>
    <n v="26"/>
    <m/>
    <m/>
    <n v="0"/>
    <n v="3000"/>
    <n v="3000"/>
    <n v="0"/>
    <n v="0"/>
    <n v="0"/>
    <n v="0"/>
    <n v="0"/>
    <n v="0"/>
    <n v="0"/>
    <n v="0"/>
    <n v="0"/>
    <n v="0"/>
    <n v="0"/>
    <n v="0"/>
    <n v="3000"/>
    <s v="Transferencia Bancaria"/>
    <x v="3"/>
    <x v="4"/>
    <x v="5"/>
  </r>
  <r>
    <x v="53"/>
    <x v="0"/>
    <x v="2"/>
    <x v="6"/>
    <s v="000000003"/>
    <n v="1"/>
    <n v="12"/>
    <s v=" GASTOS MENORES"/>
    <n v="0"/>
    <m/>
    <n v="202503"/>
    <n v="26"/>
    <m/>
    <m/>
    <n v="0"/>
    <n v="1500"/>
    <n v="1500"/>
    <n v="0"/>
    <n v="0"/>
    <n v="0"/>
    <n v="0"/>
    <n v="0"/>
    <n v="0"/>
    <n v="0"/>
    <n v="0"/>
    <n v="0"/>
    <n v="0"/>
    <n v="0"/>
    <n v="0"/>
    <n v="1500"/>
    <s v="Efectivo"/>
    <x v="3"/>
    <x v="4"/>
    <x v="6"/>
  </r>
  <r>
    <x v="53"/>
    <x v="0"/>
    <x v="2"/>
    <x v="6"/>
    <s v="000000004"/>
    <n v="1"/>
    <n v="12"/>
    <s v=" GASTOS MENORES"/>
    <n v="0"/>
    <m/>
    <n v="202503"/>
    <n v="26"/>
    <m/>
    <m/>
    <n v="0"/>
    <n v="500"/>
    <n v="500"/>
    <n v="0"/>
    <n v="0"/>
    <n v="0"/>
    <n v="0"/>
    <n v="0"/>
    <n v="0"/>
    <n v="0"/>
    <n v="0"/>
    <n v="0"/>
    <n v="0"/>
    <n v="0"/>
    <n v="0"/>
    <n v="500"/>
    <s v="Efectivo"/>
    <x v="3"/>
    <x v="4"/>
    <x v="7"/>
  </r>
  <r>
    <x v="53"/>
    <x v="0"/>
    <x v="2"/>
    <x v="6"/>
    <s v="000000005"/>
    <n v="1"/>
    <n v="12"/>
    <s v=" GASTOS MENORES"/>
    <n v="0"/>
    <m/>
    <n v="202503"/>
    <n v="26"/>
    <m/>
    <m/>
    <n v="0"/>
    <n v="500"/>
    <n v="500"/>
    <n v="0"/>
    <n v="0"/>
    <n v="0"/>
    <n v="0"/>
    <n v="0"/>
    <n v="0"/>
    <n v="0"/>
    <n v="0"/>
    <n v="0"/>
    <n v="0"/>
    <n v="0"/>
    <n v="0"/>
    <n v="500"/>
    <s v="Efectivo"/>
    <x v="3"/>
    <x v="4"/>
    <x v="8"/>
  </r>
  <r>
    <x v="52"/>
    <x v="0"/>
    <x v="2"/>
    <x v="1"/>
    <s v="130794987"/>
    <n v="1"/>
    <n v="2"/>
    <s v="GASTOS POR TRABAJOS, SUMINISTROS Y SERVICIOS "/>
    <s v="B0101384315"/>
    <m/>
    <n v="202503"/>
    <n v="22"/>
    <m/>
    <m/>
    <n v="0"/>
    <n v="3564"/>
    <n v="3564"/>
    <n v="0"/>
    <m/>
    <m/>
    <n v="0"/>
    <m/>
    <m/>
    <m/>
    <m/>
    <m/>
    <n v="0"/>
    <n v="0"/>
    <n v="0"/>
    <n v="3564"/>
    <s v="Tarjeta de Credito"/>
    <x v="0"/>
    <x v="0"/>
    <x v="0"/>
  </r>
  <r>
    <x v="54"/>
    <x v="0"/>
    <x v="2"/>
    <x v="1"/>
    <s v="131341136"/>
    <n v="1"/>
    <n v="2"/>
    <s v="GASTOS POR TRABAJOS, SUMINISTROS Y SERVICIOS "/>
    <s v="B0100704170"/>
    <m/>
    <n v="202503"/>
    <n v="15"/>
    <m/>
    <m/>
    <n v="0"/>
    <n v="656.78"/>
    <n v="656.78"/>
    <n v="118.22"/>
    <m/>
    <m/>
    <n v="0"/>
    <m/>
    <m/>
    <m/>
    <m/>
    <m/>
    <n v="0"/>
    <n v="0"/>
    <n v="0"/>
    <n v="775"/>
    <s v="Tarjeta de Credito"/>
    <x v="2"/>
    <x v="3"/>
    <x v="3"/>
  </r>
  <r>
    <x v="55"/>
    <x v="0"/>
    <x v="2"/>
    <x v="3"/>
    <s v="130323372"/>
    <n v="1"/>
    <n v="2"/>
    <s v="GASTOS POR TRABAJOS, SUMINISTROS Y SERVICIOS "/>
    <s v="B0100033537"/>
    <m/>
    <n v="202503"/>
    <n v="11"/>
    <m/>
    <m/>
    <n v="0"/>
    <n v="250"/>
    <n v="250"/>
    <n v="45"/>
    <m/>
    <m/>
    <n v="0"/>
    <m/>
    <m/>
    <m/>
    <m/>
    <m/>
    <n v="0"/>
    <n v="0"/>
    <n v="0"/>
    <n v="295"/>
    <s v="Tarjeta de Credito"/>
    <x v="3"/>
    <x v="27"/>
    <x v="2"/>
  </r>
  <r>
    <x v="56"/>
    <x v="0"/>
    <x v="2"/>
    <x v="6"/>
    <s v="130064423"/>
    <n v="1"/>
    <n v="2"/>
    <s v="GASTOS POR TRABAJOS, SUMINISTROS Y SERVICIOS "/>
    <s v="B0102123646"/>
    <m/>
    <n v="202503"/>
    <n v="5"/>
    <m/>
    <m/>
    <n v="0"/>
    <n v="2015.37"/>
    <n v="2015.37"/>
    <n v="0"/>
    <m/>
    <m/>
    <n v="0"/>
    <m/>
    <m/>
    <m/>
    <m/>
    <m/>
    <n v="0"/>
    <n v="0"/>
    <n v="0"/>
    <n v="2015.37"/>
    <s v="Tarjeta de Credito"/>
    <x v="6"/>
    <x v="8"/>
    <x v="2"/>
  </r>
  <r>
    <x v="57"/>
    <x v="0"/>
    <x v="2"/>
    <x v="2"/>
    <s v="101023163"/>
    <n v="1"/>
    <n v="2"/>
    <s v="GASTOS POR TRABAJOS, SUMINISTROS Y SERVICIOS "/>
    <s v="B0229305648"/>
    <m/>
    <n v="202503"/>
    <n v="21"/>
    <m/>
    <m/>
    <n v="0"/>
    <n v="1754.24"/>
    <n v="1754.24"/>
    <n v="315.76"/>
    <m/>
    <m/>
    <n v="0"/>
    <m/>
    <m/>
    <m/>
    <m/>
    <m/>
    <n v="0"/>
    <n v="0"/>
    <n v="0"/>
    <n v="2070"/>
    <s v="Tarjeta de Credito"/>
    <x v="30"/>
    <x v="28"/>
    <x v="2"/>
  </r>
  <r>
    <x v="53"/>
    <x v="0"/>
    <x v="2"/>
    <x v="6"/>
    <s v="101602465"/>
    <n v="1"/>
    <n v="2"/>
    <s v="GASTOS POR TRABAJOS, SUMINISTROS Y SERVICIOS "/>
    <s v="E310007122244"/>
    <m/>
    <n v="202503"/>
    <n v="26"/>
    <m/>
    <m/>
    <n v="0"/>
    <n v="439.83"/>
    <n v="439.83"/>
    <n v="23.17"/>
    <m/>
    <m/>
    <n v="0"/>
    <m/>
    <m/>
    <m/>
    <m/>
    <m/>
    <n v="0"/>
    <n v="0"/>
    <n v="0"/>
    <n v="463"/>
    <s v="Tarjeta de Credito"/>
    <x v="11"/>
    <x v="10"/>
    <x v="2"/>
  </r>
  <r>
    <x v="52"/>
    <x v="0"/>
    <x v="2"/>
    <x v="1"/>
    <s v="101602465"/>
    <n v="1"/>
    <n v="1"/>
    <s v="GASTO DE PERSONAL "/>
    <s v="E310007121258"/>
    <m/>
    <n v="202503"/>
    <n v="22"/>
    <m/>
    <m/>
    <n v="0"/>
    <n v="509.67"/>
    <n v="509.67"/>
    <n v="79.33"/>
    <m/>
    <m/>
    <n v="0"/>
    <m/>
    <m/>
    <m/>
    <m/>
    <m/>
    <n v="0"/>
    <n v="0"/>
    <n v="0"/>
    <n v="589"/>
    <s v="Tarjeta de Credito"/>
    <x v="11"/>
    <x v="10"/>
    <x v="2"/>
  </r>
  <r>
    <x v="58"/>
    <x v="0"/>
    <x v="2"/>
    <x v="2"/>
    <s v="101602465"/>
    <n v="1"/>
    <n v="2"/>
    <s v="GASTOS POR TRABAJOS, SUMINISTROS Y SERVICIOS "/>
    <s v="E310007122869"/>
    <m/>
    <n v="202503"/>
    <n v="28"/>
    <m/>
    <m/>
    <n v="0"/>
    <n v="568.23"/>
    <n v="568.23"/>
    <n v="72.77"/>
    <m/>
    <m/>
    <n v="0"/>
    <m/>
    <m/>
    <m/>
    <m/>
    <m/>
    <n v="0"/>
    <n v="0"/>
    <n v="0"/>
    <n v="641"/>
    <s v="Tarjeta de Credito"/>
    <x v="11"/>
    <x v="10"/>
    <x v="2"/>
  </r>
  <r>
    <x v="59"/>
    <x v="0"/>
    <x v="2"/>
    <x v="6"/>
    <s v="101602465"/>
    <n v="1"/>
    <n v="2"/>
    <s v="GASTOS POR TRABAJOS, SUMINISTROS Y SERVICIOS "/>
    <s v="E310007120069"/>
    <m/>
    <n v="202503"/>
    <n v="19"/>
    <m/>
    <m/>
    <n v="0"/>
    <n v="14941.47"/>
    <n v="14941.47"/>
    <n v="1301.53"/>
    <m/>
    <m/>
    <n v="0"/>
    <m/>
    <m/>
    <m/>
    <m/>
    <m/>
    <n v="0"/>
    <n v="0"/>
    <n v="0"/>
    <n v="16243"/>
    <s v="Tarjeta de Credito"/>
    <x v="11"/>
    <x v="10"/>
    <x v="2"/>
  </r>
  <r>
    <x v="58"/>
    <x v="0"/>
    <x v="2"/>
    <x v="2"/>
    <s v="101796822"/>
    <n v="1"/>
    <n v="2"/>
    <s v="GASTOS POR TRABAJOS, SUMINISTROS Y SERVICIOS "/>
    <s v="E310005493300"/>
    <m/>
    <n v="202503"/>
    <n v="28"/>
    <m/>
    <m/>
    <n v="0"/>
    <n v="5008.8500000000004"/>
    <n v="5008.8500000000004"/>
    <n v="436.78"/>
    <m/>
    <m/>
    <n v="0"/>
    <m/>
    <m/>
    <m/>
    <m/>
    <m/>
    <n v="0"/>
    <n v="0"/>
    <n v="0"/>
    <n v="5445.63"/>
    <s v="Tarjeta de Credito"/>
    <x v="27"/>
    <x v="10"/>
    <x v="2"/>
  </r>
  <r>
    <x v="60"/>
    <x v="0"/>
    <x v="2"/>
    <x v="4"/>
    <s v="101796822"/>
    <n v="1"/>
    <n v="2"/>
    <s v="GASTOS POR TRABAJOS, SUMINISTROS Y SERVICIOS "/>
    <s v="E310005122036"/>
    <m/>
    <n v="202503"/>
    <n v="9"/>
    <m/>
    <m/>
    <n v="0"/>
    <n v="1487.28"/>
    <n v="1487.28"/>
    <n v="267.72000000000003"/>
    <m/>
    <m/>
    <n v="0"/>
    <m/>
    <m/>
    <m/>
    <m/>
    <m/>
    <n v="0"/>
    <n v="0"/>
    <n v="0"/>
    <n v="1755"/>
    <s v="Tarjeta de Credito"/>
    <x v="27"/>
    <x v="29"/>
    <x v="2"/>
  </r>
  <r>
    <x v="56"/>
    <x v="0"/>
    <x v="2"/>
    <x v="6"/>
    <s v="101019921"/>
    <n v="1"/>
    <n v="2"/>
    <s v="GASTOS POR TRABAJOS, SUMINISTROS Y SERVICIOS "/>
    <s v="B022628144"/>
    <m/>
    <n v="202503"/>
    <n v="5"/>
    <m/>
    <m/>
    <n v="0"/>
    <n v="669.34"/>
    <n v="669.34"/>
    <n v="0"/>
    <m/>
    <m/>
    <n v="0"/>
    <m/>
    <m/>
    <m/>
    <m/>
    <m/>
    <n v="0"/>
    <n v="0"/>
    <n v="0"/>
    <n v="669.34"/>
    <s v="Tarjeta de Credito"/>
    <x v="14"/>
    <x v="10"/>
    <x v="2"/>
  </r>
  <r>
    <x v="44"/>
    <x v="0"/>
    <x v="2"/>
    <x v="3"/>
    <s v="101177896"/>
    <n v="1"/>
    <n v="2"/>
    <s v="GASTOS POR TRABAJOS, SUMINISTROS Y SERVICIOS "/>
    <s v="E310000000039"/>
    <m/>
    <n v="202503"/>
    <n v="4"/>
    <m/>
    <m/>
    <n v="0"/>
    <n v="2161.02"/>
    <n v="2161.02"/>
    <n v="388.98"/>
    <m/>
    <m/>
    <n v="0"/>
    <m/>
    <m/>
    <m/>
    <m/>
    <m/>
    <n v="0"/>
    <n v="0"/>
    <n v="0"/>
    <n v="2550"/>
    <s v="Tarjeta de Credito"/>
    <x v="3"/>
    <x v="30"/>
    <x v="2"/>
  </r>
  <r>
    <x v="44"/>
    <x v="0"/>
    <x v="2"/>
    <x v="3"/>
    <s v="101555815"/>
    <n v="1"/>
    <n v="2"/>
    <s v="GASTOS POR TRABAJOS, SUMINISTROS Y SERVICIOS "/>
    <s v="E310000115492"/>
    <m/>
    <n v="202503"/>
    <n v="4"/>
    <m/>
    <m/>
    <n v="0"/>
    <n v="1847.44"/>
    <n v="1847.44"/>
    <n v="332.54"/>
    <m/>
    <m/>
    <n v="0"/>
    <m/>
    <m/>
    <m/>
    <m/>
    <m/>
    <n v="0"/>
    <n v="0"/>
    <n v="0"/>
    <n v="2179.98"/>
    <s v="Tarjeta de Credito"/>
    <x v="26"/>
    <x v="30"/>
    <x v="2"/>
  </r>
  <r>
    <x v="50"/>
    <x v="0"/>
    <x v="2"/>
    <x v="5"/>
    <s v="101602465"/>
    <n v="1"/>
    <n v="2"/>
    <s v="GASTOS POR TRABAJOS, SUMINISTROS Y SERVICIOS "/>
    <s v="E310006973341"/>
    <m/>
    <n v="202503"/>
    <n v="6"/>
    <m/>
    <m/>
    <n v="0"/>
    <n v="14515.130000000001"/>
    <n v="14515.130000000001"/>
    <n v="1180.8699999999999"/>
    <m/>
    <m/>
    <n v="0"/>
    <m/>
    <m/>
    <m/>
    <m/>
    <m/>
    <n v="0"/>
    <n v="0"/>
    <n v="0"/>
    <n v="15696"/>
    <s v="Tarjeta de Credito"/>
    <x v="11"/>
    <x v="10"/>
    <x v="2"/>
  </r>
  <r>
    <x v="61"/>
    <x v="0"/>
    <x v="2"/>
    <x v="2"/>
    <s v="101796822"/>
    <n v="1"/>
    <n v="2"/>
    <s v="GASTOS POR TRABAJOS, SUMINISTROS Y SERVICIOS "/>
    <s v="E310009058708"/>
    <m/>
    <n v="202503"/>
    <n v="14"/>
    <m/>
    <m/>
    <n v="0"/>
    <n v="1972.83"/>
    <n v="1972.83"/>
    <n v="147.63"/>
    <m/>
    <m/>
    <n v="0"/>
    <m/>
    <m/>
    <m/>
    <m/>
    <m/>
    <n v="0"/>
    <n v="0"/>
    <n v="0"/>
    <n v="2120.46"/>
    <s v="Tarjeta de Credito"/>
    <x v="27"/>
    <x v="10"/>
    <x v="2"/>
  </r>
  <r>
    <x v="54"/>
    <x v="0"/>
    <x v="2"/>
    <x v="1"/>
    <s v="101796822"/>
    <n v="1"/>
    <n v="2"/>
    <s v="GASTOS POR TRABAJOS, SUMINISTROS Y SERVICIOS "/>
    <s v="E310009059166"/>
    <m/>
    <n v="202503"/>
    <n v="15"/>
    <m/>
    <m/>
    <n v="0"/>
    <n v="3015.83"/>
    <n v="3015.83"/>
    <n v="539.97"/>
    <m/>
    <m/>
    <n v="0"/>
    <m/>
    <m/>
    <m/>
    <m/>
    <m/>
    <n v="0"/>
    <n v="0"/>
    <n v="0"/>
    <n v="3555.8"/>
    <s v="Tarjeta de Credito"/>
    <x v="27"/>
    <x v="10"/>
    <x v="2"/>
  </r>
  <r>
    <x v="57"/>
    <x v="0"/>
    <x v="2"/>
    <x v="2"/>
    <s v="130196796"/>
    <n v="1"/>
    <n v="2"/>
    <s v="GASTOS POR TRABAJOS, SUMINISTROS Y SERVICIOS "/>
    <s v="B0100073517"/>
    <m/>
    <n v="202503"/>
    <n v="21"/>
    <m/>
    <m/>
    <n v="3190"/>
    <n v="0"/>
    <n v="3190"/>
    <n v="0"/>
    <m/>
    <m/>
    <n v="0"/>
    <n v="0"/>
    <n v="0"/>
    <n v="0"/>
    <n v="0"/>
    <n v="0"/>
    <n v="0"/>
    <n v="0"/>
    <n v="0"/>
    <n v="3190"/>
    <s v="Tarjeta de Credito"/>
    <x v="17"/>
    <x v="14"/>
    <x v="7"/>
  </r>
  <r>
    <x v="61"/>
    <x v="0"/>
    <x v="2"/>
    <x v="2"/>
    <s v="130196796"/>
    <n v="1"/>
    <n v="2"/>
    <s v="GASTOS POR TRABAJOS, SUMINISTROS Y SERVICIOS "/>
    <s v="B0100070420"/>
    <m/>
    <n v="202503"/>
    <n v="14"/>
    <m/>
    <m/>
    <n v="2876"/>
    <n v="0"/>
    <n v="2876"/>
    <n v="0"/>
    <m/>
    <m/>
    <n v="0"/>
    <n v="0"/>
    <n v="0"/>
    <n v="0"/>
    <n v="0"/>
    <n v="0"/>
    <n v="0"/>
    <n v="0"/>
    <n v="0"/>
    <n v="2876"/>
    <s v="Tarjeta de Credito"/>
    <x v="17"/>
    <x v="14"/>
    <x v="7"/>
  </r>
  <r>
    <x v="58"/>
    <x v="0"/>
    <x v="2"/>
    <x v="2"/>
    <s v="130196796"/>
    <n v="1"/>
    <n v="2"/>
    <s v="GASTOS POR TRABAJOS, SUMINISTROS Y SERVICIOS "/>
    <s v="B0100073607"/>
    <m/>
    <n v="202503"/>
    <n v="28"/>
    <m/>
    <m/>
    <n v="3195"/>
    <n v="0"/>
    <n v="3195"/>
    <n v="0"/>
    <m/>
    <m/>
    <n v="0"/>
    <n v="0"/>
    <n v="0"/>
    <n v="0"/>
    <n v="0"/>
    <n v="0"/>
    <n v="0"/>
    <n v="0"/>
    <n v="0"/>
    <n v="3195"/>
    <s v="Tarjeta de Credito"/>
    <x v="17"/>
    <x v="14"/>
    <x v="6"/>
  </r>
  <r>
    <x v="58"/>
    <x v="0"/>
    <x v="2"/>
    <x v="2"/>
    <s v="130196796"/>
    <n v="1"/>
    <n v="2"/>
    <s v="GASTOS POR TRABAJOS, SUMINISTROS Y SERVICIOS "/>
    <s v="B0100073607"/>
    <m/>
    <n v="202503"/>
    <n v="28"/>
    <m/>
    <m/>
    <n v="2606"/>
    <n v="0"/>
    <n v="2606"/>
    <n v="0"/>
    <m/>
    <m/>
    <n v="0"/>
    <n v="0"/>
    <n v="0"/>
    <n v="0"/>
    <n v="0"/>
    <n v="0"/>
    <n v="0"/>
    <n v="0"/>
    <n v="0"/>
    <n v="2606"/>
    <s v="Tarjeta de Credito"/>
    <x v="17"/>
    <x v="14"/>
    <x v="8"/>
  </r>
  <r>
    <x v="50"/>
    <x v="0"/>
    <x v="2"/>
    <x v="5"/>
    <s v="430030341"/>
    <n v="1"/>
    <n v="2"/>
    <s v="GASTOS POR TRABAJOS, SUMINISTROS Y SERVICIOS "/>
    <s v="B0100015955"/>
    <m/>
    <n v="202503"/>
    <n v="6"/>
    <m/>
    <m/>
    <n v="7600"/>
    <n v="0"/>
    <n v="7600"/>
    <n v="0"/>
    <m/>
    <m/>
    <n v="0"/>
    <n v="0"/>
    <n v="0"/>
    <n v="0"/>
    <n v="0"/>
    <n v="0"/>
    <n v="0"/>
    <n v="0"/>
    <n v="0"/>
    <n v="7600"/>
    <s v="Tarjeta de Credito"/>
    <x v="18"/>
    <x v="15"/>
    <x v="5"/>
  </r>
  <r>
    <x v="50"/>
    <x v="0"/>
    <x v="2"/>
    <x v="5"/>
    <s v="430030341"/>
    <n v="1"/>
    <n v="2"/>
    <s v="GASTOS POR TRABAJOS, SUMINISTROS Y SERVICIOS "/>
    <s v="B0100015956"/>
    <m/>
    <n v="202503"/>
    <n v="6"/>
    <m/>
    <m/>
    <n v="7300"/>
    <n v="0"/>
    <n v="7300"/>
    <n v="0"/>
    <m/>
    <m/>
    <n v="0"/>
    <n v="0"/>
    <n v="0"/>
    <n v="0"/>
    <n v="0"/>
    <n v="0"/>
    <n v="0"/>
    <n v="0"/>
    <n v="0"/>
    <n v="7300"/>
    <s v="Tarjeta de Credito"/>
    <x v="18"/>
    <x v="15"/>
    <x v="6"/>
  </r>
  <r>
    <x v="50"/>
    <x v="0"/>
    <x v="2"/>
    <x v="5"/>
    <s v="430030341"/>
    <n v="1"/>
    <n v="2"/>
    <s v="GASTOS POR TRABAJOS, SUMINISTROS Y SERVICIOS "/>
    <s v="B0100015957"/>
    <m/>
    <n v="202503"/>
    <n v="6"/>
    <m/>
    <m/>
    <n v="7300"/>
    <n v="0"/>
    <n v="7300"/>
    <n v="0"/>
    <m/>
    <m/>
    <n v="0"/>
    <m/>
    <m/>
    <m/>
    <m/>
    <m/>
    <n v="0"/>
    <n v="0"/>
    <m/>
    <n v="7300"/>
    <s v="Tarjeta de Credito"/>
    <x v="18"/>
    <x v="15"/>
    <x v="7"/>
  </r>
  <r>
    <x v="62"/>
    <x v="0"/>
    <x v="2"/>
    <x v="0"/>
    <s v="430030341"/>
    <n v="2"/>
    <n v="2"/>
    <s v="GASTOS POR TRABAJOS, SUMINISTROS Y SERVICIOS "/>
    <s v="B0100016125"/>
    <m/>
    <n v="202503"/>
    <n v="31"/>
    <m/>
    <m/>
    <n v="7600"/>
    <m/>
    <n v="7600"/>
    <n v="0"/>
    <m/>
    <m/>
    <n v="0"/>
    <m/>
    <m/>
    <m/>
    <m/>
    <m/>
    <n v="0"/>
    <n v="0"/>
    <n v="0"/>
    <n v="7600"/>
    <s v="Tarjeta de Credito"/>
    <x v="18"/>
    <x v="15"/>
    <x v="5"/>
  </r>
  <r>
    <x v="62"/>
    <x v="0"/>
    <x v="2"/>
    <x v="0"/>
    <s v="430030341"/>
    <n v="1"/>
    <n v="2"/>
    <s v="GASTOS POR TRABAJOS, SUMINISTROS Y SERVICIOS "/>
    <s v="B0100016126"/>
    <m/>
    <n v="202503"/>
    <n v="31"/>
    <m/>
    <m/>
    <n v="7300"/>
    <m/>
    <n v="7300"/>
    <n v="0"/>
    <m/>
    <m/>
    <m/>
    <m/>
    <m/>
    <m/>
    <m/>
    <m/>
    <n v="0"/>
    <n v="0"/>
    <m/>
    <n v="7300"/>
    <s v="Tarjeta de Credito"/>
    <x v="18"/>
    <x v="15"/>
    <x v="6"/>
  </r>
  <r>
    <x v="62"/>
    <x v="0"/>
    <x v="2"/>
    <x v="0"/>
    <s v="430030341"/>
    <n v="1"/>
    <n v="2"/>
    <s v="GASTOS POR TRABAJOS, SUMINISTROS Y SERVICIOS "/>
    <s v="B0100016127"/>
    <m/>
    <n v="202503"/>
    <n v="31"/>
    <m/>
    <m/>
    <n v="7300"/>
    <m/>
    <n v="7300"/>
    <n v="0"/>
    <m/>
    <m/>
    <m/>
    <m/>
    <m/>
    <m/>
    <m/>
    <m/>
    <n v="0"/>
    <n v="0"/>
    <m/>
    <n v="7300"/>
    <s v="Tarjeta de Credito"/>
    <x v="18"/>
    <x v="15"/>
    <x v="7"/>
  </r>
  <r>
    <x v="62"/>
    <x v="0"/>
    <x v="0"/>
    <x v="5"/>
    <s v="430030341"/>
    <n v="1"/>
    <n v="2"/>
    <s v="GASTOS POR TRABAJOS, SUMINISTROS Y SERVICIOS "/>
    <s v="B0100016127"/>
    <n v="202501"/>
    <n v="202503"/>
    <n v="31"/>
    <m/>
    <n v="7300"/>
    <n v="0"/>
    <n v="0"/>
    <n v="0"/>
    <n v="0"/>
    <m/>
    <n v="7300"/>
    <n v="0"/>
    <s v="COLEGIO SANTA ROSA DE LIMA"/>
    <s v="Colegio"/>
    <s v="Lorena"/>
    <m/>
    <m/>
    <n v="0"/>
    <n v="0"/>
    <n v="0"/>
    <n v="0"/>
    <s v="Tarjeta de Credito"/>
    <x v="18"/>
    <x v="15"/>
    <x v="8"/>
  </r>
  <r>
    <x v="51"/>
    <x v="0"/>
    <x v="2"/>
    <x v="2"/>
    <s v="101001577"/>
    <n v="1"/>
    <n v="2"/>
    <s v="GASTOS POR TRABAJOS, SUMINISTROS Y SERVICIOS "/>
    <s v="E310011159455"/>
    <m/>
    <n v="202503"/>
    <n v="7"/>
    <m/>
    <m/>
    <n v="1153.08"/>
    <n v="0"/>
    <n v="1153.08"/>
    <n v="207.55"/>
    <m/>
    <m/>
    <n v="0"/>
    <m/>
    <m/>
    <m/>
    <m/>
    <m/>
    <n v="115.31"/>
    <n v="23.06"/>
    <n v="0"/>
    <n v="1498.9999999999998"/>
    <s v="Tarjeta de Credito"/>
    <x v="19"/>
    <x v="16"/>
    <x v="2"/>
  </r>
  <r>
    <x v="51"/>
    <x v="0"/>
    <x v="2"/>
    <x v="2"/>
    <s v="101001577"/>
    <n v="1"/>
    <n v="2"/>
    <s v="GASTOS POR TRABAJOS, SUMINISTROS Y SERVICIOS "/>
    <s v="E310011156616"/>
    <m/>
    <n v="202503"/>
    <n v="7"/>
    <m/>
    <m/>
    <n v="2407.69"/>
    <n v="0"/>
    <n v="2407.69"/>
    <n v="433.39"/>
    <m/>
    <m/>
    <n v="0"/>
    <m/>
    <m/>
    <m/>
    <m/>
    <m/>
    <n v="240.77"/>
    <n v="48.15"/>
    <n v="0"/>
    <n v="3130"/>
    <s v="Tarjeta de Credito"/>
    <x v="19"/>
    <x v="17"/>
    <x v="11"/>
  </r>
  <r>
    <x v="63"/>
    <x v="0"/>
    <x v="2"/>
    <x v="0"/>
    <s v="101001577"/>
    <n v="1"/>
    <n v="12"/>
    <s v=" GASTOS MENORES"/>
    <n v="0"/>
    <m/>
    <n v="202503"/>
    <n v="10"/>
    <m/>
    <m/>
    <n v="1085.01"/>
    <n v="0"/>
    <n v="1085.01"/>
    <n v="0"/>
    <m/>
    <m/>
    <n v="0"/>
    <m/>
    <m/>
    <m/>
    <m/>
    <m/>
    <n v="0"/>
    <n v="0"/>
    <n v="0"/>
    <n v="1085.01"/>
    <s v="Tarjeta de Credito"/>
    <x v="19"/>
    <x v="17"/>
    <x v="4"/>
  </r>
  <r>
    <x v="57"/>
    <x v="0"/>
    <x v="2"/>
    <x v="2"/>
    <s v="101820217"/>
    <n v="1"/>
    <n v="2"/>
    <s v="GASTOS POR TRABAJOS, SUMINISTROS Y SERVICIOS "/>
    <s v="E310000105851"/>
    <m/>
    <n v="202503"/>
    <n v="21"/>
    <m/>
    <m/>
    <n v="4932.1099999999997"/>
    <n v="0"/>
    <n v="4932.1099999999997"/>
    <n v="0"/>
    <m/>
    <m/>
    <n v="0"/>
    <m/>
    <m/>
    <m/>
    <m/>
    <m/>
    <n v="0"/>
    <n v="0"/>
    <n v="0"/>
    <n v="4932.1099999999997"/>
    <s v="Tarjeta de Credito"/>
    <x v="20"/>
    <x v="18"/>
    <x v="2"/>
  </r>
  <r>
    <x v="64"/>
    <x v="0"/>
    <x v="3"/>
    <x v="2"/>
    <s v="430078549"/>
    <n v="1"/>
    <n v="12"/>
    <s v=" GASTOS MENORES"/>
    <n v="0"/>
    <m/>
    <n v="202504"/>
    <n v="11"/>
    <m/>
    <m/>
    <n v="0"/>
    <n v="1000"/>
    <n v="1000"/>
    <n v="0"/>
    <m/>
    <m/>
    <n v="0"/>
    <m/>
    <m/>
    <m/>
    <m/>
    <m/>
    <n v="0"/>
    <n v="0"/>
    <n v="0"/>
    <n v="1000"/>
    <s v="Tarjeta de Credito"/>
    <x v="3"/>
    <x v="21"/>
    <x v="5"/>
  </r>
  <r>
    <x v="65"/>
    <x v="0"/>
    <x v="3"/>
    <x v="1"/>
    <s v="000000001"/>
    <n v="1"/>
    <n v="12"/>
    <s v=" GASTOS MENORES"/>
    <n v="0"/>
    <m/>
    <n v="202504"/>
    <n v="26"/>
    <m/>
    <m/>
    <n v="0"/>
    <n v="6000"/>
    <n v="6000"/>
    <n v="0"/>
    <n v="0"/>
    <n v="0"/>
    <n v="0"/>
    <n v="0"/>
    <n v="0"/>
    <n v="0"/>
    <n v="0"/>
    <n v="0"/>
    <n v="0"/>
    <n v="0"/>
    <n v="0"/>
    <n v="6000"/>
    <s v="Transferencia Bancaria"/>
    <x v="3"/>
    <x v="4"/>
    <x v="4"/>
  </r>
  <r>
    <x v="65"/>
    <x v="0"/>
    <x v="3"/>
    <x v="1"/>
    <s v="000000002"/>
    <n v="1"/>
    <n v="12"/>
    <s v=" GASTOS MENORES"/>
    <n v="0"/>
    <m/>
    <n v="202504"/>
    <n v="26"/>
    <m/>
    <m/>
    <n v="0"/>
    <n v="3000"/>
    <n v="3000"/>
    <n v="0"/>
    <n v="0"/>
    <n v="0"/>
    <n v="0"/>
    <n v="0"/>
    <n v="0"/>
    <n v="0"/>
    <n v="0"/>
    <n v="0"/>
    <n v="0"/>
    <n v="0"/>
    <n v="0"/>
    <n v="3000"/>
    <s v="Transferencia Bancaria"/>
    <x v="3"/>
    <x v="4"/>
    <x v="5"/>
  </r>
  <r>
    <x v="65"/>
    <x v="0"/>
    <x v="3"/>
    <x v="1"/>
    <s v="000000003"/>
    <n v="1"/>
    <n v="12"/>
    <s v=" GASTOS MENORES"/>
    <n v="0"/>
    <m/>
    <n v="202504"/>
    <n v="26"/>
    <m/>
    <m/>
    <n v="0"/>
    <n v="1500"/>
    <n v="1500"/>
    <n v="0"/>
    <n v="0"/>
    <n v="0"/>
    <n v="0"/>
    <n v="0"/>
    <n v="0"/>
    <n v="0"/>
    <n v="0"/>
    <n v="0"/>
    <n v="0"/>
    <n v="0"/>
    <n v="0"/>
    <n v="1500"/>
    <s v="Efectivo"/>
    <x v="3"/>
    <x v="4"/>
    <x v="6"/>
  </r>
  <r>
    <x v="65"/>
    <x v="0"/>
    <x v="3"/>
    <x v="1"/>
    <s v="000000004"/>
    <n v="1"/>
    <n v="12"/>
    <s v=" GASTOS MENORES"/>
    <n v="0"/>
    <m/>
    <n v="202504"/>
    <n v="26"/>
    <m/>
    <m/>
    <n v="0"/>
    <n v="500"/>
    <n v="500"/>
    <n v="0"/>
    <n v="0"/>
    <n v="0"/>
    <n v="0"/>
    <n v="0"/>
    <n v="0"/>
    <n v="0"/>
    <n v="0"/>
    <n v="0"/>
    <n v="0"/>
    <n v="0"/>
    <n v="0"/>
    <n v="500"/>
    <s v="Efectivo"/>
    <x v="3"/>
    <x v="4"/>
    <x v="7"/>
  </r>
  <r>
    <x v="65"/>
    <x v="0"/>
    <x v="3"/>
    <x v="1"/>
    <s v="000000005"/>
    <n v="1"/>
    <n v="12"/>
    <s v=" GASTOS MENORES"/>
    <n v="0"/>
    <m/>
    <n v="202504"/>
    <n v="26"/>
    <m/>
    <m/>
    <n v="0"/>
    <n v="500"/>
    <n v="500"/>
    <n v="0"/>
    <n v="0"/>
    <n v="0"/>
    <n v="0"/>
    <n v="0"/>
    <n v="0"/>
    <n v="0"/>
    <n v="0"/>
    <n v="0"/>
    <n v="0"/>
    <n v="0"/>
    <n v="0"/>
    <n v="500"/>
    <s v="Efectivo"/>
    <x v="3"/>
    <x v="4"/>
    <x v="8"/>
  </r>
  <r>
    <x v="66"/>
    <x v="0"/>
    <x v="3"/>
    <x v="0"/>
    <s v="133025515"/>
    <n v="1"/>
    <n v="2"/>
    <s v="GASTOS POR TRABAJOS, SUMINISTROS Y SERVICIOS "/>
    <s v="B0100018113"/>
    <m/>
    <n v="202504"/>
    <n v="21"/>
    <m/>
    <m/>
    <n v="0"/>
    <n v="745.76"/>
    <n v="745.76"/>
    <n v="134.24"/>
    <m/>
    <m/>
    <n v="0"/>
    <m/>
    <m/>
    <m/>
    <m/>
    <m/>
    <n v="0"/>
    <n v="0"/>
    <n v="0"/>
    <n v="880"/>
    <s v="Tarjeta de Credito"/>
    <x v="31"/>
    <x v="31"/>
    <x v="2"/>
  </r>
  <r>
    <x v="67"/>
    <x v="0"/>
    <x v="3"/>
    <x v="3"/>
    <s v="130794987"/>
    <n v="1"/>
    <n v="2"/>
    <s v="GASTOS POR TRABAJOS, SUMINISTROS Y SERVICIOS "/>
    <s v="B0101392608"/>
    <m/>
    <n v="202504"/>
    <n v="8"/>
    <m/>
    <m/>
    <n v="0"/>
    <n v="3450"/>
    <n v="3450"/>
    <n v="0"/>
    <m/>
    <m/>
    <n v="0"/>
    <m/>
    <m/>
    <m/>
    <m/>
    <m/>
    <n v="0"/>
    <n v="0"/>
    <n v="0"/>
    <n v="3450"/>
    <s v="Tarjeta de Credito"/>
    <x v="0"/>
    <x v="0"/>
    <x v="0"/>
  </r>
  <r>
    <x v="68"/>
    <x v="0"/>
    <x v="3"/>
    <x v="6"/>
    <s v="130794987"/>
    <n v="1"/>
    <n v="2"/>
    <s v="GASTOS POR TRABAJOS, SUMINISTROS Y SERVICIOS "/>
    <s v="B0101396124"/>
    <m/>
    <n v="202504"/>
    <n v="16"/>
    <m/>
    <m/>
    <n v="0"/>
    <n v="4662"/>
    <n v="4662"/>
    <n v="0"/>
    <m/>
    <m/>
    <n v="0"/>
    <m/>
    <m/>
    <m/>
    <m/>
    <m/>
    <n v="0"/>
    <n v="0"/>
    <n v="0"/>
    <n v="4662"/>
    <s v="Tarjeta de Credito"/>
    <x v="0"/>
    <x v="1"/>
    <x v="1"/>
  </r>
  <r>
    <x v="69"/>
    <x v="0"/>
    <x v="3"/>
    <x v="1"/>
    <s v="101501731"/>
    <n v="1"/>
    <n v="2"/>
    <s v="GASTOS POR TRABAJOS, SUMINISTROS Y SERVICIOS "/>
    <s v="B0100011257"/>
    <m/>
    <n v="202504"/>
    <n v="19"/>
    <m/>
    <m/>
    <n v="0"/>
    <n v="1737.29"/>
    <n v="1737.29"/>
    <n v="312.70999999999998"/>
    <m/>
    <m/>
    <n v="0"/>
    <m/>
    <m/>
    <m/>
    <m/>
    <m/>
    <n v="0"/>
    <n v="0"/>
    <n v="0"/>
    <n v="2050"/>
    <s v="Tarjeta de Credito"/>
    <x v="3"/>
    <x v="3"/>
    <x v="3"/>
  </r>
  <r>
    <x v="68"/>
    <x v="0"/>
    <x v="3"/>
    <x v="6"/>
    <s v="130064423"/>
    <n v="1"/>
    <n v="2"/>
    <s v="GASTOS POR TRABAJOS, SUMINISTROS Y SERVICIOS "/>
    <s v="B0102182188"/>
    <m/>
    <n v="202504"/>
    <n v="16"/>
    <m/>
    <m/>
    <n v="0"/>
    <n v="2041.62"/>
    <n v="2041.62"/>
    <n v="0"/>
    <m/>
    <m/>
    <n v="0"/>
    <m/>
    <m/>
    <m/>
    <m/>
    <m/>
    <n v="0"/>
    <n v="0"/>
    <n v="0"/>
    <n v="2041.62"/>
    <s v="Tarjeta de Credito"/>
    <x v="6"/>
    <x v="8"/>
    <x v="2"/>
  </r>
  <r>
    <x v="64"/>
    <x v="0"/>
    <x v="3"/>
    <x v="2"/>
    <s v="401005921"/>
    <n v="1"/>
    <n v="2"/>
    <s v="GASTOS POR TRABAJOS, SUMINISTROS Y SERVICIOS "/>
    <s v="B0100036671"/>
    <m/>
    <n v="202504"/>
    <n v="11"/>
    <m/>
    <m/>
    <n v="0"/>
    <n v="1005"/>
    <n v="1005"/>
    <n v="0"/>
    <m/>
    <m/>
    <n v="0"/>
    <m/>
    <m/>
    <m/>
    <m/>
    <m/>
    <n v="0"/>
    <n v="0"/>
    <n v="0"/>
    <n v="1005"/>
    <s v="Tarjeta de Credito"/>
    <x v="3"/>
    <x v="32"/>
    <x v="4"/>
  </r>
  <r>
    <x v="64"/>
    <x v="0"/>
    <x v="3"/>
    <x v="2"/>
    <s v="101019921"/>
    <n v="1"/>
    <n v="2"/>
    <s v="GASTOS POR TRABAJOS, SUMINISTROS Y SERVICIOS "/>
    <s v="B0119465624"/>
    <m/>
    <n v="202504"/>
    <n v="11"/>
    <m/>
    <m/>
    <n v="0"/>
    <n v="702.42000000000007"/>
    <n v="702.42000000000007"/>
    <n v="126.43"/>
    <m/>
    <m/>
    <n v="0"/>
    <m/>
    <m/>
    <m/>
    <m/>
    <m/>
    <n v="0"/>
    <n v="0"/>
    <n v="0"/>
    <n v="828.85000000000014"/>
    <s v="Tarjeta de Credito"/>
    <x v="14"/>
    <x v="33"/>
    <x v="2"/>
  </r>
  <r>
    <x v="70"/>
    <x v="0"/>
    <x v="3"/>
    <x v="5"/>
    <s v="101019921"/>
    <n v="1"/>
    <n v="2"/>
    <s v="GASTOS POR TRABAJOS, SUMINISTROS Y SERVICIOS "/>
    <s v="B0119464159"/>
    <m/>
    <n v="202504"/>
    <n v="3"/>
    <m/>
    <m/>
    <n v="0"/>
    <n v="998.14"/>
    <n v="998.14"/>
    <n v="179.66"/>
    <m/>
    <m/>
    <n v="0"/>
    <m/>
    <m/>
    <m/>
    <m/>
    <m/>
    <n v="0"/>
    <n v="0"/>
    <n v="0"/>
    <n v="1177.8"/>
    <s v="Tarjeta de Credito"/>
    <x v="14"/>
    <x v="10"/>
    <x v="2"/>
  </r>
  <r>
    <x v="70"/>
    <x v="0"/>
    <x v="3"/>
    <x v="5"/>
    <s v="101019921"/>
    <n v="1"/>
    <n v="2"/>
    <s v="GASTOS POR TRABAJOS, SUMINISTROS Y SERVICIOS "/>
    <s v="E310002084729"/>
    <m/>
    <n v="202504"/>
    <n v="3"/>
    <m/>
    <m/>
    <n v="0"/>
    <n v="1600"/>
    <n v="1600"/>
    <n v="0"/>
    <m/>
    <m/>
    <n v="0"/>
    <m/>
    <m/>
    <m/>
    <m/>
    <m/>
    <n v="0"/>
    <n v="0"/>
    <n v="0"/>
    <n v="1600"/>
    <s v="Tarjeta de Credito"/>
    <x v="14"/>
    <x v="34"/>
    <x v="5"/>
  </r>
  <r>
    <x v="71"/>
    <x v="0"/>
    <x v="3"/>
    <x v="5"/>
    <s v="101555815"/>
    <n v="1"/>
    <n v="2"/>
    <s v="GASTOS POR TRABAJOS, SUMINISTROS Y SERVICIOS "/>
    <s v="E310000130445"/>
    <m/>
    <n v="202504"/>
    <n v="10"/>
    <m/>
    <m/>
    <n v="0"/>
    <n v="923.72"/>
    <n v="923.72"/>
    <n v="166.27"/>
    <m/>
    <m/>
    <n v="0"/>
    <m/>
    <m/>
    <m/>
    <m/>
    <m/>
    <n v="0"/>
    <n v="0"/>
    <n v="0"/>
    <n v="1089.99"/>
    <s v="Tarjeta de Credito"/>
    <x v="26"/>
    <x v="3"/>
    <x v="2"/>
  </r>
  <r>
    <x v="72"/>
    <x v="0"/>
    <x v="3"/>
    <x v="1"/>
    <s v="131370047"/>
    <n v="1"/>
    <n v="2"/>
    <s v="GASTOS POR TRABAJOS, SUMINISTROS Y SERVICIOS "/>
    <s v="E310000033898"/>
    <m/>
    <n v="202504"/>
    <n v="5"/>
    <m/>
    <m/>
    <n v="0"/>
    <n v="2542.38"/>
    <n v="2542.38"/>
    <n v="457.62"/>
    <m/>
    <m/>
    <n v="0"/>
    <m/>
    <m/>
    <m/>
    <m/>
    <m/>
    <n v="0"/>
    <n v="0"/>
    <n v="0"/>
    <n v="3000"/>
    <s v="Tarjeta de Credito"/>
    <x v="3"/>
    <x v="28"/>
    <x v="5"/>
  </r>
  <r>
    <x v="73"/>
    <x v="0"/>
    <x v="3"/>
    <x v="4"/>
    <s v="101719265"/>
    <n v="1"/>
    <n v="2"/>
    <s v="GASTOS POR TRABAJOS, SUMINISTROS Y SERVICIOS "/>
    <s v="E310000197125"/>
    <m/>
    <n v="202504"/>
    <n v="13"/>
    <m/>
    <m/>
    <n v="0"/>
    <n v="1677.97"/>
    <n v="1677.97"/>
    <n v="302.02999999999997"/>
    <m/>
    <m/>
    <n v="0"/>
    <m/>
    <m/>
    <m/>
    <m/>
    <m/>
    <n v="0"/>
    <n v="0"/>
    <n v="0"/>
    <n v="1980"/>
    <s v="Tarjeta de Credito"/>
    <x v="32"/>
    <x v="35"/>
    <x v="2"/>
  </r>
  <r>
    <x v="73"/>
    <x v="0"/>
    <x v="3"/>
    <x v="4"/>
    <s v="101796822"/>
    <n v="1"/>
    <n v="2"/>
    <s v="GASTOS POR TRABAJOS, SUMINISTROS Y SERVICIOS "/>
    <s v="E310005495075"/>
    <m/>
    <n v="202504"/>
    <n v="13"/>
    <m/>
    <m/>
    <n v="0"/>
    <n v="5520.8499999999995"/>
    <n v="5520.8499999999995"/>
    <n v="514.79999999999995"/>
    <m/>
    <m/>
    <n v="0"/>
    <m/>
    <m/>
    <m/>
    <m/>
    <m/>
    <n v="0"/>
    <n v="0"/>
    <n v="0"/>
    <n v="6035.65"/>
    <s v="Tarjeta de Credito"/>
    <x v="27"/>
    <x v="10"/>
    <x v="2"/>
  </r>
  <r>
    <x v="74"/>
    <x v="0"/>
    <x v="3"/>
    <x v="0"/>
    <s v="101602465"/>
    <n v="1"/>
    <n v="2"/>
    <s v="GASTOS POR TRABAJOS, SUMINISTROS Y SERVICIOS "/>
    <s v="E310007230641"/>
    <m/>
    <n v="202504"/>
    <n v="14"/>
    <m/>
    <m/>
    <n v="0"/>
    <n v="1033.79"/>
    <n v="1033.79"/>
    <n v="110.21"/>
    <m/>
    <m/>
    <n v="0"/>
    <m/>
    <m/>
    <m/>
    <m/>
    <m/>
    <n v="0"/>
    <n v="0"/>
    <n v="0"/>
    <n v="1144"/>
    <s v="Tarjeta de Credito"/>
    <x v="11"/>
    <x v="10"/>
    <x v="2"/>
  </r>
  <r>
    <x v="71"/>
    <x v="0"/>
    <x v="3"/>
    <x v="5"/>
    <s v="130196796"/>
    <n v="1"/>
    <n v="2"/>
    <s v="GASTOS POR TRABAJOS, SUMINISTROS Y SERVICIOS "/>
    <s v="E310000000274"/>
    <m/>
    <n v="202504"/>
    <n v="10"/>
    <m/>
    <m/>
    <n v="2876"/>
    <n v="0"/>
    <n v="2876"/>
    <n v="0"/>
    <m/>
    <m/>
    <n v="0"/>
    <m/>
    <m/>
    <m/>
    <m/>
    <m/>
    <n v="0"/>
    <n v="0"/>
    <n v="0"/>
    <n v="2876"/>
    <s v="Tarjeta de Credito"/>
    <x v="17"/>
    <x v="14"/>
    <x v="7"/>
  </r>
  <r>
    <x v="75"/>
    <x v="0"/>
    <x v="3"/>
    <x v="5"/>
    <s v="4453939"/>
    <n v="1"/>
    <n v="7"/>
    <s v="GASTOS FINANCIEROS "/>
    <m/>
    <m/>
    <n v="202504"/>
    <n v="24"/>
    <m/>
    <m/>
    <n v="0"/>
    <n v="23443.75"/>
    <n v="23443.75"/>
    <n v="0"/>
    <m/>
    <m/>
    <n v="0"/>
    <m/>
    <m/>
    <m/>
    <m/>
    <m/>
    <n v="0"/>
    <n v="0"/>
    <n v="0"/>
    <n v="23443.75"/>
    <s v="Transferencia Bancaria"/>
    <x v="3"/>
    <x v="6"/>
    <x v="9"/>
  </r>
  <r>
    <x v="76"/>
    <x v="0"/>
    <x v="3"/>
    <x v="2"/>
    <s v="4458538"/>
    <n v="1"/>
    <n v="7"/>
    <s v="GASTOS FINANCIEROS "/>
    <m/>
    <m/>
    <n v="202504"/>
    <n v="4"/>
    <m/>
    <m/>
    <n v="0"/>
    <n v="15208.33"/>
    <n v="15208.33"/>
    <n v="0"/>
    <m/>
    <m/>
    <n v="0"/>
    <m/>
    <m/>
    <m/>
    <m/>
    <m/>
    <n v="0"/>
    <n v="0"/>
    <n v="0"/>
    <n v="15208.33"/>
    <s v="Transferencia Bancaria"/>
    <x v="3"/>
    <x v="6"/>
    <x v="9"/>
  </r>
  <r>
    <x v="68"/>
    <x v="0"/>
    <x v="3"/>
    <x v="6"/>
    <s v="101043598"/>
    <n v="1"/>
    <n v="7"/>
    <s v="GASTOS FINANCIEROS "/>
    <s v="E310000175557"/>
    <m/>
    <n v="202504"/>
    <n v="16"/>
    <m/>
    <m/>
    <n v="0"/>
    <n v="48000"/>
    <n v="48000"/>
    <n v="0"/>
    <m/>
    <m/>
    <n v="0"/>
    <m/>
    <m/>
    <m/>
    <m/>
    <m/>
    <n v="0"/>
    <n v="0"/>
    <n v="0"/>
    <n v="48000"/>
    <s v="Transferencia Bancaria"/>
    <x v="4"/>
    <x v="5"/>
    <x v="9"/>
  </r>
  <r>
    <x v="77"/>
    <x v="0"/>
    <x v="3"/>
    <x v="3"/>
    <s v="835651126"/>
    <n v="1"/>
    <n v="7"/>
    <s v="GASTOS FINANCIEROS "/>
    <m/>
    <m/>
    <n v="202504"/>
    <n v="1"/>
    <m/>
    <m/>
    <n v="0"/>
    <n v="25404.27"/>
    <n v="25404.27"/>
    <n v="0"/>
    <m/>
    <m/>
    <n v="0"/>
    <m/>
    <m/>
    <m/>
    <m/>
    <m/>
    <n v="0"/>
    <n v="0"/>
    <n v="0"/>
    <n v="25404.27"/>
    <s v="Transferencia Bancaria"/>
    <x v="3"/>
    <x v="7"/>
    <x v="9"/>
  </r>
  <r>
    <x v="78"/>
    <x v="0"/>
    <x v="3"/>
    <x v="2"/>
    <s v="0000000006"/>
    <n v="1"/>
    <n v="12"/>
    <s v=" GASTOS MENORES"/>
    <n v="0"/>
    <m/>
    <n v="202504"/>
    <n v="18"/>
    <m/>
    <m/>
    <n v="0"/>
    <n v="3000"/>
    <n v="3000"/>
    <n v="0"/>
    <m/>
    <m/>
    <n v="0"/>
    <m/>
    <m/>
    <m/>
    <m/>
    <m/>
    <n v="0"/>
    <n v="0"/>
    <n v="0"/>
    <n v="3000"/>
    <s v="Transferencia Bancaria"/>
    <x v="3"/>
    <x v="36"/>
    <x v="11"/>
  </r>
  <r>
    <x v="79"/>
    <x v="0"/>
    <x v="3"/>
    <x v="3"/>
    <s v="131436781"/>
    <n v="1"/>
    <n v="2"/>
    <s v="GASTOS POR TRABAJOS, SUMINISTROS Y SERVICIOS "/>
    <s v="B0100021035"/>
    <m/>
    <n v="202504"/>
    <n v="22"/>
    <m/>
    <m/>
    <n v="0"/>
    <n v="419.49"/>
    <n v="419.49"/>
    <n v="30.51"/>
    <m/>
    <m/>
    <n v="0"/>
    <m/>
    <m/>
    <m/>
    <m/>
    <m/>
    <n v="0"/>
    <n v="0"/>
    <n v="0"/>
    <n v="450"/>
    <s v="Tarjeta de Credito"/>
    <x v="5"/>
    <x v="37"/>
    <x v="2"/>
  </r>
  <r>
    <x v="80"/>
    <x v="0"/>
    <x v="3"/>
    <x v="6"/>
    <s v="101577983"/>
    <n v="1"/>
    <n v="2"/>
    <s v="GASTOS POR TRABAJOS, SUMINISTROS Y SERVICIOS "/>
    <s v="B0100162875"/>
    <m/>
    <n v="202504"/>
    <n v="23"/>
    <m/>
    <m/>
    <n v="0"/>
    <n v="533.9"/>
    <n v="533.9"/>
    <n v="96.1"/>
    <m/>
    <m/>
    <n v="0"/>
    <m/>
    <m/>
    <m/>
    <m/>
    <m/>
    <n v="0"/>
    <n v="0"/>
    <n v="0"/>
    <n v="630"/>
    <s v="Tarjeta de Credito"/>
    <x v="33"/>
    <x v="38"/>
    <x v="2"/>
  </r>
  <r>
    <x v="66"/>
    <x v="0"/>
    <x v="3"/>
    <x v="0"/>
    <s v="101602465"/>
    <n v="1"/>
    <n v="2"/>
    <s v="GASTOS POR TRABAJOS, SUMINISTROS Y SERVICIOS "/>
    <s v="E310007403914"/>
    <m/>
    <n v="202504"/>
    <n v="21"/>
    <m/>
    <m/>
    <n v="0"/>
    <n v="1072.4000000000001"/>
    <n v="1072.4000000000001"/>
    <n v="81.599999999999994"/>
    <m/>
    <m/>
    <n v="0"/>
    <m/>
    <m/>
    <m/>
    <m/>
    <m/>
    <n v="0"/>
    <n v="0"/>
    <n v="0"/>
    <n v="1154"/>
    <s v="Tarjeta de Credito"/>
    <x v="11"/>
    <x v="10"/>
    <x v="2"/>
  </r>
  <r>
    <x v="79"/>
    <x v="0"/>
    <x v="3"/>
    <x v="3"/>
    <s v="101602465"/>
    <n v="1"/>
    <n v="2"/>
    <s v="GASTOS POR TRABAJOS, SUMINISTROS Y SERVICIOS "/>
    <s v="E310007404092"/>
    <m/>
    <n v="202504"/>
    <n v="22"/>
    <m/>
    <m/>
    <n v="0"/>
    <n v="599.27"/>
    <n v="599.27"/>
    <n v="22.73"/>
    <m/>
    <m/>
    <n v="0"/>
    <m/>
    <m/>
    <m/>
    <m/>
    <m/>
    <n v="0"/>
    <n v="0"/>
    <n v="0"/>
    <n v="622"/>
    <s v="Tarjeta de Credito"/>
    <x v="11"/>
    <x v="10"/>
    <x v="2"/>
  </r>
  <r>
    <x v="75"/>
    <x v="0"/>
    <x v="3"/>
    <x v="5"/>
    <s v="101008172"/>
    <n v="1"/>
    <n v="2"/>
    <s v="GASTOS POR TRABAJOS, SUMINISTROS Y SERVICIOS "/>
    <s v="B0108657107"/>
    <m/>
    <n v="202504"/>
    <n v="24"/>
    <m/>
    <m/>
    <n v="0"/>
    <n v="1591"/>
    <n v="1591"/>
    <n v="0"/>
    <m/>
    <m/>
    <n v="0"/>
    <m/>
    <m/>
    <m/>
    <m/>
    <m/>
    <n v="0"/>
    <n v="0"/>
    <n v="0"/>
    <n v="1591"/>
    <s v="Tarjeta de Credito"/>
    <x v="22"/>
    <x v="24"/>
    <x v="2"/>
  </r>
  <r>
    <x v="75"/>
    <x v="0"/>
    <x v="3"/>
    <x v="5"/>
    <s v="131039499"/>
    <n v="1"/>
    <n v="2"/>
    <s v="GASTOS POR TRABAJOS, SUMINISTROS Y SERVICIOS "/>
    <s v="B0100101877"/>
    <m/>
    <n v="202504"/>
    <n v="24"/>
    <m/>
    <m/>
    <n v="0"/>
    <n v="2276.4"/>
    <n v="2276.4"/>
    <n v="0"/>
    <m/>
    <m/>
    <n v="0"/>
    <m/>
    <m/>
    <m/>
    <m/>
    <m/>
    <n v="0"/>
    <n v="0"/>
    <n v="0"/>
    <n v="2276.4"/>
    <s v="Tarjeta de Credito"/>
    <x v="8"/>
    <x v="8"/>
    <x v="11"/>
  </r>
  <r>
    <x v="80"/>
    <x v="0"/>
    <x v="3"/>
    <x v="6"/>
    <s v="101577983"/>
    <n v="1"/>
    <n v="2"/>
    <s v="GASTOS POR TRABAJOS, SUMINISTROS Y SERVICIOS "/>
    <s v="B0100162875"/>
    <m/>
    <n v="202504"/>
    <n v="23"/>
    <m/>
    <m/>
    <n v="0"/>
    <n v="533.9"/>
    <n v="533.9"/>
    <n v="96.1"/>
    <m/>
    <m/>
    <n v="0"/>
    <m/>
    <m/>
    <m/>
    <m/>
    <m/>
    <n v="0"/>
    <n v="0"/>
    <n v="0"/>
    <n v="630"/>
    <s v="Transferencia Bancaria"/>
    <x v="33"/>
    <x v="39"/>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s v="Clases extracurriculares"/>
    <x v="0"/>
    <n v="2000"/>
    <x v="0"/>
    <s v="Transferencia bancaria"/>
    <s v="Javier"/>
  </r>
  <r>
    <x v="0"/>
    <x v="0"/>
    <s v="Clases extracurriculares"/>
    <x v="0"/>
    <n v="2000"/>
    <x v="0"/>
    <s v="Transferencia bancaria"/>
    <s v="Andres"/>
  </r>
  <r>
    <x v="1"/>
    <x v="1"/>
    <s v="Restaurantes"/>
    <x v="1"/>
    <n v="3600"/>
    <x v="0"/>
    <s v="Tarjeta de crédito"/>
    <s v="Lorena"/>
  </r>
  <r>
    <x v="0"/>
    <x v="2"/>
    <s v="Pago de préstamos personales"/>
    <x v="2"/>
    <n v="14450"/>
    <x v="1"/>
    <s v="Transferencia bancaria"/>
    <s v="Ernesto"/>
  </r>
  <r>
    <x v="1"/>
    <x v="3"/>
    <s v="Cafeterías"/>
    <x v="1"/>
    <n v="1150"/>
    <x v="0"/>
    <s v="Tarjeta de crédito"/>
    <s v="Lorena"/>
  </r>
  <r>
    <x v="1"/>
    <x v="3"/>
    <s v="Supermecado Asia"/>
    <x v="3"/>
    <n v="435"/>
    <x v="0"/>
    <s v="Tarjeta de crédito"/>
    <s v="Yajaira"/>
  </r>
  <r>
    <x v="2"/>
    <x v="4"/>
    <s v="Medicamentos"/>
    <x v="4"/>
    <n v="2276.4"/>
    <x v="0"/>
    <s v="Tarjeta de crédito"/>
    <s v="Ernesto"/>
  </r>
  <r>
    <x v="2"/>
    <x v="2"/>
    <s v="Pago de préstamos personales"/>
    <x v="5"/>
    <n v="15208.33"/>
    <x v="1"/>
    <s v="Transferencia bancaria"/>
    <s v="Ernesto"/>
  </r>
  <r>
    <x v="2"/>
    <x v="5"/>
    <s v="Servicios públicos"/>
    <x v="6"/>
    <n v="1591"/>
    <x v="0"/>
    <s v="Tarjeta de crédito"/>
    <s v="Ernesto"/>
  </r>
  <r>
    <x v="2"/>
    <x v="1"/>
    <s v="Supermercado"/>
    <x v="3"/>
    <n v="4548.3"/>
    <x v="0"/>
    <s v="Tarjeta de crédito"/>
    <s v="Yajaira"/>
  </r>
  <r>
    <x v="2"/>
    <x v="3"/>
    <s v="Ropa especial"/>
    <x v="3"/>
    <n v="550"/>
    <x v="0"/>
    <s v="Tarjeta de crédito"/>
    <s v="Yajaira"/>
  </r>
  <r>
    <x v="3"/>
    <x v="6"/>
    <s v="Sueldo principal"/>
    <x v="7"/>
    <n v="64778.86"/>
    <x v="2"/>
    <s v="Transferencia bancaria"/>
    <s v="Ernesto"/>
  </r>
  <r>
    <x v="3"/>
    <x v="3"/>
    <s v="Ropa especial"/>
    <x v="8"/>
    <n v="630"/>
    <x v="0"/>
    <s v="Tarjeta de crédito"/>
    <s v="Yajaira"/>
  </r>
  <r>
    <x v="4"/>
    <x v="3"/>
    <s v="Supermecado Asia"/>
    <x v="3"/>
    <n v="450"/>
    <x v="0"/>
    <s v="Tarjeta de crédito"/>
    <s v="Yajaira"/>
  </r>
  <r>
    <x v="4"/>
    <x v="1"/>
    <s v="Supermercado"/>
    <x v="3"/>
    <n v="395"/>
    <x v="0"/>
    <s v="Tarjeta de crédito"/>
    <s v="Yajaira"/>
  </r>
  <r>
    <x v="5"/>
    <x v="6"/>
    <s v="Sueldo principal"/>
    <x v="7"/>
    <n v="62609.62"/>
    <x v="2"/>
    <s v="Transferencia bancaria"/>
    <s v="Ernesto"/>
  </r>
  <r>
    <x v="5"/>
    <x v="1"/>
    <s v="Supermercado Bravo"/>
    <x v="9"/>
    <n v="1154"/>
    <x v="0"/>
    <s v="Tarjeta de crédito"/>
    <s v="Yajaira"/>
  </r>
  <r>
    <x v="5"/>
    <x v="5"/>
    <s v="Mantenimiento del hogar"/>
    <x v="10"/>
    <n v="280"/>
    <x v="0"/>
    <s v="Tarjeta de crédito"/>
    <s v="Yajaira"/>
  </r>
  <r>
    <x v="5"/>
    <x v="6"/>
    <s v="Honorarios "/>
    <x v="11"/>
    <n v="401.62"/>
    <x v="2"/>
    <s v="Transferencia bancaria"/>
    <s v="Ernesto"/>
  </r>
  <r>
    <x v="5"/>
    <x v="5"/>
    <s v="Mantenimiento del hogar"/>
    <x v="12"/>
    <n v="880"/>
    <x v="0"/>
    <s v="Tarjeta de crédito"/>
    <s v="Yajaira"/>
  </r>
  <r>
    <x v="6"/>
    <x v="4"/>
    <s v="Gimnasio"/>
    <x v="13"/>
    <n v="1390"/>
    <x v="0"/>
    <s v="Tarjeta de crédito"/>
    <s v="Yahelis"/>
  </r>
  <r>
    <x v="6"/>
    <x v="7"/>
    <s v="Suscripciones"/>
    <x v="14"/>
    <n v="1318.2"/>
    <x v="0"/>
    <s v="Tarjeta de crédito"/>
    <s v="Ernesto"/>
  </r>
  <r>
    <x v="6"/>
    <x v="7"/>
    <s v="Suscripciones"/>
    <x v="15"/>
    <n v="600"/>
    <x v="0"/>
    <s v="Tarjeta de crédito"/>
    <s v="Ernesto"/>
  </r>
  <r>
    <x v="7"/>
    <x v="0"/>
    <s v="Suscripciones"/>
    <x v="16"/>
    <n v="1199.4000000000001"/>
    <x v="0"/>
    <s v="Tarjeta de crédito"/>
    <s v="Ernesto"/>
  </r>
  <r>
    <x v="7"/>
    <x v="1"/>
    <s v="Restaurantes"/>
    <x v="17"/>
    <n v="2050"/>
    <x v="0"/>
    <s v="Tarjeta de crédito"/>
    <s v="Ernesto"/>
  </r>
  <r>
    <x v="7"/>
    <x v="3"/>
    <s v="Banreservas"/>
    <x v="18"/>
    <n v="3000"/>
    <x v="0"/>
    <s v="Tarjeta de débito"/>
    <s v="Yajaira"/>
  </r>
  <r>
    <x v="7"/>
    <x v="3"/>
    <s v="Banreservas"/>
    <x v="18"/>
    <n v="2000"/>
    <x v="0"/>
    <s v="Tarjeta de débito"/>
    <s v="Yajaira"/>
  </r>
  <r>
    <x v="8"/>
    <x v="5"/>
    <s v="Servicios públicos"/>
    <x v="19"/>
    <n v="4932.1099999999997"/>
    <x v="0"/>
    <s v="Tarjeta de crédito"/>
    <s v="Ernesto"/>
  </r>
  <r>
    <x v="9"/>
    <x v="6"/>
    <s v="Sueldo principal"/>
    <x v="7"/>
    <n v="57960.94"/>
    <x v="2"/>
    <s v="Transferencia bancaria"/>
    <s v="Ernesto"/>
  </r>
  <r>
    <x v="10"/>
    <x v="1"/>
    <s v="Almacen el Nazareno LMF"/>
    <x v="20"/>
    <n v="1253.5"/>
    <x v="0"/>
    <s v="Tarjeta de crédito"/>
    <s v="Yajaira"/>
  </r>
  <r>
    <x v="9"/>
    <x v="4"/>
    <s v="Medicamentos"/>
    <x v="21"/>
    <n v="2041.62"/>
    <x v="0"/>
    <s v="Tarjeta de crédito"/>
    <s v="Ernesto"/>
  </r>
  <r>
    <x v="9"/>
    <x v="8"/>
    <s v="Gasoil"/>
    <x v="22"/>
    <n v="4662"/>
    <x v="0"/>
    <s v="Tarjeta de crédito"/>
    <s v="Ernesto"/>
  </r>
  <r>
    <x v="11"/>
    <x v="6"/>
    <s v="Bonificaciones"/>
    <x v="23"/>
    <n v="15710.53"/>
    <x v="2"/>
    <s v="Transferencia bancaria"/>
    <s v="Ernesto"/>
  </r>
  <r>
    <x v="11"/>
    <x v="4"/>
    <s v="Higiene"/>
    <x v="24"/>
    <n v="950"/>
    <x v="0"/>
    <s v="Tarjeta de crédito"/>
    <s v="Yajaira"/>
  </r>
  <r>
    <x v="11"/>
    <x v="5"/>
    <s v="Hipoteca"/>
    <x v="13"/>
    <n v="48386.54"/>
    <x v="0"/>
    <s v="Transferencia bancaria"/>
    <s v="Ernesto"/>
  </r>
  <r>
    <x v="12"/>
    <x v="1"/>
    <s v="Supermercado Bravo"/>
    <x v="3"/>
    <n v="1144"/>
    <x v="0"/>
    <s v="Tarjeta de crédito"/>
    <s v="Yajaira"/>
  </r>
  <r>
    <x v="12"/>
    <x v="3"/>
    <s v="Honorarios "/>
    <x v="25"/>
    <n v="10000"/>
    <x v="0"/>
    <s v="Transferencia bancaria"/>
    <s v="Ernesto"/>
  </r>
  <r>
    <x v="13"/>
    <x v="1"/>
    <s v="Supermercado Sirena"/>
    <x v="9"/>
    <n v="6035.65"/>
    <x v="0"/>
    <s v="Tarjeta de crédito"/>
    <s v="Ernesto"/>
  </r>
  <r>
    <x v="14"/>
    <x v="1"/>
    <s v="Supermercado Jumbo"/>
    <x v="3"/>
    <n v="828.85"/>
    <x v="0"/>
    <s v="Tarjeta de crédito"/>
    <s v="Yajaira"/>
  </r>
  <r>
    <x v="14"/>
    <x v="4"/>
    <s v="Odontología"/>
    <x v="26"/>
    <n v="1000"/>
    <x v="0"/>
    <s v="Tarjeta de crédito"/>
    <s v="Yahelis"/>
  </r>
  <r>
    <x v="14"/>
    <x v="4"/>
    <s v="Medicamentos"/>
    <x v="27"/>
    <n v="1005"/>
    <x v="0"/>
    <s v="Tarjeta de crédito"/>
    <s v="Yajaira"/>
  </r>
  <r>
    <x v="14"/>
    <x v="6"/>
    <s v="Bonificaciones"/>
    <x v="23"/>
    <n v="8147"/>
    <x v="2"/>
    <s v="Transferencia bancaria"/>
    <s v="Ernesto"/>
  </r>
  <r>
    <x v="15"/>
    <x v="1"/>
    <s v="Restaurantes"/>
    <x v="28"/>
    <n v="1089.99"/>
    <x v="0"/>
    <s v="Tarjeta de crédito"/>
    <s v="Ernesto"/>
  </r>
  <r>
    <x v="15"/>
    <x v="5"/>
    <s v="Internet / Cable"/>
    <x v="29"/>
    <n v="1499"/>
    <x v="0"/>
    <s v="Tarjeta de crédito"/>
    <s v="Ernesto"/>
  </r>
  <r>
    <x v="15"/>
    <x v="9"/>
    <s v="Celular"/>
    <x v="30"/>
    <n v="1085.01"/>
    <x v="0"/>
    <s v="Tarjeta de crédito"/>
    <s v="Ernesto"/>
  </r>
  <r>
    <x v="15"/>
    <x v="9"/>
    <s v="Celular"/>
    <x v="31"/>
    <n v="3130"/>
    <x v="0"/>
    <s v="Tarjeta de crédito"/>
    <s v="Ernesto"/>
  </r>
  <r>
    <x v="15"/>
    <x v="3"/>
    <s v="Deportes"/>
    <x v="32"/>
    <n v="6200"/>
    <x v="0"/>
    <s v="Transferencia bancaria"/>
    <s v="Javier"/>
  </r>
  <r>
    <x v="15"/>
    <x v="0"/>
    <s v="Ingles"/>
    <x v="33"/>
    <n v="2876"/>
    <x v="0"/>
    <s v="Tarjeta de crédito"/>
    <s v="Andres"/>
  </r>
  <r>
    <x v="16"/>
    <x v="1"/>
    <s v="Supermercado Bravo"/>
    <x v="3"/>
    <n v="1666"/>
    <x v="0"/>
    <s v="Tarjeta de crédito"/>
    <s v="Yajaira"/>
  </r>
  <r>
    <x v="17"/>
    <x v="1"/>
    <s v="Supermercado Bravo"/>
    <x v="3"/>
    <n v="264"/>
    <x v="0"/>
    <s v="Tarjeta de crédito"/>
    <s v="Yahelis"/>
  </r>
  <r>
    <x v="17"/>
    <x v="3"/>
    <s v="Banreservas"/>
    <x v="18"/>
    <n v="1000"/>
    <x v="0"/>
    <s v="Tarjeta de débito"/>
    <s v="Yajaira"/>
  </r>
  <r>
    <x v="17"/>
    <x v="4"/>
    <s v="Medicamentos"/>
    <x v="3"/>
    <n v="388.01"/>
    <x v="0"/>
    <s v="Tarjeta de crédito"/>
    <s v="Yajaira"/>
  </r>
  <r>
    <x v="17"/>
    <x v="8"/>
    <s v="Gasolina"/>
    <x v="34"/>
    <n v="3450"/>
    <x v="0"/>
    <s v="Tarjeta de crédito"/>
    <s v="Yajaira"/>
  </r>
  <r>
    <x v="17"/>
    <x v="9"/>
    <s v="Suscripciones"/>
    <x v="35"/>
    <n v="179.4"/>
    <x v="0"/>
    <s v="Tarjeta de crédito"/>
    <s v="Ernesto"/>
  </r>
  <r>
    <x v="17"/>
    <x v="9"/>
    <s v="Suscripciones"/>
    <x v="36"/>
    <n v="509.4"/>
    <x v="0"/>
    <s v="Tarjeta de crédito"/>
    <s v="Ernesto"/>
  </r>
  <r>
    <x v="18"/>
    <x v="10"/>
    <s v="Ropa diaria"/>
    <x v="37"/>
    <n v="3000"/>
    <x v="0"/>
    <s v="Tarjeta de crédito"/>
    <s v="Yahelis"/>
  </r>
  <r>
    <x v="18"/>
    <x v="10"/>
    <s v="Ropa diaria"/>
    <x v="37"/>
    <n v="4285"/>
    <x v="0"/>
    <s v="Tarjeta de crédito"/>
    <s v="Yahelis"/>
  </r>
  <r>
    <x v="18"/>
    <x v="3"/>
    <s v="Banreservas"/>
    <x v="18"/>
    <n v="1500"/>
    <x v="0"/>
    <s v="Tarjeta de débito"/>
    <s v="Yajaira"/>
  </r>
  <r>
    <x v="19"/>
    <x v="2"/>
    <s v="Pago de préstamos personales"/>
    <x v="38"/>
    <n v="25404.27"/>
    <x v="1"/>
    <s v="Transferencia bancaria"/>
    <s v="Ernesto"/>
  </r>
  <r>
    <x v="20"/>
    <x v="2"/>
    <s v="Pago de préstamos personales"/>
    <x v="39"/>
    <n v="23443.75"/>
    <x v="1"/>
    <s v="Transferencia bancaria"/>
    <s v="Ernesto"/>
  </r>
  <r>
    <x v="19"/>
    <x v="11"/>
    <s v="Acciones Nacionales"/>
    <x v="40"/>
    <n v="24840"/>
    <x v="3"/>
    <s v="Transferencia bancaria"/>
    <s v="Ernesto"/>
  </r>
  <r>
    <x v="19"/>
    <x v="11"/>
    <s v="Acciones Internacionales"/>
    <x v="41"/>
    <n v="2336790"/>
    <x v="3"/>
    <s v="Transferencia bancaria"/>
    <s v="Ernesto"/>
  </r>
  <r>
    <x v="19"/>
    <x v="11"/>
    <s v="Certificado de Ahorro"/>
    <x v="42"/>
    <n v="20277.27"/>
    <x v="3"/>
    <s v="Transferencia bancaria"/>
    <s v="Ernesto"/>
  </r>
  <r>
    <x v="19"/>
    <x v="11"/>
    <s v="Criptomonedas"/>
    <x v="43"/>
    <n v="12309.6"/>
    <x v="3"/>
    <s v="Transferencia bancaria"/>
    <s v="Ernesto"/>
  </r>
  <r>
    <x v="19"/>
    <x v="2"/>
    <s v="Prestamo"/>
    <x v="44"/>
    <n v="772000"/>
    <x v="4"/>
    <s v="Pendiente"/>
    <s v="Ernesto"/>
  </r>
  <r>
    <x v="19"/>
    <x v="2"/>
    <s v="Prestamo"/>
    <x v="45"/>
    <n v="2500000"/>
    <x v="4"/>
    <s v="Pendiente"/>
    <s v="Ernesto"/>
  </r>
  <r>
    <x v="19"/>
    <x v="2"/>
    <s v="Peajes"/>
    <x v="46"/>
    <n v="3511000"/>
    <x v="4"/>
    <s v="Pendiente"/>
    <s v="Ernesto"/>
  </r>
  <r>
    <x v="21"/>
    <x v="0"/>
    <s v="Colegiatura"/>
    <x v="13"/>
    <n v="7600"/>
    <x v="0"/>
    <s v="Tarjeta de crédito"/>
    <s v="Yahelis"/>
  </r>
  <r>
    <x v="21"/>
    <x v="0"/>
    <s v="Colegiatura"/>
    <x v="13"/>
    <n v="7300"/>
    <x v="0"/>
    <s v="Tarjeta de crédito"/>
    <s v="Javier"/>
  </r>
  <r>
    <x v="21"/>
    <x v="0"/>
    <s v="Colegiatura"/>
    <x v="13"/>
    <n v="7300"/>
    <x v="0"/>
    <s v="Tarjeta de crédito"/>
    <s v="Lorena"/>
  </r>
  <r>
    <x v="21"/>
    <x v="0"/>
    <s v="Colegiatura"/>
    <x v="13"/>
    <n v="0"/>
    <x v="0"/>
    <s v="Tarjeta de crédito"/>
    <s v="Andres"/>
  </r>
  <r>
    <x v="19"/>
    <x v="2"/>
    <s v="Pago de tarjetas de crédito"/>
    <x v="47"/>
    <n v="832276.75"/>
    <x v="4"/>
    <s v="Pendiente"/>
    <s v="Ernesto"/>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s v="Educacion"/>
    <s v="Colegio"/>
    <s v="Mensualidad"/>
    <n v="23500"/>
    <x v="0"/>
  </r>
  <r>
    <x v="0"/>
    <s v="Educacion"/>
    <s v="Clases Extracurriculares"/>
    <s v="Liga de baseball"/>
    <n v="6000"/>
    <x v="0"/>
  </r>
  <r>
    <x v="0"/>
    <s v="Alimentacion"/>
    <s v="supermercado"/>
    <s v="compra quincenal"/>
    <n v="40000"/>
    <x v="0"/>
  </r>
  <r>
    <x v="0"/>
    <s v="Deudas"/>
    <s v="Pago de préstamos personales"/>
    <s v="Credimas"/>
    <n v="14450"/>
    <x v="1"/>
  </r>
  <r>
    <x v="0"/>
    <s v="Deudas"/>
    <s v="Pago de préstamos personales"/>
    <s v="Prestamo BHD2"/>
    <n v="15208.33"/>
    <x v="1"/>
  </r>
  <r>
    <x v="0"/>
    <s v="Deudas"/>
    <s v="Pago de préstamos personales"/>
    <s v="Prestamo Popular"/>
    <n v="25404.27"/>
    <x v="1"/>
  </r>
  <r>
    <x v="0"/>
    <s v="Deudas"/>
    <s v="Pago de préstamos personales"/>
    <s v="Prestamo BHD1"/>
    <n v="23443.75"/>
    <x v="1"/>
  </r>
  <r>
    <x v="0"/>
    <s v="Deudas"/>
    <s v="Pago de préstamos personales"/>
    <s v="Prestamo BHD2"/>
    <n v="15208.33"/>
    <x v="1"/>
  </r>
  <r>
    <x v="0"/>
    <s v="Vivieda"/>
    <s v="servicio"/>
    <s v="Luz"/>
    <n v="5000"/>
    <x v="0"/>
  </r>
  <r>
    <x v="0"/>
    <s v="Vivieda"/>
    <s v="Restauran"/>
    <s v="Salir a Cenar"/>
    <n v="4000"/>
    <x v="0"/>
  </r>
  <r>
    <x v="0"/>
    <s v="Ingresos"/>
    <s v="Sueldo principal"/>
    <s v="Salario mensual"/>
    <n v="64778.86"/>
    <x v="2"/>
  </r>
  <r>
    <x v="0"/>
    <s v="Ingresos"/>
    <s v="Sueldo principal"/>
    <s v="Salario mensual"/>
    <n v="62609.62"/>
    <x v="2"/>
  </r>
  <r>
    <x v="0"/>
    <s v="Vivieda"/>
    <s v="Hipoteca"/>
    <s v="Mensualidad"/>
    <n v="48386.54"/>
    <x v="0"/>
  </r>
  <r>
    <x v="0"/>
    <s v="Ingresos"/>
    <s v="Sueldo principal"/>
    <s v="Salario mensual"/>
    <n v="88960.94"/>
    <x v="2"/>
  </r>
  <r>
    <x v="0"/>
    <s v="Salud"/>
    <s v="Medicamentos"/>
    <s v="Hipertension"/>
    <n v="2276.4"/>
    <x v="0"/>
  </r>
  <r>
    <x v="0"/>
    <s v="Entretenimiento"/>
    <s v="Suscrpciones"/>
    <s v="Streaming"/>
    <n v="2000"/>
    <x v="0"/>
  </r>
  <r>
    <x v="0"/>
    <s v="Educacion"/>
    <s v="Ingles"/>
    <s v="Academia Europea"/>
    <n v="8800"/>
    <x v="0"/>
  </r>
  <r>
    <x v="0"/>
    <s v="Salud"/>
    <s v="Gimnasio"/>
    <s v="Pago mensual"/>
    <n v="1390"/>
    <x v="0"/>
  </r>
  <r>
    <x v="0"/>
    <s v="Salud"/>
    <s v="Medicamentos"/>
    <s v="Airplus"/>
    <n v="2041.62"/>
    <x v="0"/>
  </r>
  <r>
    <x v="0"/>
    <s v="Salud"/>
    <s v="Higiene"/>
    <s v="Salon de Belleza"/>
    <n v="950"/>
    <x v="0"/>
  </r>
  <r>
    <x v="0"/>
    <s v="Salud"/>
    <s v="Medicamentos"/>
    <s v="Airplus"/>
    <n v="2041.62"/>
    <x v="0"/>
  </r>
  <r>
    <x v="0"/>
    <s v="Salud"/>
    <s v="Higiene"/>
    <s v="Salon de Belleza"/>
    <n v="950"/>
    <x v="0"/>
  </r>
  <r>
    <x v="0"/>
    <s v="Salud"/>
    <s v="Higiene"/>
    <s v="Peluqueria"/>
    <n v="1600"/>
    <x v="0"/>
  </r>
  <r>
    <x v="0"/>
    <s v="Transporte"/>
    <s v="Comunicación"/>
    <s v="celulares"/>
    <n v="4300"/>
    <x v="0"/>
  </r>
  <r>
    <x v="0"/>
    <s v="Transporte"/>
    <s v="Suscrpciones"/>
    <s v="Microsof-iclou"/>
    <n v="800"/>
    <x v="0"/>
  </r>
  <r>
    <x v="0"/>
    <s v="Salud"/>
    <s v="Medicamentos"/>
    <s v="compras varias"/>
    <n v="500"/>
    <x v="0"/>
  </r>
  <r>
    <x v="0"/>
    <s v="Transporte"/>
    <s v="Gasolina"/>
    <s v="Crv"/>
    <n v="12000"/>
    <x v="0"/>
  </r>
  <r>
    <x v="0"/>
    <s v="Telecomunicaciones"/>
    <s v="Vivieda"/>
    <s v="Internet"/>
    <n v="1500"/>
    <x v="0"/>
  </r>
  <r>
    <x v="0"/>
    <s v="Deudas"/>
    <s v="Pago de préstamos personales"/>
    <s v="Prestamo Popular"/>
    <n v="25404.27"/>
    <x v="1"/>
  </r>
  <r>
    <x v="0"/>
    <s v="Deudas"/>
    <s v="Pago de préstamos personales"/>
    <s v="Prestamo BHD1"/>
    <n v="23443.75"/>
    <x v="1"/>
  </r>
  <r>
    <x v="0"/>
    <s v="Ingresos"/>
    <s v="Honorarios"/>
    <s v="Ars"/>
    <n v="93000"/>
    <x v="3"/>
  </r>
  <r>
    <x v="0"/>
    <s v="Ingresos"/>
    <s v="Honorarios"/>
    <s v="Ayudantia"/>
    <n v="10000"/>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x v="0"/>
    <s v="B1500000156"/>
    <n v="12300"/>
    <n v="1230"/>
    <n v="11070"/>
    <d v="2021-07-06T00:00:00"/>
    <s v="10-12/AGOSTO"/>
    <x v="0"/>
    <m/>
  </r>
  <r>
    <x v="0"/>
    <x v="1"/>
    <s v="B0100000060"/>
    <n v="8640"/>
    <n v="864"/>
    <n v="7776"/>
    <d v="2021-07-05T00:00:00"/>
    <d v="2021-08-05T00:00:00"/>
    <x v="0"/>
    <m/>
  </r>
  <r>
    <x v="0"/>
    <x v="2"/>
    <s v="B0100000062"/>
    <n v="31170"/>
    <n v="3117"/>
    <n v="28053"/>
    <d v="2021-07-07T00:00:00"/>
    <d v="2021-08-20T00:00:00"/>
    <x v="0"/>
    <m/>
  </r>
  <r>
    <x v="0"/>
    <x v="3"/>
    <s v="B01000000059"/>
    <n v="1445"/>
    <n v="144.5"/>
    <n v="1300.5"/>
    <d v="2021-07-05T00:00:00"/>
    <d v="2021-08-05T00:00:00"/>
    <x v="0"/>
    <m/>
  </r>
  <r>
    <x v="0"/>
    <x v="4"/>
    <s v="B0100000058"/>
    <n v="10000"/>
    <n v="1000"/>
    <n v="9000"/>
    <d v="2021-07-07T00:00:00"/>
    <d v="2021-09-01T00:00:00"/>
    <x v="0"/>
    <m/>
  </r>
  <r>
    <x v="0"/>
    <x v="5"/>
    <s v="B0100000061"/>
    <n v="4717.5"/>
    <n v="471.75"/>
    <n v="4245.75"/>
    <d v="2021-07-05T00:00:00"/>
    <d v="2021-08-05T00:00:00"/>
    <x v="0"/>
    <m/>
  </r>
  <r>
    <x v="1"/>
    <x v="0"/>
    <s v="B1500000157"/>
    <n v="224460"/>
    <n v="22446"/>
    <n v="202014"/>
    <d v="2021-08-04T00:00:00"/>
    <s v="10-12/septiembre"/>
    <x v="0"/>
    <m/>
  </r>
  <r>
    <x v="1"/>
    <x v="1"/>
    <s v="B0100000067"/>
    <n v="14208.75"/>
    <n v="1420.875"/>
    <n v="12787.875"/>
    <d v="2021-08-04T00:00:00"/>
    <d v="2021-09-05T00:00:00"/>
    <x v="0"/>
    <m/>
  </r>
  <r>
    <x v="1"/>
    <x v="2"/>
    <s v="B0100000069"/>
    <n v="47449.48"/>
    <n v="4744.9480000000003"/>
    <n v="42704.532000000007"/>
    <d v="2021-08-04T00:00:00"/>
    <d v="2021-09-20T00:00:00"/>
    <x v="0"/>
    <m/>
  </r>
  <r>
    <x v="1"/>
    <x v="3"/>
    <s v="B01000000066"/>
    <n v="30220"/>
    <n v="3022"/>
    <n v="27198"/>
    <d v="2021-05-04T00:00:00"/>
    <d v="2021-09-05T00:00:00"/>
    <x v="0"/>
    <m/>
  </r>
  <r>
    <x v="1"/>
    <x v="4"/>
    <s v="B0100000065"/>
    <n v="9100"/>
    <n v="910"/>
    <n v="8190"/>
    <d v="2021-08-04T00:00:00"/>
    <s v="10-12/septiembre"/>
    <x v="0"/>
    <m/>
  </r>
  <r>
    <x v="1"/>
    <x v="5"/>
    <s v="B0100000068"/>
    <n v="43354"/>
    <n v="4335.4000000000005"/>
    <n v="39018.6"/>
    <d v="2021-08-04T00:00:00"/>
    <d v="2021-09-05T00:00:00"/>
    <x v="0"/>
    <m/>
  </r>
  <r>
    <x v="2"/>
    <x v="0"/>
    <s v="B1500000158"/>
    <n v="25780"/>
    <n v="2578"/>
    <n v="23202"/>
    <d v="2021-09-03T00:00:00"/>
    <s v="10-12/OCTUBTE"/>
    <x v="0"/>
    <m/>
  </r>
  <r>
    <x v="2"/>
    <x v="2"/>
    <s v="B0100000075"/>
    <n v="8835"/>
    <n v="883.5"/>
    <n v="7951.5"/>
    <d v="2021-09-03T00:00:00"/>
    <d v="2021-10-20T00:00:00"/>
    <x v="0"/>
    <m/>
  </r>
  <r>
    <x v="2"/>
    <x v="3"/>
    <s v="B01000000073"/>
    <n v="11790"/>
    <n v="1179"/>
    <n v="10611"/>
    <d v="2021-09-03T00:00:00"/>
    <d v="2021-10-05T00:00:00"/>
    <x v="0"/>
    <m/>
  </r>
  <r>
    <x v="2"/>
    <x v="4"/>
    <s v="B0100000072"/>
    <n v="17500"/>
    <n v="1750"/>
    <n v="15750"/>
    <d v="2021-09-03T00:00:00"/>
    <s v="10-12/OCTUBTE"/>
    <x v="0"/>
    <m/>
  </r>
  <r>
    <x v="2"/>
    <x v="5"/>
    <s v="B0100000074"/>
    <n v="87730.16"/>
    <n v="8773.0160000000014"/>
    <n v="78957.144"/>
    <d v="2021-09-03T00:00:00"/>
    <d v="2021-10-05T00:00:00"/>
    <x v="0"/>
    <m/>
  </r>
  <r>
    <x v="2"/>
    <x v="6"/>
    <s v="B0100000070"/>
    <n v="10464"/>
    <n v="1046.4000000000001"/>
    <n v="9417.6"/>
    <d v="2021-09-03T00:00:00"/>
    <d v="2021-10-10T00:00:00"/>
    <x v="0"/>
    <m/>
  </r>
  <r>
    <x v="2"/>
    <x v="7"/>
    <s v="B0100000077"/>
    <n v="4037"/>
    <n v="403.70000000000005"/>
    <n v="3633.3"/>
    <d v="2021-09-03T00:00:00"/>
    <d v="2021-10-10T00:00:00"/>
    <x v="0"/>
    <m/>
  </r>
  <r>
    <x v="2"/>
    <x v="8"/>
    <s v="B0100000076"/>
    <n v="8230"/>
    <n v="823"/>
    <n v="7407"/>
    <d v="2021-09-03T00:00:00"/>
    <d v="2021-10-10T00:00:00"/>
    <x v="0"/>
    <m/>
  </r>
  <r>
    <x v="2"/>
    <x v="9"/>
    <s v="B0100000078"/>
    <n v="9500"/>
    <n v="950"/>
    <n v="8550"/>
    <d v="2021-09-03T00:00:00"/>
    <d v="2021-10-10T00:00:00"/>
    <x v="0"/>
    <s v="cta BHD-LEON"/>
  </r>
  <r>
    <x v="2"/>
    <x v="8"/>
    <s v="B0100000063"/>
    <n v="32815"/>
    <n v="3281.5"/>
    <n v="29533.5"/>
    <d v="2021-07-06T00:00:00"/>
    <d v="2021-10-10T00:00:00"/>
    <x v="0"/>
    <m/>
  </r>
  <r>
    <x v="3"/>
    <x v="0"/>
    <s v="B1500000159"/>
    <n v="54765"/>
    <n v="5476.5"/>
    <n v="49288.5"/>
    <d v="2021-10-04T00:00:00"/>
    <s v="10-12/NOV"/>
    <x v="0"/>
    <m/>
  </r>
  <r>
    <x v="3"/>
    <x v="9"/>
    <s v="B0100000079"/>
    <n v="2025"/>
    <n v="202.5"/>
    <n v="1822.5"/>
    <s v="04/102021"/>
    <d v="2021-11-10T00:00:00"/>
    <x v="0"/>
    <m/>
  </r>
  <r>
    <x v="3"/>
    <x v="10"/>
    <s v="B0100000080"/>
    <n v="5500"/>
    <n v="550"/>
    <n v="4950"/>
    <d v="2021-10-04T00:00:00"/>
    <d v="2021-11-20T00:00:00"/>
    <x v="0"/>
    <m/>
  </r>
  <r>
    <x v="3"/>
    <x v="3"/>
    <s v="B01000000081"/>
    <n v="9532.5"/>
    <n v="953.25"/>
    <n v="8579.25"/>
    <d v="2021-10-04T00:00:00"/>
    <d v="2021-11-05T00:00:00"/>
    <x v="0"/>
    <m/>
  </r>
  <r>
    <x v="3"/>
    <x v="1"/>
    <s v="B0100000082"/>
    <n v="1000"/>
    <n v="100"/>
    <n v="900"/>
    <d v="2021-10-04T00:00:00"/>
    <d v="2021-11-05T00:00:00"/>
    <x v="0"/>
    <m/>
  </r>
  <r>
    <x v="3"/>
    <x v="11"/>
    <s v="B0100000083"/>
    <n v="15500"/>
    <n v="1550"/>
    <n v="13950"/>
    <d v="2021-10-04T00:00:00"/>
    <d v="2021-11-05T00:00:00"/>
    <x v="0"/>
    <m/>
  </r>
  <r>
    <x v="3"/>
    <x v="2"/>
    <s v="B0100000084"/>
    <n v="7667.5"/>
    <n v="766.75"/>
    <n v="6900.75"/>
    <d v="2021-10-04T00:00:00"/>
    <d v="2021-11-20T00:00:00"/>
    <x v="0"/>
    <m/>
  </r>
  <r>
    <x v="3"/>
    <x v="7"/>
    <s v="B0100000085"/>
    <n v="32697.5"/>
    <n v="3269.75"/>
    <n v="29427.75"/>
    <d v="2021-10-04T00:00:00"/>
    <d v="2021-11-10T00:00:00"/>
    <x v="0"/>
    <m/>
  </r>
  <r>
    <x v="3"/>
    <x v="8"/>
    <s v="B0100000086"/>
    <n v="2000"/>
    <n v="200"/>
    <n v="1800"/>
    <d v="2021-10-04T00:00:00"/>
    <d v="2021-11-10T00:00:00"/>
    <x v="0"/>
    <m/>
  </r>
  <r>
    <x v="3"/>
    <x v="5"/>
    <s v="B0100000087"/>
    <n v="2892.46"/>
    <n v="289.24600000000004"/>
    <n v="2603.2139999999999"/>
    <d v="2021-10-04T00:00:00"/>
    <d v="2021-11-05T00:00:00"/>
    <x v="0"/>
    <m/>
  </r>
  <r>
    <x v="3"/>
    <x v="12"/>
    <s v="B0100000088"/>
    <n v="3650"/>
    <n v="365"/>
    <n v="3285"/>
    <d v="2021-10-04T00:00:00"/>
    <d v="2021-11-10T00:00:00"/>
    <x v="0"/>
    <m/>
  </r>
  <r>
    <x v="4"/>
    <x v="0"/>
    <s v="B1500000160"/>
    <n v="72975"/>
    <n v="7297.5"/>
    <n v="65677.5"/>
    <d v="2021-11-03T00:00:00"/>
    <s v="10-12/disc"/>
    <x v="0"/>
    <m/>
  </r>
  <r>
    <x v="4"/>
    <x v="3"/>
    <s v="B01000000089"/>
    <n v="5930"/>
    <n v="593"/>
    <n v="5337"/>
    <d v="2021-11-03T00:00:00"/>
    <d v="2021-12-05T00:00:00"/>
    <x v="0"/>
    <m/>
  </r>
  <r>
    <x v="4"/>
    <x v="2"/>
    <s v="B0100000090"/>
    <n v="30550"/>
    <n v="3055"/>
    <n v="27495"/>
    <d v="2021-11-03T00:00:00"/>
    <d v="2021-12-20T00:00:00"/>
    <x v="0"/>
    <m/>
  </r>
  <r>
    <x v="4"/>
    <x v="9"/>
    <s v="B0100000091"/>
    <n v="2430"/>
    <n v="243"/>
    <n v="2187"/>
    <s v="043/112021"/>
    <d v="2021-12-10T00:00:00"/>
    <x v="0"/>
    <m/>
  </r>
  <r>
    <x v="4"/>
    <x v="13"/>
    <s v="B0100000092"/>
    <n v="1900"/>
    <n v="190"/>
    <n v="1710"/>
    <d v="2021-11-03T00:00:00"/>
    <d v="2021-12-10T00:00:00"/>
    <x v="0"/>
    <m/>
  </r>
  <r>
    <x v="5"/>
    <x v="0"/>
    <s v="B1500000161"/>
    <n v="7533.39"/>
    <n v="753.33900000000006"/>
    <n v="6780.0510000000004"/>
    <d v="2021-12-02T00:00:00"/>
    <s v="10-12/enero"/>
    <x v="0"/>
    <m/>
  </r>
  <r>
    <x v="5"/>
    <x v="14"/>
    <s v="B0100000093"/>
    <n v="2216.5"/>
    <n v="221.65"/>
    <n v="1994.85"/>
    <m/>
    <m/>
    <x v="0"/>
    <m/>
  </r>
  <r>
    <x v="5"/>
    <x v="3"/>
    <s v="B0100000094"/>
    <n v="12179"/>
    <n v="1217.9000000000001"/>
    <n v="10961.1"/>
    <d v="2021-12-02T00:00:00"/>
    <d v="2022-01-05T00:00:00"/>
    <x v="0"/>
    <m/>
  </r>
  <r>
    <x v="5"/>
    <x v="1"/>
    <s v="B0100000095"/>
    <n v="20310"/>
    <n v="2031"/>
    <n v="18279"/>
    <d v="2021-12-02T00:00:00"/>
    <d v="2022-01-05T00:00:00"/>
    <x v="0"/>
    <m/>
  </r>
  <r>
    <x v="5"/>
    <x v="2"/>
    <s v="B0100000096"/>
    <n v="30692.3"/>
    <n v="3069.23"/>
    <n v="27623.07"/>
    <d v="2021-12-02T00:00:00"/>
    <d v="2022-01-20T00:00:00"/>
    <x v="0"/>
    <m/>
  </r>
  <r>
    <x v="5"/>
    <x v="8"/>
    <s v="B0100000097"/>
    <n v="17021"/>
    <n v="1702.1000000000001"/>
    <n v="15318.9"/>
    <d v="2021-12-02T00:00:00"/>
    <d v="2022-01-10T00:00:00"/>
    <x v="0"/>
    <m/>
  </r>
  <r>
    <x v="6"/>
    <x v="0"/>
    <s v="B1500000162"/>
    <n v="61052.5"/>
    <n v="6105.25"/>
    <n v="54947.25"/>
    <d v="2022-01-03T00:00:00"/>
    <s v="10-12/febrero"/>
    <x v="0"/>
    <m/>
  </r>
  <r>
    <x v="6"/>
    <x v="3"/>
    <s v="B0100000098"/>
    <n v="19778"/>
    <n v="1977.8000000000002"/>
    <n v="17800.2"/>
    <d v="2022-01-03T00:00:00"/>
    <d v="2022-02-05T00:00:00"/>
    <x v="0"/>
    <m/>
  </r>
  <r>
    <x v="6"/>
    <x v="1"/>
    <s v="B0100000099"/>
    <n v="1000"/>
    <n v="100"/>
    <n v="900"/>
    <d v="2022-01-03T00:00:00"/>
    <d v="2022-02-05T00:00:00"/>
    <x v="0"/>
    <m/>
  </r>
  <r>
    <x v="6"/>
    <x v="2"/>
    <s v="B0100000100"/>
    <n v="1958"/>
    <n v="195.8"/>
    <n v="1762.2"/>
    <d v="2022-01-03T00:00:00"/>
    <d v="2022-02-20T00:00:00"/>
    <x v="0"/>
    <m/>
  </r>
  <r>
    <x v="7"/>
    <x v="0"/>
    <s v="B1500000163"/>
    <n v="80658"/>
    <n v="8065.8"/>
    <n v="72592.2"/>
    <d v="2022-02-04T00:00:00"/>
    <s v="10-12/MARZO"/>
    <x v="0"/>
    <m/>
  </r>
  <r>
    <x v="7"/>
    <x v="3"/>
    <s v="B0100000101"/>
    <n v="1634"/>
    <n v="163.4"/>
    <n v="1470.6"/>
    <d v="2022-02-04T00:00:00"/>
    <d v="2022-03-05T00:00:00"/>
    <x v="0"/>
    <m/>
  </r>
  <r>
    <x v="7"/>
    <x v="1"/>
    <s v="B0100000102"/>
    <n v="20778"/>
    <n v="2077.8000000000002"/>
    <n v="18700.2"/>
    <d v="2022-02-04T00:00:00"/>
    <d v="2022-03-05T00:00:00"/>
    <x v="0"/>
    <m/>
  </r>
  <r>
    <x v="7"/>
    <x v="2"/>
    <s v="B0100000103"/>
    <n v="4780"/>
    <n v="478"/>
    <n v="4302"/>
    <d v="2022-02-04T00:00:00"/>
    <d v="2022-03-20T00:00:00"/>
    <x v="0"/>
    <m/>
  </r>
  <r>
    <x v="7"/>
    <x v="8"/>
    <s v="B0100000104"/>
    <n v="28100"/>
    <n v="2810"/>
    <n v="25290"/>
    <d v="2022-02-04T00:00:00"/>
    <d v="2022-03-21T00:00:00"/>
    <x v="0"/>
    <m/>
  </r>
  <r>
    <x v="7"/>
    <x v="7"/>
    <s v="B0100000105"/>
    <n v="4500"/>
    <n v="450"/>
    <n v="4050"/>
    <d v="2022-02-04T00:00:00"/>
    <d v="2022-03-22T00:00:00"/>
    <x v="0"/>
    <m/>
  </r>
  <r>
    <x v="7"/>
    <x v="15"/>
    <s v="B0100000106"/>
    <n v="3240"/>
    <n v="324"/>
    <n v="2916"/>
    <d v="2022-02-04T00:00:00"/>
    <d v="2022-03-23T00:00:00"/>
    <x v="0"/>
    <m/>
  </r>
  <r>
    <x v="8"/>
    <x v="0"/>
    <s v="B1500000164"/>
    <n v="9390"/>
    <n v="939"/>
    <n v="8451"/>
    <d v="2022-02-04T00:00:00"/>
    <s v="10-12/MARZO"/>
    <x v="0"/>
    <m/>
  </r>
  <r>
    <x v="8"/>
    <x v="3"/>
    <s v="B0100000107"/>
    <n v="27015"/>
    <n v="2701.5"/>
    <n v="24313.5"/>
    <d v="2022-02-04T00:00:00"/>
    <d v="2022-03-05T00:00:00"/>
    <x v="0"/>
    <m/>
  </r>
  <r>
    <x v="8"/>
    <x v="1"/>
    <s v="B0100000108"/>
    <n v="3340"/>
    <n v="334"/>
    <n v="3006"/>
    <d v="2022-02-04T00:00:00"/>
    <d v="2022-03-05T00:00:00"/>
    <x v="0"/>
    <m/>
  </r>
  <r>
    <x v="8"/>
    <x v="2"/>
    <s v="B0100000109"/>
    <n v="41757.31"/>
    <n v="4175.7309999999998"/>
    <n v="37581.578999999998"/>
    <d v="2022-02-04T00:00:00"/>
    <d v="2022-03-20T00:00:00"/>
    <x v="0"/>
    <m/>
  </r>
  <r>
    <x v="8"/>
    <x v="8"/>
    <s v="B0100000110"/>
    <n v="2950"/>
    <n v="295"/>
    <n v="2655"/>
    <d v="2022-02-04T00:00:00"/>
    <d v="2022-03-21T00:00:00"/>
    <x v="0"/>
    <m/>
  </r>
  <r>
    <x v="8"/>
    <x v="5"/>
    <s v="B0100000111"/>
    <n v="10450"/>
    <n v="1045"/>
    <n v="9405"/>
    <d v="2022-02-04T00:00:00"/>
    <d v="2022-03-22T00:00:00"/>
    <x v="0"/>
    <m/>
  </r>
  <r>
    <x v="8"/>
    <x v="16"/>
    <s v="B0100000112"/>
    <m/>
    <m/>
    <m/>
    <m/>
    <m/>
    <x v="0"/>
    <m/>
  </r>
  <r>
    <x v="9"/>
    <x v="0"/>
    <s v="B1500000165"/>
    <n v="74150"/>
    <n v="7415"/>
    <n v="66735"/>
    <d v="2022-04-04T00:00:00"/>
    <s v="10-12/mayo"/>
    <x v="0"/>
    <m/>
  </r>
  <r>
    <x v="9"/>
    <x v="3"/>
    <s v="B0100000113"/>
    <n v="80722.8"/>
    <n v="8072.2800000000007"/>
    <n v="72650.52"/>
    <d v="2022-04-04T00:00:00"/>
    <d v="2022-05-05T00:00:00"/>
    <x v="0"/>
    <m/>
  </r>
  <r>
    <x v="9"/>
    <x v="1"/>
    <s v="B0100000114"/>
    <n v="4060"/>
    <n v="406"/>
    <n v="3654"/>
    <d v="2022-04-04T00:00:00"/>
    <d v="2022-05-05T00:00:00"/>
    <x v="0"/>
    <m/>
  </r>
  <r>
    <x v="9"/>
    <x v="2"/>
    <s v="B0100000115"/>
    <n v="9375"/>
    <n v="937.5"/>
    <n v="8437.5"/>
    <d v="2022-02-04T00:00:00"/>
    <d v="2022-03-20T00:00:00"/>
    <x v="0"/>
    <m/>
  </r>
  <r>
    <x v="9"/>
    <x v="5"/>
    <s v="B0100000116"/>
    <n v="20310"/>
    <n v="2031"/>
    <n v="18279"/>
    <d v="2022-02-04T00:00:00"/>
    <d v="2022-03-22T00:00:00"/>
    <x v="0"/>
    <m/>
  </r>
  <r>
    <x v="10"/>
    <x v="0"/>
    <s v="B1500000166"/>
    <n v="68432"/>
    <n v="6843.2000000000007"/>
    <n v="61588.800000000003"/>
    <d v="2022-05-04T00:00:00"/>
    <s v="10-12/JUNIO"/>
    <x v="0"/>
    <m/>
  </r>
  <r>
    <x v="10"/>
    <x v="3"/>
    <s v="B0100000117"/>
    <n v="26381"/>
    <n v="2638.1000000000004"/>
    <n v="23742.9"/>
    <d v="2022-05-04T00:00:00"/>
    <d v="2022-06-05T00:00:00"/>
    <x v="0"/>
    <m/>
  </r>
  <r>
    <x v="10"/>
    <x v="1"/>
    <s v="B0100000118"/>
    <n v="20412"/>
    <n v="2041.2"/>
    <n v="18370.8"/>
    <d v="2022-05-04T00:00:00"/>
    <d v="2022-06-05T00:00:00"/>
    <x v="0"/>
    <m/>
  </r>
  <r>
    <x v="10"/>
    <x v="2"/>
    <s v="B0100000119"/>
    <n v="22176"/>
    <n v="2217.6"/>
    <n v="19958.400000000001"/>
    <d v="2022-05-04T00:00:00"/>
    <d v="2022-06-20T00:00:00"/>
    <x v="0"/>
    <m/>
  </r>
  <r>
    <x v="10"/>
    <x v="13"/>
    <s v="B0100000120"/>
    <n v="4975"/>
    <n v="497.5"/>
    <n v="4477.5"/>
    <d v="2022-05-04T00:00:00"/>
    <d v="2022-06-22T00:00:00"/>
    <x v="0"/>
    <m/>
  </r>
  <r>
    <x v="10"/>
    <x v="10"/>
    <s v="B0100000121"/>
    <n v="2800"/>
    <n v="280"/>
    <n v="2520"/>
    <d v="2022-05-04T00:00:00"/>
    <d v="2022-06-10T00:00:00"/>
    <x v="0"/>
    <m/>
  </r>
  <r>
    <x v="11"/>
    <x v="0"/>
    <s v="B1500000167"/>
    <n v="8320"/>
    <n v="832"/>
    <n v="7488"/>
    <d v="2022-06-02T00:00:00"/>
    <s v="10-12/JULIO"/>
    <x v="0"/>
    <m/>
  </r>
  <r>
    <x v="11"/>
    <x v="3"/>
    <s v="B0100000122"/>
    <n v="4036"/>
    <n v="403.6"/>
    <n v="3632.4"/>
    <d v="2022-06-02T00:00:00"/>
    <d v="2022-07-05T00:00:00"/>
    <x v="0"/>
    <m/>
  </r>
  <r>
    <x v="11"/>
    <x v="1"/>
    <s v="B0100000123"/>
    <n v="8854"/>
    <n v="885.40000000000009"/>
    <n v="7968.6"/>
    <d v="2022-06-02T00:00:00"/>
    <d v="2022-07-05T00:00:00"/>
    <x v="0"/>
    <m/>
  </r>
  <r>
    <x v="11"/>
    <x v="2"/>
    <s v="B0100000124"/>
    <n v="8910"/>
    <n v="891"/>
    <n v="8019"/>
    <d v="2022-06-02T00:00:00"/>
    <d v="2022-07-20T00:00:00"/>
    <x v="0"/>
    <m/>
  </r>
  <r>
    <x v="11"/>
    <x v="13"/>
    <s v="B0100000125"/>
    <n v="5472"/>
    <n v="547.20000000000005"/>
    <n v="4924.8"/>
    <d v="2022-06-02T00:00:00"/>
    <d v="2022-07-22T00:00:00"/>
    <x v="0"/>
    <m/>
  </r>
  <r>
    <x v="11"/>
    <x v="7"/>
    <s v="B0100000126"/>
    <n v="2577"/>
    <n v="257.7"/>
    <n v="2319.3000000000002"/>
    <d v="2022-06-02T00:00:00"/>
    <d v="2022-07-10T00:00:00"/>
    <x v="0"/>
    <m/>
  </r>
  <r>
    <x v="11"/>
    <x v="9"/>
    <s v="B0100000127"/>
    <n v="6210"/>
    <n v="621"/>
    <n v="5589"/>
    <m/>
    <m/>
    <x v="0"/>
    <m/>
  </r>
  <r>
    <x v="11"/>
    <x v="17"/>
    <s v="B0100000128"/>
    <m/>
    <m/>
    <m/>
    <m/>
    <m/>
    <x v="0"/>
    <m/>
  </r>
  <r>
    <x v="11"/>
    <x v="17"/>
    <s v="B0100000129"/>
    <m/>
    <m/>
    <m/>
    <m/>
    <m/>
    <x v="0"/>
    <m/>
  </r>
  <r>
    <x v="12"/>
    <x v="0"/>
    <s v="B1500000168"/>
    <n v="42368"/>
    <n v="4236.8"/>
    <n v="38131.199999999997"/>
    <d v="2022-07-05T00:00:00"/>
    <s v="10-12/AGOSTO"/>
    <x v="0"/>
    <m/>
  </r>
  <r>
    <x v="12"/>
    <x v="3"/>
    <s v="B0100000130"/>
    <n v="8650"/>
    <n v="865"/>
    <n v="7785"/>
    <d v="2022-07-05T00:00:00"/>
    <d v="2022-08-05T00:00:00"/>
    <x v="0"/>
    <m/>
  </r>
  <r>
    <x v="12"/>
    <x v="1"/>
    <s v="B0100000131"/>
    <n v="11648"/>
    <n v="1164.8"/>
    <n v="10483.200000000001"/>
    <d v="2022-07-05T00:00:00"/>
    <d v="2022-08-05T00:00:00"/>
    <x v="0"/>
    <m/>
  </r>
  <r>
    <x v="12"/>
    <x v="2"/>
    <s v="B0100000132"/>
    <n v="5302"/>
    <n v="530.20000000000005"/>
    <n v="4771.8"/>
    <d v="2022-07-05T00:00:00"/>
    <d v="2022-08-20T00:00:00"/>
    <x v="0"/>
    <m/>
  </r>
  <r>
    <x v="12"/>
    <x v="18"/>
    <s v="B0100000133"/>
    <n v="2430"/>
    <n v="243"/>
    <n v="2187"/>
    <d v="2022-07-05T00:00:00"/>
    <d v="2022-08-22T00:00:00"/>
    <x v="0"/>
    <m/>
  </r>
  <r>
    <x v="12"/>
    <x v="8"/>
    <s v="B0100000134"/>
    <n v="2592"/>
    <n v="259.2"/>
    <n v="2332.8000000000002"/>
    <d v="2022-07-05T00:00:00"/>
    <d v="2022-08-10T00:00:00"/>
    <x v="0"/>
    <m/>
  </r>
  <r>
    <x v="13"/>
    <x v="0"/>
    <s v="B1500000169"/>
    <n v="88600"/>
    <n v="8860"/>
    <n v="79740"/>
    <d v="2022-08-04T00:00:00"/>
    <s v="10-12/octubre"/>
    <x v="0"/>
    <m/>
  </r>
  <r>
    <x v="13"/>
    <x v="3"/>
    <s v="B0100000135"/>
    <n v="100773.5"/>
    <n v="10077.35"/>
    <n v="90696.15"/>
    <d v="2022-08-04T00:00:00"/>
    <d v="2022-09-05T00:00:00"/>
    <x v="0"/>
    <m/>
  </r>
  <r>
    <x v="13"/>
    <x v="2"/>
    <s v="B0100000136"/>
    <n v="50021.96"/>
    <n v="5002.1959999999999"/>
    <n v="45019.763999999996"/>
    <d v="2022-08-04T00:00:00"/>
    <d v="2022-09-20T00:00:00"/>
    <x v="0"/>
    <s v="se pago 19,000"/>
  </r>
  <r>
    <x v="13"/>
    <x v="9"/>
    <s v="B0100000137"/>
    <n v="20300"/>
    <n v="2030"/>
    <n v="18270"/>
    <d v="2022-08-04T00:00:00"/>
    <d v="2022-09-22T00:00:00"/>
    <x v="0"/>
    <m/>
  </r>
  <r>
    <x v="13"/>
    <x v="5"/>
    <s v="B0100000138"/>
    <n v="12394.4"/>
    <n v="1239.44"/>
    <n v="11154.96"/>
    <d v="2022-08-04T00:00:00"/>
    <d v="2022-09-05T00:00:00"/>
    <x v="0"/>
    <m/>
  </r>
  <r>
    <x v="13"/>
    <x v="19"/>
    <s v="B1500000170"/>
    <n v="1560"/>
    <n v="156"/>
    <n v="1404"/>
    <d v="2022-08-04T00:00:00"/>
    <d v="2022-09-05T00:00:00"/>
    <x v="0"/>
    <m/>
  </r>
  <r>
    <x v="14"/>
    <x v="0"/>
    <s v="B1500000171"/>
    <n v="649016"/>
    <n v="64901.600000000006"/>
    <n v="584114.4"/>
    <d v="2022-09-05T00:00:00"/>
    <s v="10-12/octubre"/>
    <x v="0"/>
    <m/>
  </r>
  <r>
    <x v="14"/>
    <x v="3"/>
    <s v="B0100000139"/>
    <n v="67136.12"/>
    <n v="6713.6120000000001"/>
    <n v="60422.507999999994"/>
    <d v="2022-09-05T00:00:00"/>
    <d v="2022-10-05T00:00:00"/>
    <x v="0"/>
    <m/>
  </r>
  <r>
    <x v="14"/>
    <x v="1"/>
    <s v="B0100000140"/>
    <n v="11580"/>
    <n v="1158"/>
    <n v="10422"/>
    <d v="2022-09-05T00:00:00"/>
    <d v="2022-10-05T00:00:00"/>
    <x v="0"/>
    <m/>
  </r>
  <r>
    <x v="14"/>
    <x v="2"/>
    <s v="B0100000141"/>
    <n v="84098"/>
    <n v="8409.8000000000011"/>
    <n v="75688.2"/>
    <d v="2022-09-05T00:00:00"/>
    <d v="2022-10-20T00:00:00"/>
    <x v="0"/>
    <m/>
  </r>
  <r>
    <x v="14"/>
    <x v="18"/>
    <s v="B0100000142"/>
    <n v="22600"/>
    <n v="2260"/>
    <n v="20340"/>
    <d v="2022-09-05T00:00:00"/>
    <d v="2022-10-22T00:00:00"/>
    <x v="0"/>
    <m/>
  </r>
  <r>
    <x v="14"/>
    <x v="8"/>
    <s v="B0100000143"/>
    <n v="7000"/>
    <n v="700"/>
    <n v="6300"/>
    <d v="2022-09-05T00:00:00"/>
    <d v="2022-10-10T00:00:00"/>
    <x v="0"/>
    <m/>
  </r>
  <r>
    <x v="14"/>
    <x v="5"/>
    <s v="B0100000144"/>
    <n v="24206.400000000001"/>
    <n v="2420.6400000000003"/>
    <n v="21785.760000000002"/>
    <d v="2022-09-05T00:00:00"/>
    <d v="2022-10-05T00:00:00"/>
    <x v="0"/>
    <m/>
  </r>
  <r>
    <x v="14"/>
    <x v="20"/>
    <s v="B0100000145"/>
    <n v="31480"/>
    <n v="3148"/>
    <n v="28332"/>
    <d v="2022-09-05T00:00:00"/>
    <d v="2022-10-05T00:00:00"/>
    <x v="0"/>
    <m/>
  </r>
  <r>
    <x v="14"/>
    <x v="7"/>
    <s v="B0100000146"/>
    <n v="16742"/>
    <n v="1674.2"/>
    <n v="15067.8"/>
    <d v="2022-09-05T00:00:00"/>
    <d v="2022-10-05T00:00:00"/>
    <x v="0"/>
    <m/>
  </r>
  <r>
    <x v="14"/>
    <x v="14"/>
    <s v="B0100000147"/>
    <n v="8154"/>
    <m/>
    <n v="4892.3999999999996"/>
    <m/>
    <m/>
    <x v="0"/>
    <m/>
  </r>
  <r>
    <x v="14"/>
    <x v="14"/>
    <s v="B0100000148"/>
    <n v="4095.29"/>
    <s v="FECHA:14/9/2022"/>
    <n v="2457.17"/>
    <m/>
    <m/>
    <x v="0"/>
    <m/>
  </r>
  <r>
    <x v="15"/>
    <x v="0"/>
    <s v="B1500000172"/>
    <n v="158530"/>
    <n v="15853"/>
    <n v="142677"/>
    <d v="2022-10-04T00:00:00"/>
    <s v="10-12/noviembre"/>
    <x v="0"/>
    <m/>
  </r>
  <r>
    <x v="15"/>
    <x v="3"/>
    <s v="B0100000149"/>
    <n v="41907.120000000003"/>
    <n v="4190.7120000000004"/>
    <n v="37716.408000000003"/>
    <d v="2022-10-04T00:00:00"/>
    <d v="2022-11-05T00:00:00"/>
    <x v="0"/>
    <m/>
  </r>
  <r>
    <x v="15"/>
    <x v="1"/>
    <s v="B0100000150"/>
    <n v="20944"/>
    <n v="2094.4"/>
    <n v="18849.599999999999"/>
    <d v="2022-10-04T00:00:00"/>
    <d v="2022-11-04T00:00:00"/>
    <x v="0"/>
    <m/>
  </r>
  <r>
    <x v="15"/>
    <x v="17"/>
    <s v="B0100000151"/>
    <n v="2554"/>
    <n v="1060"/>
    <n v="1532"/>
    <m/>
    <m/>
    <x v="0"/>
    <m/>
  </r>
  <r>
    <x v="16"/>
    <x v="0"/>
    <s v="B1500000173"/>
    <n v="65234"/>
    <n v="6523.4000000000005"/>
    <n v="58710.6"/>
    <d v="2022-11-02T00:00:00"/>
    <s v="10-12/Diciembre"/>
    <x v="0"/>
    <m/>
  </r>
  <r>
    <x v="16"/>
    <x v="3"/>
    <s v="B0100000152"/>
    <n v="33224.5"/>
    <n v="3322.4500000000003"/>
    <n v="29902.05"/>
    <d v="2022-11-02T00:00:00"/>
    <d v="2022-12-05T00:00:00"/>
    <x v="0"/>
    <m/>
  </r>
  <r>
    <x v="16"/>
    <x v="1"/>
    <s v="B0100000153"/>
    <n v="2268"/>
    <n v="226.8"/>
    <n v="2041.2"/>
    <d v="2022-11-02T00:00:00"/>
    <d v="2022-12-05T00:00:00"/>
    <x v="0"/>
    <m/>
  </r>
  <r>
    <x v="16"/>
    <x v="2"/>
    <s v="B0100000154"/>
    <n v="112469.02"/>
    <n v="11246.902000000002"/>
    <n v="101222.118"/>
    <d v="2022-11-02T00:00:00"/>
    <d v="2022-12-20T00:00:00"/>
    <x v="0"/>
    <m/>
  </r>
  <r>
    <x v="16"/>
    <x v="8"/>
    <s v="B0100000155"/>
    <n v="1884"/>
    <n v="188.4"/>
    <n v="1695.6"/>
    <d v="2022-11-02T00:00:00"/>
    <d v="2022-12-22T00:00:00"/>
    <x v="0"/>
    <m/>
  </r>
  <r>
    <x v="16"/>
    <x v="7"/>
    <s v="B0100000156"/>
    <n v="64422.5"/>
    <n v="6442.25"/>
    <n v="57980.25"/>
    <d v="2022-11-02T00:00:00"/>
    <d v="2022-12-10T00:00:00"/>
    <x v="0"/>
    <m/>
  </r>
  <r>
    <x v="16"/>
    <x v="19"/>
    <s v="B1500000174"/>
    <n v="26400"/>
    <n v="2640"/>
    <n v="23760"/>
    <d v="2022-11-02T00:00:00"/>
    <d v="2022-12-05T00:00:00"/>
    <x v="0"/>
    <m/>
  </r>
  <r>
    <x v="16"/>
    <x v="11"/>
    <s v="B0100000157"/>
    <n v="4050"/>
    <n v="405"/>
    <n v="3645"/>
    <d v="2022-11-02T00:00:00"/>
    <d v="2022-12-05T00:00:00"/>
    <x v="0"/>
    <m/>
  </r>
  <r>
    <x v="16"/>
    <x v="21"/>
    <s v="B0100000158"/>
    <n v="30740"/>
    <n v="3074"/>
    <n v="27666"/>
    <d v="2022-11-02T00:00:00"/>
    <d v="2022-12-05T00:00:00"/>
    <x v="0"/>
    <m/>
  </r>
  <r>
    <x v="16"/>
    <x v="17"/>
    <s v="B0100000159"/>
    <n v="2000"/>
    <n v="200"/>
    <n v="1800"/>
    <m/>
    <m/>
    <x v="0"/>
    <m/>
  </r>
  <r>
    <x v="17"/>
    <x v="0"/>
    <s v="B1500000175"/>
    <n v="339840"/>
    <n v="33984"/>
    <n v="305856"/>
    <d v="2022-12-02T00:00:00"/>
    <s v="10-12/enero"/>
    <x v="0"/>
    <m/>
  </r>
  <r>
    <x v="17"/>
    <x v="3"/>
    <s v="B0100000160"/>
    <n v="1384"/>
    <n v="138.4"/>
    <n v="1245.5999999999999"/>
    <d v="2022-12-02T00:00:00"/>
    <d v="2023-01-05T00:00:00"/>
    <x v="0"/>
    <m/>
  </r>
  <r>
    <x v="17"/>
    <x v="2"/>
    <s v="B0100000161"/>
    <n v="2250"/>
    <n v="225"/>
    <n v="2025"/>
    <d v="2022-12-02T00:00:00"/>
    <d v="2023-01-20T00:00:00"/>
    <x v="0"/>
    <m/>
  </r>
  <r>
    <x v="17"/>
    <x v="22"/>
    <s v="B0100000162"/>
    <n v="500"/>
    <n v="50"/>
    <n v="450"/>
    <m/>
    <m/>
    <x v="0"/>
    <m/>
  </r>
  <r>
    <x v="18"/>
    <x v="0"/>
    <s v="B1500000176"/>
    <n v="133830"/>
    <n v="13383"/>
    <n v="120447"/>
    <d v="2023-01-03T00:00:00"/>
    <s v="10-12/febrero"/>
    <x v="0"/>
    <m/>
  </r>
  <r>
    <x v="18"/>
    <x v="3"/>
    <s v="B0100000163"/>
    <n v="2518"/>
    <n v="251.8"/>
    <n v="2266.1999999999998"/>
    <d v="2023-01-03T00:00:00"/>
    <d v="2023-02-05T00:00:00"/>
    <x v="0"/>
    <m/>
  </r>
  <r>
    <x v="18"/>
    <x v="1"/>
    <s v="B0100000164"/>
    <n v="1760"/>
    <n v="176"/>
    <n v="1584"/>
    <d v="2023-01-03T00:00:00"/>
    <d v="2023-02-06T00:00:00"/>
    <x v="0"/>
    <m/>
  </r>
  <r>
    <x v="18"/>
    <x v="2"/>
    <s v="B0100000165"/>
    <n v="4779"/>
    <n v="477.90000000000003"/>
    <n v="4301.1000000000004"/>
    <d v="2023-01-03T00:00:00"/>
    <d v="2023-02-20T00:00:00"/>
    <x v="0"/>
    <m/>
  </r>
  <r>
    <x v="18"/>
    <x v="9"/>
    <s v="B0100000166"/>
    <n v="35055.81"/>
    <n v="3505.5810000000001"/>
    <n v="31550.228999999999"/>
    <d v="2023-01-03T00:00:00"/>
    <d v="2023-02-20T00:00:00"/>
    <x v="0"/>
    <m/>
  </r>
  <r>
    <x v="18"/>
    <x v="23"/>
    <s v="B0100000167"/>
    <n v="1081.8"/>
    <n v="108.18"/>
    <n v="973.61999999999989"/>
    <m/>
    <m/>
    <x v="0"/>
    <m/>
  </r>
  <r>
    <x v="19"/>
    <x v="0"/>
    <s v="B1500000177"/>
    <n v="21540"/>
    <n v="2154"/>
    <n v="19386"/>
    <d v="2023-02-02T00:00:00"/>
    <s v="10-12/marzo"/>
    <x v="0"/>
    <m/>
  </r>
  <r>
    <x v="19"/>
    <x v="3"/>
    <s v="B0100000168"/>
    <n v="2768"/>
    <n v="276.8"/>
    <n v="2491.1999999999998"/>
    <d v="2023-02-02T00:00:00"/>
    <d v="2023-03-05T00:00:00"/>
    <x v="0"/>
    <m/>
  </r>
  <r>
    <x v="19"/>
    <x v="1"/>
    <s v="B0100000169"/>
    <n v="2260"/>
    <n v="226"/>
    <n v="2034"/>
    <d v="2023-02-02T00:00:00"/>
    <d v="2023-03-06T00:00:00"/>
    <x v="0"/>
    <m/>
  </r>
  <r>
    <x v="19"/>
    <x v="23"/>
    <s v="B0100000170"/>
    <n v="1653.6"/>
    <n v="165.36"/>
    <n v="1488.2399999999998"/>
    <m/>
    <m/>
    <x v="0"/>
    <m/>
  </r>
  <r>
    <x v="20"/>
    <x v="0"/>
    <s v="B1500000178"/>
    <n v="142376"/>
    <n v="14237.6"/>
    <n v="128138.4"/>
    <d v="2023-03-02T00:00:00"/>
    <s v="10-12/abril"/>
    <x v="0"/>
    <m/>
  </r>
  <r>
    <x v="20"/>
    <x v="3"/>
    <s v="B0100000171"/>
    <n v="79944.28"/>
    <n v="7994.4279999999999"/>
    <n v="71949.851999999999"/>
    <d v="2023-03-02T00:00:00"/>
    <d v="2023-04-05T00:00:00"/>
    <x v="0"/>
    <m/>
  </r>
  <r>
    <x v="20"/>
    <x v="7"/>
    <s v="B0100000172"/>
    <n v="1052.5"/>
    <n v="105.25"/>
    <n v="947.25"/>
    <d v="2023-03-02T00:00:00"/>
    <d v="2023-04-10T00:00:00"/>
    <x v="0"/>
    <m/>
  </r>
  <r>
    <x v="20"/>
    <x v="10"/>
    <s v="B0100000173"/>
    <n v="32726.7"/>
    <n v="3272.67"/>
    <n v="29454.03"/>
    <d v="2023-03-02T00:00:00"/>
    <d v="2023-04-11T00:00:00"/>
    <x v="0"/>
    <m/>
  </r>
  <r>
    <x v="20"/>
    <x v="23"/>
    <s v="B0100000174"/>
    <n v="3463.2"/>
    <n v="346.32"/>
    <n v="3116.8799999999997"/>
    <m/>
    <m/>
    <x v="0"/>
    <m/>
  </r>
  <r>
    <x v="20"/>
    <x v="24"/>
    <s v="B0100000175"/>
    <n v="5605"/>
    <n v="560.5"/>
    <n v="5044.5"/>
    <m/>
    <m/>
    <x v="0"/>
    <m/>
  </r>
  <r>
    <x v="21"/>
    <x v="0"/>
    <s v="B1500000179"/>
    <n v="187800"/>
    <n v="18780"/>
    <n v="169020"/>
    <d v="2023-04-03T00:00:00"/>
    <s v="10-12/MAYO"/>
    <x v="0"/>
    <m/>
  </r>
  <r>
    <x v="21"/>
    <x v="3"/>
    <s v="B0100000176"/>
    <n v="50949.35"/>
    <n v="5094.9350000000004"/>
    <n v="45854.415000000001"/>
    <d v="2023-04-03T00:00:00"/>
    <d v="2023-05-05T00:00:00"/>
    <x v="0"/>
    <m/>
  </r>
  <r>
    <x v="21"/>
    <x v="1"/>
    <s v="B0100000177"/>
    <n v="12386.4"/>
    <n v="1238.6400000000001"/>
    <n v="11147.76"/>
    <d v="2023-04-03T00:00:00"/>
    <d v="2023-05-05T00:00:00"/>
    <x v="0"/>
    <m/>
  </r>
  <r>
    <x v="21"/>
    <x v="2"/>
    <s v="B0100000178"/>
    <n v="35703.1"/>
    <n v="3570.31"/>
    <n v="32132.789999999997"/>
    <d v="2023-04-03T00:00:00"/>
    <d v="2023-05-20T00:00:00"/>
    <x v="0"/>
    <m/>
  </r>
  <r>
    <x v="21"/>
    <x v="8"/>
    <s v="B0100000179"/>
    <n v="3110.4"/>
    <n v="311.04000000000002"/>
    <n v="2799.36"/>
    <d v="2023-04-03T00:00:00"/>
    <d v="2023-05-11T00:00:00"/>
    <x v="0"/>
    <m/>
  </r>
  <r>
    <x v="21"/>
    <x v="11"/>
    <s v="B0100000180"/>
    <n v="1890"/>
    <n v="189"/>
    <n v="1701"/>
    <d v="2023-04-03T00:00:00"/>
    <d v="2023-05-15T00:00:00"/>
    <x v="0"/>
    <m/>
  </r>
  <r>
    <x v="21"/>
    <x v="23"/>
    <s v="B0100000181"/>
    <n v="2002.8"/>
    <n v="200.28"/>
    <n v="1802.52"/>
    <d v="2023-04-20T00:00:00"/>
    <m/>
    <x v="0"/>
    <m/>
  </r>
  <r>
    <x v="22"/>
    <x v="0"/>
    <s v="B1500000180"/>
    <n v="237616"/>
    <n v="23761.600000000002"/>
    <n v="213854.4"/>
    <d v="2023-05-04T00:00:00"/>
    <s v="10-12/jinio"/>
    <x v="0"/>
    <m/>
  </r>
  <r>
    <x v="22"/>
    <x v="3"/>
    <s v="B0100000182"/>
    <n v="3825"/>
    <n v="382.5"/>
    <n v="3442.5"/>
    <d v="2023-05-04T00:00:00"/>
    <d v="2023-06-05T00:00:00"/>
    <x v="0"/>
    <m/>
  </r>
  <r>
    <x v="22"/>
    <x v="2"/>
    <s v="B0100000183"/>
    <n v="45193.599999999999"/>
    <n v="4519.3599999999997"/>
    <n v="40674.239999999998"/>
    <d v="2023-05-04T00:00:00"/>
    <d v="2023-06-20T00:00:00"/>
    <x v="0"/>
    <m/>
  </r>
  <r>
    <x v="22"/>
    <x v="11"/>
    <s v="B0100000184"/>
    <n v="5430"/>
    <n v="543"/>
    <n v="4887"/>
    <d v="2023-05-04T00:00:00"/>
    <d v="2023-05-11T00:00:00"/>
    <x v="0"/>
    <m/>
  </r>
  <r>
    <x v="22"/>
    <x v="5"/>
    <s v="B0100000185"/>
    <n v="17430"/>
    <n v="1743"/>
    <n v="15687"/>
    <d v="2023-05-04T00:00:00"/>
    <d v="2023-05-05T00:00:00"/>
    <x v="0"/>
    <m/>
  </r>
  <r>
    <x v="23"/>
    <x v="0"/>
    <s v="B1500000181"/>
    <n v="200908"/>
    <n v="20090.800000000003"/>
    <n v="180817.2"/>
    <d v="2023-06-04T00:00:00"/>
    <s v="10-12/Julio"/>
    <x v="0"/>
    <m/>
  </r>
  <r>
    <x v="23"/>
    <x v="3"/>
    <s v="B0100000186"/>
    <n v="5582.4"/>
    <n v="558.24"/>
    <n v="5024.16"/>
    <d v="2023-06-04T00:00:00"/>
    <d v="2023-07-05T00:00:00"/>
    <x v="0"/>
    <m/>
  </r>
  <r>
    <x v="23"/>
    <x v="1"/>
    <s v="B0100000187"/>
    <n v="23772.799999999999"/>
    <n v="2377.2800000000002"/>
    <n v="21395.52"/>
    <d v="2023-06-04T00:00:00"/>
    <d v="2023-07-05T00:00:00"/>
    <x v="0"/>
    <m/>
  </r>
  <r>
    <x v="23"/>
    <x v="2"/>
    <s v="B0100000188"/>
    <n v="6870"/>
    <n v="687"/>
    <n v="6183"/>
    <d v="2023-06-04T00:00:00"/>
    <d v="2023-07-20T00:00:00"/>
    <x v="0"/>
    <m/>
  </r>
  <r>
    <x v="23"/>
    <x v="5"/>
    <s v="B0100000189"/>
    <n v="26002"/>
    <n v="2600.2000000000003"/>
    <n v="23401.8"/>
    <d v="2023-06-04T00:00:00"/>
    <d v="2023-07-05T00:00:00"/>
    <x v="0"/>
    <m/>
  </r>
  <r>
    <x v="23"/>
    <x v="8"/>
    <s v="B0100000190"/>
    <n v="2000"/>
    <n v="200"/>
    <n v="1800"/>
    <d v="2023-06-04T00:00:00"/>
    <d v="2023-07-10T00:00:00"/>
    <x v="0"/>
    <m/>
  </r>
  <r>
    <x v="23"/>
    <x v="25"/>
    <s v="B0100000191"/>
    <n v="3736.8"/>
    <n v="373.68000000000006"/>
    <n v="3363.12"/>
    <d v="2023-06-04T00:00:00"/>
    <d v="2023-07-10T00:00:00"/>
    <x v="0"/>
    <m/>
  </r>
  <r>
    <x v="23"/>
    <x v="10"/>
    <s v="B0100000192"/>
    <n v="1000"/>
    <n v="100"/>
    <n v="900"/>
    <d v="2023-06-04T00:00:00"/>
    <d v="2023-07-10T00:00:00"/>
    <x v="0"/>
    <m/>
  </r>
  <r>
    <x v="23"/>
    <x v="26"/>
    <s v="B0100000193"/>
    <n v="29768"/>
    <n v="2976.8"/>
    <n v="26791.200000000001"/>
    <d v="2023-06-04T00:00:00"/>
    <d v="2023-07-05T00:00:00"/>
    <x v="0"/>
    <m/>
  </r>
  <r>
    <x v="23"/>
    <x v="14"/>
    <s v="B0100000194"/>
    <n v="3819"/>
    <n v="381.90000000000003"/>
    <n v="3437.1"/>
    <d v="2023-06-04T00:00:00"/>
    <d v="2023-07-05T00:00:00"/>
    <x v="0"/>
    <m/>
  </r>
  <r>
    <x v="23"/>
    <x v="14"/>
    <s v="B0100000195"/>
    <n v="15000"/>
    <n v="1500"/>
    <n v="13500"/>
    <d v="2023-06-16T00:00:00"/>
    <d v="2023-06-20T00:00:00"/>
    <x v="0"/>
    <m/>
  </r>
  <r>
    <x v="24"/>
    <x v="0"/>
    <s v="B1500000182"/>
    <n v="170532"/>
    <n v="17053.2"/>
    <n v="153478.79999999999"/>
    <d v="2023-07-03T00:00:00"/>
    <s v="10-12/agostp"/>
    <x v="0"/>
    <m/>
  </r>
  <r>
    <x v="24"/>
    <x v="3"/>
    <s v="B0100000196"/>
    <n v="2860.8"/>
    <n v="286.08000000000004"/>
    <n v="2574.7200000000003"/>
    <d v="2023-07-03T00:00:00"/>
    <d v="2023-08-05T00:00:00"/>
    <x v="0"/>
    <m/>
  </r>
  <r>
    <x v="24"/>
    <x v="5"/>
    <s v="B0100000197"/>
    <n v="34769.599999999999"/>
    <n v="3476.96"/>
    <n v="31292.639999999999"/>
    <d v="2023-07-03T00:00:00"/>
    <d v="2023-08-05T00:00:00"/>
    <x v="0"/>
    <m/>
  </r>
  <r>
    <x v="24"/>
    <x v="8"/>
    <s v="B0100000198"/>
    <n v="1500"/>
    <n v="150"/>
    <n v="1350"/>
    <d v="2023-07-03T00:00:00"/>
    <d v="2023-08-10T00:00:00"/>
    <x v="0"/>
    <m/>
  </r>
  <r>
    <x v="24"/>
    <x v="25"/>
    <s v="B0100000199"/>
    <n v="1000"/>
    <n v="100"/>
    <n v="900"/>
    <d v="2023-07-03T00:00:00"/>
    <d v="2023-08-10T00:00:00"/>
    <x v="0"/>
    <m/>
  </r>
  <r>
    <x v="24"/>
    <x v="27"/>
    <s v="B0100000200"/>
    <n v="11935.2"/>
    <n v="1193.5200000000002"/>
    <n v="7161.1200000000008"/>
    <d v="2023-07-03T00:00:00"/>
    <d v="2023-08-10T00:00:00"/>
    <x v="0"/>
    <m/>
  </r>
  <r>
    <x v="25"/>
    <x v="0"/>
    <s v="B1500000183"/>
    <n v="278058"/>
    <n v="27805.800000000003"/>
    <n v="250252.2"/>
    <d v="2023-08-03T00:00:00"/>
    <s v="10-12/Sep"/>
    <x v="0"/>
    <m/>
  </r>
  <r>
    <x v="25"/>
    <x v="3"/>
    <s v="B0100000201"/>
    <n v="17429.349999999999"/>
    <n v="1742.9349999999999"/>
    <n v="15686.414999999999"/>
    <d v="2023-08-03T00:00:00"/>
    <d v="2023-09-05T00:00:00"/>
    <x v="0"/>
    <m/>
  </r>
  <r>
    <x v="25"/>
    <x v="1"/>
    <s v="B0100000202"/>
    <n v="8803.15"/>
    <n v="880.31500000000005"/>
    <n v="7922.8349999999991"/>
    <d v="2023-08-03T00:00:00"/>
    <d v="2023-09-05T00:00:00"/>
    <x v="0"/>
    <m/>
  </r>
  <r>
    <x v="25"/>
    <x v="5"/>
    <s v="B0100000203"/>
    <n v="21884"/>
    <n v="2188.4"/>
    <n v="19695.599999999999"/>
    <d v="2023-08-03T00:00:00"/>
    <d v="2023-09-05T00:00:00"/>
    <x v="0"/>
    <m/>
  </r>
  <r>
    <x v="25"/>
    <x v="25"/>
    <s v="B0100000204"/>
    <n v="70092"/>
    <n v="7009.2000000000007"/>
    <n v="63082.8"/>
    <d v="2023-08-03T00:00:00"/>
    <d v="2023-09-10T00:00:00"/>
    <x v="0"/>
    <m/>
  </r>
  <r>
    <x v="25"/>
    <x v="2"/>
    <s v="B0100000205"/>
    <n v="51748"/>
    <n v="5174.8"/>
    <n v="46573.2"/>
    <d v="2023-08-03T00:00:00"/>
    <d v="2023-09-20T00:00:00"/>
    <x v="0"/>
    <m/>
  </r>
  <r>
    <x v="25"/>
    <x v="6"/>
    <s v="B0100000206"/>
    <n v="1500"/>
    <n v="150"/>
    <n v="1350"/>
    <d v="2023-08-03T00:00:00"/>
    <d v="2023-09-10T00:00:00"/>
    <x v="0"/>
    <m/>
  </r>
  <r>
    <x v="26"/>
    <x v="0"/>
    <s v="B1500000184"/>
    <n v="279172"/>
    <n v="27917.200000000001"/>
    <n v="251254.8"/>
    <d v="2023-09-03T00:00:00"/>
    <s v="10-12/oct"/>
    <x v="0"/>
    <m/>
  </r>
  <r>
    <x v="26"/>
    <x v="3"/>
    <s v="B0100000207"/>
    <n v="52564.6"/>
    <n v="5256.46"/>
    <n v="47308.14"/>
    <d v="2023-09-03T00:00:00"/>
    <d v="2023-10-05T00:00:00"/>
    <x v="0"/>
    <m/>
  </r>
  <r>
    <x v="26"/>
    <x v="1"/>
    <s v="B0100000208"/>
    <n v="3780"/>
    <n v="378"/>
    <n v="3402"/>
    <d v="2023-09-03T00:00:00"/>
    <d v="2023-10-05T00:00:00"/>
    <x v="0"/>
    <m/>
  </r>
  <r>
    <x v="26"/>
    <x v="2"/>
    <s v="B0100000209"/>
    <n v="54679.6"/>
    <n v="5467.96"/>
    <n v="49211.64"/>
    <d v="2023-09-03T00:00:00"/>
    <d v="2023-10-20T00:00:00"/>
    <x v="0"/>
    <m/>
  </r>
  <r>
    <x v="26"/>
    <x v="8"/>
    <s v="B0100000210"/>
    <n v="7696"/>
    <n v="769.6"/>
    <n v="6926.4"/>
    <d v="2023-09-03T00:00:00"/>
    <d v="2023-10-10T00:00:00"/>
    <x v="0"/>
    <m/>
  </r>
  <r>
    <x v="26"/>
    <x v="12"/>
    <s v="B0100000211"/>
    <n v="9234"/>
    <n v="923.40000000000009"/>
    <n v="8310.6"/>
    <d v="2023-09-03T00:00:00"/>
    <d v="2023-10-10T00:00:00"/>
    <x v="0"/>
    <m/>
  </r>
  <r>
    <x v="26"/>
    <x v="14"/>
    <s v="B0100000212"/>
    <n v="6818"/>
    <n v="681.80000000000007"/>
    <n v="6136.2"/>
    <m/>
    <m/>
    <x v="0"/>
    <m/>
  </r>
  <r>
    <x v="27"/>
    <x v="0"/>
    <s v="B1500000185"/>
    <n v="71702"/>
    <n v="7170.2000000000007"/>
    <n v="64531.8"/>
    <d v="2023-10-03T00:00:00"/>
    <s v="10-12/nov"/>
    <x v="0"/>
    <m/>
  </r>
  <r>
    <x v="27"/>
    <x v="3"/>
    <s v="B0100000213"/>
    <n v="4150"/>
    <n v="415"/>
    <n v="3735"/>
    <d v="2023-10-03T00:00:00"/>
    <d v="2023-11-05T00:00:00"/>
    <x v="0"/>
    <m/>
  </r>
  <r>
    <x v="27"/>
    <x v="2"/>
    <s v="B0100000214"/>
    <n v="69308.800000000003"/>
    <n v="6930.880000000001"/>
    <n v="62377.919999999998"/>
    <d v="2023-10-03T00:00:00"/>
    <d v="2023-11-20T00:00:00"/>
    <x v="0"/>
    <m/>
  </r>
  <r>
    <x v="27"/>
    <x v="5"/>
    <s v="B0100000215"/>
    <n v="44268"/>
    <n v="4426.8"/>
    <n v="39841.199999999997"/>
    <d v="2023-10-03T00:00:00"/>
    <m/>
    <x v="0"/>
    <m/>
  </r>
  <r>
    <x v="27"/>
    <x v="8"/>
    <s v="B0100000216"/>
    <n v="16550"/>
    <n v="1655"/>
    <n v="14895"/>
    <d v="2023-10-03T00:00:00"/>
    <d v="2023-11-10T00:00:00"/>
    <x v="0"/>
    <m/>
  </r>
  <r>
    <x v="27"/>
    <x v="9"/>
    <s v="B0100000217"/>
    <n v="20700"/>
    <n v="2070"/>
    <n v="18630"/>
    <d v="2023-10-03T00:00:00"/>
    <d v="2023-11-10T00:00:00"/>
    <x v="0"/>
    <m/>
  </r>
  <r>
    <x v="27"/>
    <x v="25"/>
    <s v="B0100000218"/>
    <n v="4617"/>
    <n v="461.70000000000005"/>
    <n v="4155.3"/>
    <m/>
    <m/>
    <x v="0"/>
    <m/>
  </r>
  <r>
    <x v="28"/>
    <x v="28"/>
    <s v="B1500000187"/>
    <n v="317692.83"/>
    <n v="31769.283000000003"/>
    <n v="285923.54700000002"/>
    <d v="2023-11-03T00:00:00"/>
    <d v="2023-12-20T00:00:00"/>
    <x v="0"/>
    <m/>
  </r>
  <r>
    <x v="28"/>
    <x v="15"/>
    <s v="B0100000219"/>
    <n v="63000"/>
    <n v="6300"/>
    <n v="56700"/>
    <d v="2023-11-03T00:00:00"/>
    <d v="2023-12-20T00:00:00"/>
    <x v="0"/>
    <m/>
  </r>
  <r>
    <x v="29"/>
    <x v="4"/>
    <s v="B1500000186"/>
    <n v="3219"/>
    <n v="321.90000000000003"/>
    <n v="2897.1"/>
    <d v="2023-11-03T00:00:00"/>
    <s v="10-12/dic"/>
    <x v="0"/>
    <m/>
  </r>
  <r>
    <x v="29"/>
    <x v="28"/>
    <s v="B1500000188"/>
    <n v="211456"/>
    <n v="21145.600000000002"/>
    <n v="190310.39999999999"/>
    <d v="2023-11-03T00:00:00"/>
    <d v="2023-12-20T00:00:00"/>
    <x v="0"/>
    <m/>
  </r>
  <r>
    <x v="29"/>
    <x v="3"/>
    <s v="B0100000220"/>
    <n v="2360.8000000000002"/>
    <n v="236.08000000000004"/>
    <n v="2124.7200000000003"/>
    <d v="2023-11-03T00:00:00"/>
    <d v="2023-12-20T00:00:00"/>
    <x v="0"/>
    <m/>
  </r>
  <r>
    <x v="30"/>
    <x v="28"/>
    <s v="B1500000189"/>
    <n v="403920"/>
    <n v="40392"/>
    <n v="363528"/>
    <d v="2023-12-05T00:00:00"/>
    <d v="2024-02-20T00:00:00"/>
    <x v="0"/>
    <m/>
  </r>
  <r>
    <x v="30"/>
    <x v="29"/>
    <s v="B0100000221"/>
    <n v="6438"/>
    <n v="643.80000000000007"/>
    <n v="5794.2"/>
    <d v="2023-12-05T00:00:00"/>
    <d v="2024-02-20T00:00:00"/>
    <x v="0"/>
    <m/>
  </r>
  <r>
    <x v="31"/>
    <x v="28"/>
    <s v="B1500000190"/>
    <n v="228724"/>
    <n v="22872.400000000001"/>
    <n v="205851.6"/>
    <d v="2023-12-05T00:00:00"/>
    <d v="2024-02-20T00:00:00"/>
    <x v="0"/>
    <m/>
  </r>
  <r>
    <x v="31"/>
    <x v="29"/>
    <s v="B0100000222"/>
    <n v="54660"/>
    <n v="5466"/>
    <n v="49194"/>
    <d v="2023-12-05T00:00:00"/>
    <d v="2024-02-20T00:00:00"/>
    <x v="0"/>
    <m/>
  </r>
  <r>
    <x v="32"/>
    <x v="28"/>
    <s v="B1500000191"/>
    <n v="196908"/>
    <n v="19690.800000000003"/>
    <n v="177217.2"/>
    <d v="2024-04-04T00:00:00"/>
    <d v="2024-05-12T00:00:00"/>
    <x v="0"/>
    <m/>
  </r>
  <r>
    <x v="32"/>
    <x v="29"/>
    <s v="B0100000223"/>
    <n v="35169.300000000003"/>
    <n v="3516.9300000000003"/>
    <n v="31652.370000000003"/>
    <d v="2024-04-04T00:00:00"/>
    <d v="2024-05-20T00:00:00"/>
    <x v="0"/>
    <m/>
  </r>
  <r>
    <x v="32"/>
    <x v="15"/>
    <s v="B0100000224"/>
    <n v="15120"/>
    <n v="1512"/>
    <n v="13608"/>
    <d v="2024-04-04T00:00:00"/>
    <d v="2024-05-20T00:00:00"/>
    <x v="0"/>
    <m/>
  </r>
  <r>
    <x v="32"/>
    <x v="30"/>
    <s v="B0100000225"/>
    <n v="15620"/>
    <n v="1562"/>
    <n v="14058"/>
    <d v="2024-04-04T00:00:00"/>
    <d v="2024-05-05T00:00:00"/>
    <x v="0"/>
    <m/>
  </r>
  <r>
    <x v="32"/>
    <x v="1"/>
    <s v="B0100000226"/>
    <n v="19853.599999999999"/>
    <n v="1985.36"/>
    <n v="17868.239999999998"/>
    <d v="2024-04-04T00:00:00"/>
    <m/>
    <x v="0"/>
    <m/>
  </r>
  <r>
    <x v="32"/>
    <x v="5"/>
    <s v="B0100000227"/>
    <n v="18644"/>
    <n v="1864.4"/>
    <n v="16779.599999999999"/>
    <d v="2024-04-04T00:00:00"/>
    <m/>
    <x v="0"/>
    <m/>
  </r>
  <r>
    <x v="32"/>
    <x v="17"/>
    <s v="B0100000228"/>
    <n v="11302.1"/>
    <n v="1130.21"/>
    <n v="10171.89"/>
    <d v="2024-04-04T00:00:00"/>
    <m/>
    <x v="0"/>
    <m/>
  </r>
  <r>
    <x v="33"/>
    <x v="28"/>
    <s v="B1500000192"/>
    <n v="123814"/>
    <n v="12381.400000000001"/>
    <n v="111432.6"/>
    <d v="2024-05-05T00:00:00"/>
    <d v="2024-06-12T00:00:00"/>
    <x v="0"/>
    <m/>
  </r>
  <r>
    <x v="33"/>
    <x v="29"/>
    <s v="B0100000232"/>
    <n v="3550"/>
    <n v="355"/>
    <n v="3195"/>
    <d v="2024-05-05T00:00:00"/>
    <d v="2024-06-20T00:00:00"/>
    <x v="0"/>
    <m/>
  </r>
  <r>
    <x v="33"/>
    <x v="8"/>
    <s v="B0100000231"/>
    <n v="27920"/>
    <n v="2792"/>
    <n v="25128"/>
    <d v="2024-05-05T00:00:00"/>
    <d v="2024-06-20T00:00:00"/>
    <x v="0"/>
    <m/>
  </r>
  <r>
    <x v="33"/>
    <x v="7"/>
    <s v="B0100000230"/>
    <n v="3050"/>
    <n v="305"/>
    <n v="2745"/>
    <d v="2024-05-05T00:00:00"/>
    <d v="2024-06-05T00:00:00"/>
    <x v="0"/>
    <m/>
  </r>
  <r>
    <x v="33"/>
    <x v="4"/>
    <s v="B1500000193"/>
    <n v="1500"/>
    <n v="150"/>
    <n v="1350"/>
    <d v="2024-05-05T00:00:00"/>
    <d v="2024-06-06T00:00:00"/>
    <x v="0"/>
    <m/>
  </r>
  <r>
    <x v="34"/>
    <x v="28"/>
    <s v="B1500000194"/>
    <n v="122252"/>
    <n v="12225.2"/>
    <n v="110026.8"/>
    <s v="05/0/2024"/>
    <d v="2024-07-12T00:00:00"/>
    <x v="0"/>
    <m/>
  </r>
  <r>
    <x v="34"/>
    <x v="29"/>
    <s v="B0100000233"/>
    <n v="23439.200000000001"/>
    <n v="2343.92"/>
    <n v="21095.279999999999"/>
    <d v="2024-06-05T00:00:00"/>
    <d v="2024-07-20T00:00:00"/>
    <x v="0"/>
    <m/>
  </r>
  <r>
    <x v="34"/>
    <x v="8"/>
    <s v="B0100000234"/>
    <n v="13500"/>
    <n v="1350"/>
    <n v="12150"/>
    <d v="2024-06-05T00:00:00"/>
    <d v="2024-07-20T00:00:00"/>
    <x v="0"/>
    <m/>
  </r>
  <r>
    <x v="34"/>
    <x v="7"/>
    <s v="B0100000235"/>
    <n v="5130"/>
    <n v="513"/>
    <n v="4617"/>
    <d v="2024-06-05T00:00:00"/>
    <d v="2024-07-05T00:00:00"/>
    <x v="0"/>
    <m/>
  </r>
  <r>
    <x v="34"/>
    <x v="4"/>
    <s v="B1500000195"/>
    <n v="17280"/>
    <n v="1728"/>
    <n v="15552"/>
    <d v="2024-06-05T00:00:00"/>
    <d v="2024-07-06T00:00:00"/>
    <x v="1"/>
    <s v="se elimino comprobante fiscar"/>
  </r>
  <r>
    <x v="34"/>
    <x v="31"/>
    <s v="B0100000236"/>
    <n v="29740.03"/>
    <n v="2974.0030000000002"/>
    <n v="26766.026999999998"/>
    <d v="2024-06-05T00:00:00"/>
    <d v="2024-07-05T00:00:00"/>
    <x v="0"/>
    <m/>
  </r>
  <r>
    <x v="34"/>
    <x v="1"/>
    <s v="B0100000237"/>
    <n v="1512"/>
    <n v="151.20000000000002"/>
    <n v="1360.8"/>
    <d v="2024-06-05T00:00:00"/>
    <d v="2024-07-05T00:00:00"/>
    <x v="0"/>
    <m/>
  </r>
  <r>
    <x v="34"/>
    <x v="32"/>
    <s v="B0100000238"/>
    <n v="6282"/>
    <n v="628.20000000000005"/>
    <n v="5653.8"/>
    <m/>
    <m/>
    <x v="0"/>
    <m/>
  </r>
  <r>
    <x v="35"/>
    <x v="28"/>
    <s v="B1500000196"/>
    <n v="122252"/>
    <n v="12225.2"/>
    <n v="106668"/>
    <s v="05/0/2024"/>
    <d v="2024-07-12T00:00:00"/>
    <x v="0"/>
    <m/>
  </r>
  <r>
    <x v="36"/>
    <x v="28"/>
    <s v="B1500000197"/>
    <n v="200741.52"/>
    <n v="20074.152000000002"/>
    <n v="180667.36799999999"/>
    <s v="05/0/2024"/>
    <d v="2024-07-12T00:00:00"/>
    <x v="0"/>
    <m/>
  </r>
  <r>
    <x v="36"/>
    <x v="5"/>
    <s v="B0100000239"/>
    <n v="7250"/>
    <n v="725"/>
    <n v="6525"/>
    <d v="2024-06-05T00:00:00"/>
    <d v="2024-07-20T00:00:00"/>
    <x v="0"/>
    <m/>
  </r>
  <r>
    <x v="36"/>
    <x v="31"/>
    <s v="B0100000240"/>
    <n v="5372.8"/>
    <n v="537.28000000000009"/>
    <n v="4835.5200000000004"/>
    <d v="2024-06-05T00:00:00"/>
    <d v="2024-07-05T00:00:00"/>
    <x v="0"/>
    <m/>
  </r>
  <r>
    <x v="36"/>
    <x v="2"/>
    <s v="B0100000241"/>
    <n v="26648"/>
    <n v="2664.8"/>
    <n v="23983.200000000001"/>
    <d v="2024-06-05T00:00:00"/>
    <d v="2024-07-05T00:00:00"/>
    <x v="0"/>
    <m/>
  </r>
  <r>
    <x v="36"/>
    <x v="8"/>
    <s v="B0100000242"/>
    <n v="2500"/>
    <n v="250"/>
    <n v="2250"/>
    <m/>
    <m/>
    <x v="0"/>
    <m/>
  </r>
  <r>
    <x v="36"/>
    <x v="7"/>
    <s v="B0100000243"/>
    <n v="2430"/>
    <n v="243"/>
    <n v="2187"/>
    <m/>
    <m/>
    <x v="0"/>
    <m/>
  </r>
  <r>
    <x v="36"/>
    <x v="12"/>
    <s v="B0100000244"/>
    <n v="32325"/>
    <n v="3232.5"/>
    <n v="29092.5"/>
    <m/>
    <m/>
    <x v="0"/>
    <m/>
  </r>
  <r>
    <x v="37"/>
    <x v="28"/>
    <s v="B1500000198"/>
    <n v="32060"/>
    <n v="3206"/>
    <n v="28854"/>
    <d v="2024-09-04T00:00:00"/>
    <s v="12/010/2024"/>
    <x v="0"/>
    <m/>
  </r>
  <r>
    <x v="37"/>
    <x v="5"/>
    <s v="B0100000247"/>
    <n v="56124"/>
    <n v="5612.4000000000005"/>
    <n v="50511.6"/>
    <d v="2024-09-05T00:00:00"/>
    <d v="2024-10-05T00:00:00"/>
    <x v="0"/>
    <m/>
  </r>
  <r>
    <x v="37"/>
    <x v="31"/>
    <s v="B0100000246"/>
    <n v="33501.089999999997"/>
    <n v="3350.1089999999999"/>
    <n v="30150.980999999996"/>
    <d v="2024-09-05T00:00:00"/>
    <d v="2024-10-05T00:00:00"/>
    <x v="0"/>
    <m/>
  </r>
  <r>
    <x v="37"/>
    <x v="2"/>
    <s v="B0100000245"/>
    <n v="102411.5"/>
    <n v="10241.150000000001"/>
    <n v="92170.35"/>
    <d v="2024-09-05T00:00:00"/>
    <d v="2024-10-20T00:00:00"/>
    <x v="0"/>
    <m/>
  </r>
  <r>
    <x v="37"/>
    <x v="10"/>
    <s v="B0100000248"/>
    <n v="34300"/>
    <n v="3430"/>
    <n v="30870"/>
    <d v="2024-09-05T00:00:00"/>
    <d v="2024-10-21T00:00:00"/>
    <x v="0"/>
    <m/>
  </r>
  <r>
    <x v="37"/>
    <x v="1"/>
    <s v="B0100000249"/>
    <n v="21468.7"/>
    <n v="2146.8700000000003"/>
    <n v="19321.830000000002"/>
    <d v="2024-09-05T00:00:00"/>
    <d v="2024-10-05T00:00:00"/>
    <x v="0"/>
    <m/>
  </r>
  <r>
    <x v="37"/>
    <x v="14"/>
    <s v="B0100000250"/>
    <n v="6760.38"/>
    <n v="676.03800000000001"/>
    <n v="4056.24"/>
    <m/>
    <m/>
    <x v="0"/>
    <m/>
  </r>
  <r>
    <x v="38"/>
    <x v="28"/>
    <s v="B1500000199"/>
    <n v="191243"/>
    <n v="19124.3"/>
    <n v="172118.7"/>
    <d v="2024-10-04T00:00:00"/>
    <d v="2024-11-12T00:00:00"/>
    <x v="0"/>
    <m/>
  </r>
  <r>
    <x v="38"/>
    <x v="31"/>
    <s v="B0100000252"/>
    <n v="18753"/>
    <n v="1875.3000000000002"/>
    <n v="16877.7"/>
    <d v="2024-10-04T00:00:00"/>
    <d v="2024-11-05T00:00:00"/>
    <x v="0"/>
    <m/>
  </r>
  <r>
    <x v="38"/>
    <x v="6"/>
    <s v="B0100000253"/>
    <n v="136000"/>
    <n v="13600"/>
    <n v="122400"/>
    <d v="2024-10-04T00:00:00"/>
    <d v="2024-11-10T00:00:00"/>
    <x v="0"/>
    <m/>
  </r>
  <r>
    <x v="38"/>
    <x v="12"/>
    <s v="B0100000254"/>
    <n v="31125"/>
    <n v="3112.5"/>
    <n v="28012.5"/>
    <d v="2024-10-04T00:00:00"/>
    <d v="2024-11-12T00:00:00"/>
    <x v="0"/>
    <m/>
  </r>
  <r>
    <x v="39"/>
    <x v="28"/>
    <s v="B1500000201"/>
    <n v="97200"/>
    <n v="9720"/>
    <n v="87480"/>
    <d v="2024-11-05T00:00:00"/>
    <d v="2024-12-12T00:00:00"/>
    <x v="0"/>
    <m/>
  </r>
  <r>
    <x v="39"/>
    <x v="4"/>
    <s v="B1500000200"/>
    <n v="2275"/>
    <n v="227.5"/>
    <n v="2047.5"/>
    <d v="2024-12-05T00:00:00"/>
    <d v="2024-12-05T00:00:00"/>
    <x v="0"/>
    <m/>
  </r>
  <r>
    <x v="39"/>
    <x v="2"/>
    <s v="B0100000251"/>
    <n v="3638.4"/>
    <n v="363.84000000000003"/>
    <n v="3274.56"/>
    <d v="2024-11-05T00:00:00"/>
    <d v="2024-12-21T00:00:00"/>
    <x v="0"/>
    <m/>
  </r>
  <r>
    <x v="39"/>
    <x v="31"/>
    <s v="B0100000255"/>
    <n v="31140.29"/>
    <n v="3114.0290000000005"/>
    <n v="28026.260999999999"/>
    <d v="2024-11-05T00:00:00"/>
    <d v="2024-12-05T00:00:00"/>
    <x v="0"/>
    <m/>
  </r>
  <r>
    <x v="40"/>
    <x v="28"/>
    <s v="B1500000202"/>
    <n v="23056"/>
    <n v="2305.6"/>
    <n v="20750.400000000001"/>
    <d v="2024-12-03T00:00:00"/>
    <d v="2025-01-12T00:00:00"/>
    <x v="0"/>
    <m/>
  </r>
  <r>
    <x v="40"/>
    <x v="2"/>
    <s v="B0100000256"/>
    <n v="23857"/>
    <n v="2385.7000000000003"/>
    <n v="21471.3"/>
    <d v="2024-12-03T00:00:00"/>
    <d v="2025-01-21T00:00:00"/>
    <x v="0"/>
    <m/>
  </r>
  <r>
    <x v="40"/>
    <x v="31"/>
    <s v="B0100000257"/>
    <n v="1500"/>
    <n v="150"/>
    <n v="1350"/>
    <d v="2024-12-03T00:00:00"/>
    <d v="2025-01-05T00:00:00"/>
    <x v="0"/>
    <m/>
  </r>
  <r>
    <x v="40"/>
    <x v="9"/>
    <s v="B0100000258"/>
    <n v="16200"/>
    <n v="1620"/>
    <n v="14580"/>
    <d v="2024-12-03T00:00:00"/>
    <d v="2025-01-05T00:00:00"/>
    <x v="0"/>
    <m/>
  </r>
  <r>
    <x v="40"/>
    <x v="17"/>
    <s v="B0100000259"/>
    <n v="14880"/>
    <n v="1488"/>
    <n v="13392"/>
    <m/>
    <m/>
    <x v="0"/>
    <m/>
  </r>
  <r>
    <x v="41"/>
    <x v="28"/>
    <s v="B1500000203"/>
    <n v="59884"/>
    <n v="5988.4000000000005"/>
    <n v="53895.6"/>
    <d v="2025-02-05T00:00:00"/>
    <d v="2025-03-12T00:00:00"/>
    <x v="0"/>
    <m/>
  </r>
  <r>
    <x v="41"/>
    <x v="31"/>
    <s v="B0100000260"/>
    <n v="1275"/>
    <n v="127.5"/>
    <n v="1147.5"/>
    <d v="2025-02-05T00:00:00"/>
    <d v="2025-03-05T00:00:00"/>
    <x v="0"/>
    <m/>
  </r>
  <r>
    <x v="41"/>
    <x v="7"/>
    <s v="B0100000261"/>
    <n v="6291"/>
    <n v="629.1"/>
    <n v="5661.9"/>
    <d v="2025-02-05T00:00:00"/>
    <d v="2025-03-05T00:00:00"/>
    <x v="0"/>
    <m/>
  </r>
  <r>
    <x v="41"/>
    <x v="4"/>
    <s v="B1500000204"/>
    <n v="17280"/>
    <n v="1728"/>
    <n v="15552"/>
    <d v="2025-02-05T00:00:00"/>
    <d v="2025-03-06T00:00:00"/>
    <x v="2"/>
    <m/>
  </r>
  <r>
    <x v="42"/>
    <x v="28"/>
    <s v=" B1500000205"/>
    <n v="103680"/>
    <n v="10368"/>
    <n v="93312"/>
    <d v="2025-02-05T00:00:00"/>
    <d v="2025-03-12T00:00:00"/>
    <x v="0"/>
    <m/>
  </r>
  <r>
    <x v="42"/>
    <x v="2"/>
    <s v="B0100000262"/>
    <n v="4752"/>
    <n v="475.20000000000005"/>
    <n v="4276.8"/>
    <d v="2025-02-05T00:00:00"/>
    <d v="2025-03-05T00:00:00"/>
    <x v="2"/>
    <m/>
  </r>
  <r>
    <x v="42"/>
    <x v="5"/>
    <s v="B0100000263"/>
    <n v="8925"/>
    <n v="892.5"/>
    <n v="8032.5"/>
    <d v="2025-02-05T00:00:00"/>
    <d v="2025-03-05T00:00:00"/>
    <x v="0"/>
    <m/>
  </r>
  <r>
    <x v="43"/>
    <x v="28"/>
    <s v=" B1500000206"/>
    <n v="17496"/>
    <n v="1749.6000000000001"/>
    <n v="15746.4"/>
    <d v="2025-04-05T00:00:00"/>
    <d v="2025-05-12T00:00:00"/>
    <x v="2"/>
    <m/>
  </r>
  <r>
    <x v="43"/>
    <x v="2"/>
    <s v="B0100000263"/>
    <n v="2138.4"/>
    <n v="213.84000000000003"/>
    <n v="1924.56"/>
    <d v="2025-04-05T00:00:00"/>
    <d v="2025-05-05T00:00:00"/>
    <x v="2"/>
    <m/>
  </r>
  <r>
    <x v="43"/>
    <x v="9"/>
    <s v="B0100000264"/>
    <n v="4204.4399999999996"/>
    <n v="420.44399999999996"/>
    <n v="3783.9959999999996"/>
    <d v="2025-04-05T00:00:00"/>
    <d v="2025-05-06T00:00:00"/>
    <x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n v="2021"/>
    <x v="0"/>
    <n v="35925"/>
    <n v="58466.92"/>
    <n v="34954.57"/>
    <n v="121000"/>
    <m/>
    <n v="250346.49"/>
  </r>
  <r>
    <n v="2021"/>
    <x v="1"/>
    <n v="35925"/>
    <n v="58466.92"/>
    <n v="34954.57"/>
    <n v="61445.25"/>
    <m/>
    <n v="190791.74"/>
  </r>
  <r>
    <n v="2021"/>
    <x v="2"/>
    <n v="35925"/>
    <n v="58466.92"/>
    <n v="34954.57"/>
    <n v="331913.01"/>
    <m/>
    <n v="461259.5"/>
  </r>
  <r>
    <n v="2021"/>
    <x v="3"/>
    <n v="35925"/>
    <n v="58466.92"/>
    <n v="34954.57"/>
    <n v="195013.04399999999"/>
    <m/>
    <n v="324359.53399999999"/>
  </r>
  <r>
    <n v="2021"/>
    <x v="4"/>
    <n v="26500"/>
    <n v="58886.92"/>
    <n v="57700"/>
    <n v="123506.96400000001"/>
    <m/>
    <n v="266593.88399999996"/>
  </r>
  <r>
    <n v="2021"/>
    <x v="5"/>
    <n v="26500"/>
    <n v="58466.92"/>
    <n v="57700"/>
    <n v="102406.5"/>
    <m/>
    <n v="245073.41999999998"/>
  </r>
  <r>
    <n v="2022"/>
    <x v="6"/>
    <n v="26500"/>
    <n v="58889.87"/>
    <n v="57365.93"/>
    <n v="80956.97099999999"/>
    <m/>
    <n v="223712.77099999998"/>
  </r>
  <r>
    <n v="2022"/>
    <x v="7"/>
    <n v="26500"/>
    <n v="58886"/>
    <n v="57365.93"/>
    <n v="75409.649999999994"/>
    <m/>
    <n v="218161.58"/>
  </r>
  <r>
    <n v="2022"/>
    <x v="8"/>
    <n v="71300"/>
    <n v="74886"/>
    <n v="57365.93"/>
    <n v="129321"/>
    <m/>
    <n v="332872.93"/>
  </r>
  <r>
    <n v="2022"/>
    <x v="9"/>
    <n v="72655.11"/>
    <n v="58886"/>
    <n v="57365.93"/>
    <n v="169756.02"/>
    <m/>
    <n v="358663.05999999994"/>
  </r>
  <r>
    <n v="2022"/>
    <x v="10"/>
    <n v="72655.11"/>
    <n v="58886"/>
    <n v="57365.93"/>
    <n v="130658.40000000002"/>
    <m/>
    <n v="319565.44"/>
  </r>
  <r>
    <n v="2022"/>
    <x v="11"/>
    <n v="72655.11"/>
    <n v="58886"/>
    <n v="57365.93"/>
    <n v="39941.1"/>
    <m/>
    <n v="228848.13999999998"/>
  </r>
  <r>
    <n v="2022"/>
    <x v="0"/>
    <n v="72655.11"/>
    <n v="58886"/>
    <n v="57365.93"/>
    <n v="65691"/>
    <m/>
    <n v="254598.03999999998"/>
  </r>
  <r>
    <n v="2022"/>
    <x v="1"/>
    <n v="72655.11"/>
    <n v="58886"/>
    <n v="57365.93"/>
    <n v="246284.87399999998"/>
    <m/>
    <n v="435191.91399999999"/>
  </r>
  <r>
    <n v="2022"/>
    <x v="2"/>
    <n v="72655.11"/>
    <n v="58886"/>
    <n v="57365.93"/>
    <n v="829822.23800000013"/>
    <m/>
    <n v="1018729.2780000002"/>
  </r>
  <r>
    <n v="2022"/>
    <x v="3"/>
    <n v="72655.11"/>
    <n v="58886"/>
    <n v="57365.93"/>
    <n v="200775.008"/>
    <m/>
    <n v="389682.04799999995"/>
  </r>
  <r>
    <n v="2022"/>
    <x v="4"/>
    <n v="72655.11"/>
    <n v="58886"/>
    <n v="57365.93"/>
    <n v="308422.81799999997"/>
    <m/>
    <n v="497329.85799999995"/>
  </r>
  <r>
    <n v="2022"/>
    <x v="5"/>
    <n v="72655.11"/>
    <n v="58886"/>
    <n v="57365.93"/>
    <n v="309126.59999999998"/>
    <m/>
    <n v="498033.63999999996"/>
  </r>
  <r>
    <n v="2023"/>
    <x v="6"/>
    <n v="72655.11"/>
    <n v="58889.87"/>
    <n v="57365.93"/>
    <n v="160148.53"/>
    <n v="6000"/>
    <n v="355059.44"/>
  </r>
  <r>
    <n v="2023"/>
    <x v="7"/>
    <n v="72655.11"/>
    <n v="58886"/>
    <n v="57365.93"/>
    <n v="23911.200000000001"/>
    <n v="30000"/>
    <n v="242818.24"/>
  </r>
  <r>
    <n v="2023"/>
    <x v="8"/>
    <n v="72655.11"/>
    <n v="58886"/>
    <n v="57365.93"/>
    <n v="230489.53199999998"/>
    <n v="30000"/>
    <n v="449396.57199999993"/>
  </r>
  <r>
    <n v="2023"/>
    <x v="9"/>
    <n v="72655.11"/>
    <n v="58886"/>
    <n v="57365.93"/>
    <n v="260954.32500000001"/>
    <n v="0"/>
    <n v="449861.36499999999"/>
  </r>
  <r>
    <n v="2023"/>
    <x v="10"/>
    <n v="72655.11"/>
    <n v="58886"/>
    <n v="57365.93"/>
    <n v="278545.14"/>
    <n v="10000"/>
    <n v="477452.18"/>
  </r>
  <r>
    <n v="2023"/>
    <x v="11"/>
    <n v="72655.11"/>
    <n v="58886"/>
    <n v="57365.93"/>
    <n v="286613.09999999998"/>
    <n v="20000"/>
    <n v="495520.13999999996"/>
  </r>
  <r>
    <n v="2023"/>
    <x v="0"/>
    <n v="72655.11"/>
    <n v="58886"/>
    <n v="57365.93"/>
    <n v="189596.15999999997"/>
    <m/>
    <n v="378503.19999999995"/>
  </r>
  <r>
    <n v="2023"/>
    <x v="1"/>
    <n v="72655.11"/>
    <n v="58886"/>
    <n v="57365.93"/>
    <n v="403213.05"/>
    <n v="10000"/>
    <n v="602120.09"/>
  </r>
  <r>
    <n v="2023"/>
    <x v="2"/>
    <n v="72655.11"/>
    <n v="58886"/>
    <n v="57365.93"/>
    <n v="372549.78"/>
    <n v="20000"/>
    <n v="581456.82000000007"/>
  </r>
  <r>
    <n v="2023"/>
    <x v="3"/>
    <n v="72655.11"/>
    <n v="58886"/>
    <n v="57365.93"/>
    <n v="208166.21999999997"/>
    <n v="5000"/>
    <n v="402073.25999999995"/>
  </r>
  <r>
    <n v="2023"/>
    <x v="4"/>
    <n v="89000"/>
    <n v="58886"/>
    <n v="57365.93"/>
    <n v="285923.54700000002"/>
    <n v="0"/>
    <n v="491175.47700000001"/>
  </r>
  <r>
    <n v="2023"/>
    <x v="5"/>
    <n v="72655.11"/>
    <n v="58886"/>
    <n v="57365.93"/>
    <n v="193207.5"/>
    <n v="0"/>
    <n v="382114.54"/>
  </r>
  <r>
    <n v="2024"/>
    <x v="6"/>
    <n v="72655.11"/>
    <n v="58889.87"/>
    <n v="57365.93"/>
    <n v="369322.2"/>
    <n v="2000"/>
    <n v="560233.11"/>
  </r>
  <r>
    <n v="2024"/>
    <x v="7"/>
    <n v="72655.11"/>
    <n v="58886"/>
    <n v="57365.93"/>
    <n v="255045.6"/>
    <m/>
    <n v="443952.64000000001"/>
  </r>
  <r>
    <n v="2024"/>
    <x v="8"/>
    <n v="72655.11"/>
    <n v="58886"/>
    <n v="57365.93"/>
    <n v="0"/>
    <m/>
    <n v="188907.03999999998"/>
  </r>
  <r>
    <n v="2024"/>
    <x v="9"/>
    <n v="72655.11"/>
    <n v="58886"/>
    <n v="57365.93"/>
    <n v="281355.3"/>
    <m/>
    <n v="470262.33999999997"/>
  </r>
  <r>
    <n v="2024"/>
    <x v="10"/>
    <n v="72655.11"/>
    <n v="58886"/>
    <n v="57365.93"/>
    <n v="143850.6"/>
    <m/>
    <n v="332757.64"/>
  </r>
  <r>
    <n v="2024"/>
    <x v="11"/>
    <n v="72655.11"/>
    <n v="58886"/>
    <n v="57365.93"/>
    <n v="197221.70699999999"/>
    <m/>
    <n v="386128.74699999997"/>
  </r>
  <r>
    <n v="2024"/>
    <x v="0"/>
    <n v="72655.11"/>
    <n v="58886"/>
    <n v="57365.93"/>
    <n v="106668"/>
    <m/>
    <n v="295575.03999999998"/>
  </r>
  <r>
    <n v="2024"/>
    <x v="1"/>
    <n v="72655.11"/>
    <n v="58886"/>
    <n v="57365.93"/>
    <n v="249540.58799999999"/>
    <m/>
    <n v="438447.62799999997"/>
  </r>
  <r>
    <n v="2024"/>
    <x v="2"/>
    <n v="72655.11"/>
    <n v="58886"/>
    <n v="57365.93"/>
    <n v="255935.00099999999"/>
    <m/>
    <n v="444842.04099999997"/>
  </r>
  <r>
    <n v="2024"/>
    <x v="3"/>
    <n v="72655.11"/>
    <n v="58886"/>
    <n v="57365.93"/>
    <n v="339408.9"/>
    <m/>
    <n v="528315.93999999994"/>
  </r>
  <r>
    <n v="2024"/>
    <x v="4"/>
    <n v="89000"/>
    <n v="58886"/>
    <n v="57365.93"/>
    <n v="120828.321"/>
    <m/>
    <n v="326080.25099999999"/>
  </r>
  <r>
    <n v="2024"/>
    <x v="5"/>
    <n v="72655.11"/>
    <n v="58886"/>
    <n v="57365.93"/>
    <n v="43571.7"/>
    <m/>
    <n v="232478.74"/>
  </r>
  <r>
    <n v="2025"/>
    <x v="6"/>
    <n v="81161.81"/>
    <n v="64778.86"/>
    <n v="62609.62"/>
    <n v="0"/>
    <n v="2000"/>
    <n v="210550.28999999998"/>
  </r>
  <r>
    <n v="2025"/>
    <x v="7"/>
    <n v="81161.81"/>
    <n v="64778.86"/>
    <n v="62609.62"/>
    <n v="76257"/>
    <m/>
    <n v="284807.28999999998"/>
  </r>
  <r>
    <n v="2025"/>
    <x v="8"/>
    <n v="81161.81"/>
    <n v="64778.86"/>
    <n v="62609.62"/>
    <n v="105621.3"/>
    <m/>
    <n v="314171.58999999997"/>
  </r>
  <r>
    <n v="2025"/>
    <x v="9"/>
    <n v="81161.81"/>
    <n v="64778.86"/>
    <n v="62609.62"/>
    <n v="21454.955999999998"/>
    <m/>
    <n v="230005.24599999998"/>
  </r>
  <r>
    <n v="2025"/>
    <x v="10"/>
    <n v="81161.81"/>
    <n v="64778.86"/>
    <n v="62609.62"/>
    <n v="10000"/>
    <m/>
    <n v="218550.28999999998"/>
  </r>
  <r>
    <n v="2025"/>
    <x v="11"/>
    <n v="81161.81"/>
    <n v="64778.86"/>
    <n v="62609.62"/>
    <m/>
    <m/>
    <n v="208550.28999999998"/>
  </r>
  <r>
    <n v="2025"/>
    <x v="0"/>
    <n v="81161.81"/>
    <n v="64778.86"/>
    <n v="62609.62"/>
    <m/>
    <m/>
    <n v="208550.28999999998"/>
  </r>
  <r>
    <n v="2025"/>
    <x v="1"/>
    <n v="81161.81"/>
    <n v="64778.86"/>
    <n v="62609.62"/>
    <m/>
    <m/>
    <n v="208550.28999999998"/>
  </r>
  <r>
    <n v="2025"/>
    <x v="2"/>
    <n v="81161.81"/>
    <n v="64778.86"/>
    <n v="62609.62"/>
    <m/>
    <m/>
    <n v="208550.28999999998"/>
  </r>
  <r>
    <n v="2025"/>
    <x v="3"/>
    <n v="81161.81"/>
    <n v="64778.86"/>
    <n v="62609.62"/>
    <m/>
    <m/>
    <n v="208550.28999999998"/>
  </r>
  <r>
    <n v="2025"/>
    <x v="4"/>
    <n v="81161.81"/>
    <n v="64778.86"/>
    <n v="62609.62"/>
    <m/>
    <m/>
    <n v="208550.28999999998"/>
  </r>
  <r>
    <n v="2025"/>
    <x v="5"/>
    <n v="81161.81"/>
    <n v="64778.86"/>
    <n v="62609.62"/>
    <m/>
    <m/>
    <n v="208550.28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605458-42F5-4D8F-992D-676763E5236E}" name="TablaDinámica4" cacheId="4"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20">
  <location ref="L240:M245" firstHeaderRow="1" firstDataRow="1" firstDataCol="1" rowPageCount="2" colPageCount="1"/>
  <pivotFields count="13">
    <pivotField numFmtId="14" showAll="0" defaultSubtota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 axis="axisPage" showAll="0" defaultSubtotal="0">
      <items count="33">
        <item x="10"/>
        <item x="11"/>
        <item x="19"/>
        <item x="20"/>
        <item x="23"/>
        <item x="16"/>
        <item x="26"/>
        <item x="7"/>
        <item x="25"/>
        <item x="6"/>
        <item x="24"/>
        <item x="1"/>
        <item x="32"/>
        <item x="17"/>
        <item x="14"/>
        <item x="27"/>
        <item x="2"/>
        <item x="29"/>
        <item x="15"/>
        <item x="18"/>
        <item x="21"/>
        <item x="12"/>
        <item x="30"/>
        <item x="31"/>
        <item x="3"/>
        <item x="9"/>
        <item x="13"/>
        <item x="22"/>
        <item x="4"/>
        <item x="0"/>
        <item x="28"/>
        <item x="5"/>
        <item x="8"/>
      </items>
    </pivotField>
    <pivotField showAll="0" defaultSubtotal="0"/>
    <pivotField dataField="1" showAll="0" defaultSubtotal="0"/>
    <pivotField showAll="0" defaultSubtotal="0"/>
    <pivotField showAll="0" defaultSubtotal="0"/>
    <pivotField showAll="0" defaultSubtotal="0"/>
    <pivotField showAll="0" defaultSubtotal="0"/>
    <pivotField axis="axisPage" showAll="0" defaultSubtotal="0">
      <items count="3">
        <item x="1"/>
        <item x="0"/>
        <item x="2"/>
      </items>
    </pivotField>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axis="axisRow" showAll="0" defaultSubtotal="0">
      <items count="7">
        <item sd="0" x="0"/>
        <item sd="0" x="1"/>
        <item sd="0" x="2"/>
        <item sd="0" x="3"/>
        <item sd="0" x="4"/>
        <item sd="0" x="5"/>
        <item x="6"/>
      </items>
    </pivotField>
  </pivotFields>
  <rowFields count="1">
    <field x="12"/>
  </rowFields>
  <rowItems count="5">
    <i>
      <x v="1"/>
    </i>
    <i>
      <x v="2"/>
    </i>
    <i>
      <x v="3"/>
    </i>
    <i>
      <x v="4"/>
    </i>
    <i>
      <x v="5"/>
    </i>
  </rowItems>
  <colItems count="1">
    <i/>
  </colItems>
  <pageFields count="2">
    <pageField fld="1" hier="-1"/>
    <pageField fld="8" item="1" hier="-1"/>
  </pageFields>
  <dataFields count="1">
    <dataField name="Suma de MONTO FACTURADO" fld="3" baseField="0" baseItem="0"/>
  </dataFields>
  <formats count="1">
    <format dxfId="209">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9B4BF7-B928-478D-99AF-F51E50132C6E}" name="TablaDinámica1" cacheId="4"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5">
  <location ref="L255:M260" firstHeaderRow="1" firstDataRow="1" firstDataCol="1" rowPageCount="1" colPageCount="1"/>
  <pivotFields count="13">
    <pivotField numFmtId="14"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axis="axisPage" showAll="0">
      <items count="34">
        <item x="10"/>
        <item x="11"/>
        <item x="19"/>
        <item x="20"/>
        <item x="23"/>
        <item x="16"/>
        <item x="26"/>
        <item x="7"/>
        <item x="25"/>
        <item x="6"/>
        <item x="24"/>
        <item x="1"/>
        <item x="32"/>
        <item x="17"/>
        <item x="14"/>
        <item x="27"/>
        <item x="2"/>
        <item x="29"/>
        <item x="15"/>
        <item x="18"/>
        <item x="21"/>
        <item x="12"/>
        <item x="30"/>
        <item x="31"/>
        <item x="3"/>
        <item x="9"/>
        <item x="13"/>
        <item x="22"/>
        <item x="4"/>
        <item x="0"/>
        <item x="28"/>
        <item x="5"/>
        <item x="8"/>
        <item t="default"/>
      </items>
    </pivotField>
    <pivotField showAll="0"/>
    <pivotField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axis="axisRow" showAll="0" defaultSubtotal="0">
      <items count="7">
        <item sd="0" x="0"/>
        <item sd="0" x="1"/>
        <item sd="0" x="2"/>
        <item sd="0" x="3"/>
        <item sd="0" x="4"/>
        <item sd="0" x="5"/>
        <item x="6"/>
      </items>
    </pivotField>
  </pivotFields>
  <rowFields count="1">
    <field x="12"/>
  </rowFields>
  <rowItems count="5">
    <i>
      <x v="1"/>
    </i>
    <i>
      <x v="2"/>
    </i>
    <i>
      <x v="3"/>
    </i>
    <i>
      <x v="4"/>
    </i>
    <i>
      <x v="5"/>
    </i>
  </rowItems>
  <colItems count="1">
    <i/>
  </colItems>
  <pageFields count="1">
    <pageField fld="1" hier="-1"/>
  </pageFields>
  <dataFields count="1">
    <dataField name="Suma de MONTO RETENIDO(RENTA)" fld="4" baseField="0" baseItem="0" numFmtId="8"/>
  </dataFields>
  <formats count="1">
    <format dxfId="210">
      <pivotArea outline="0" collapsedLevelsAreSubtotals="1"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5D44C-951A-4918-97AB-F4791D0D5858}" name="TablaDinámica1" cacheId="5"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5" rowHeaderCaption="Mes ">
  <location ref="K4:L16" firstHeaderRow="1" firstDataRow="1" firstDataCol="1"/>
  <pivotFields count="8">
    <pivotField showAll="0"/>
    <pivotField axis="axisRow" showAll="0">
      <items count="13">
        <item x="6"/>
        <item x="7"/>
        <item x="8"/>
        <item x="9"/>
        <item x="10"/>
        <item x="11"/>
        <item x="0"/>
        <item x="1"/>
        <item x="2"/>
        <item x="3"/>
        <item x="4"/>
        <item x="5"/>
        <item t="default"/>
      </items>
    </pivotField>
    <pivotField numFmtId="164" showAll="0"/>
    <pivotField numFmtId="164" showAll="0"/>
    <pivotField showAll="0"/>
    <pivotField showAll="0"/>
    <pivotField showAll="0"/>
    <pivotField dataField="1" numFmtId="164" showAll="0"/>
  </pivotFields>
  <rowFields count="1">
    <field x="1"/>
  </rowFields>
  <rowItems count="12">
    <i>
      <x/>
    </i>
    <i>
      <x v="1"/>
    </i>
    <i>
      <x v="2"/>
    </i>
    <i>
      <x v="3"/>
    </i>
    <i>
      <x v="4"/>
    </i>
    <i>
      <x v="5"/>
    </i>
    <i>
      <x v="6"/>
    </i>
    <i>
      <x v="7"/>
    </i>
    <i>
      <x v="8"/>
    </i>
    <i>
      <x v="9"/>
    </i>
    <i>
      <x v="10"/>
    </i>
    <i>
      <x v="11"/>
    </i>
  </rowItems>
  <colItems count="1">
    <i/>
  </colItems>
  <dataFields count="1">
    <dataField name="Total" fld="7" baseField="0" baseItem="0" numFmtId="164"/>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1" format="7" series="1">
      <pivotArea type="data" outline="0" fieldPosition="0">
        <references count="2">
          <reference field="4294967294" count="1" selected="0">
            <x v="0"/>
          </reference>
          <reference field="1" count="1" selected="0">
            <x v="7"/>
          </reference>
        </references>
      </pivotArea>
    </chartFormat>
    <chartFormat chart="1" format="8" series="1">
      <pivotArea type="data" outline="0" fieldPosition="0">
        <references count="2">
          <reference field="4294967294" count="1" selected="0">
            <x v="0"/>
          </reference>
          <reference field="1" count="1" selected="0">
            <x v="8"/>
          </reference>
        </references>
      </pivotArea>
    </chartFormat>
    <chartFormat chart="1" format="9" series="1">
      <pivotArea type="data" outline="0" fieldPosition="0">
        <references count="2">
          <reference field="4294967294" count="1" selected="0">
            <x v="0"/>
          </reference>
          <reference field="1" count="1" selected="0">
            <x v="9"/>
          </reference>
        </references>
      </pivotArea>
    </chartFormat>
    <chartFormat chart="1" format="10" series="1">
      <pivotArea type="data" outline="0" fieldPosition="0">
        <references count="2">
          <reference field="4294967294" count="1" selected="0">
            <x v="0"/>
          </reference>
          <reference field="1" count="1" selected="0">
            <x v="10"/>
          </reference>
        </references>
      </pivotArea>
    </chartFormat>
    <chartFormat chart="1" format="11"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DFDF2E-9EE7-4EE7-8C22-2585DA364E97}" name="TablaDinámica7" cacheId="3" applyNumberFormats="0" applyBorderFormats="0" applyFontFormats="0" applyPatternFormats="0" applyAlignmentFormats="0" applyWidthHeightFormats="1" dataCaption="Valores" updatedVersion="8" minRefreshableVersion="3" useAutoFormatting="1" itemPrintTitles="1" createdVersion="8" indent="0" multipleFieldFilters="0" rowHeaderCaption="Ingresos">
  <location ref="L3:M6" firstHeaderRow="1" firstDataRow="1" firstDataCol="1" rowPageCount="1" colPageCount="1"/>
  <pivotFields count="6">
    <pivotField axis="axisPage" numFmtId="17" showAll="0">
      <items count="3">
        <item m="1" x="1"/>
        <item x="0"/>
        <item t="default"/>
      </items>
    </pivotField>
    <pivotField showAll="0"/>
    <pivotField showAll="0"/>
    <pivotField showAll="0"/>
    <pivotField dataField="1" showAll="0"/>
    <pivotField axis="axisRow" showAll="0">
      <items count="5">
        <item h="1" x="0"/>
        <item h="1" x="1"/>
        <item x="2"/>
        <item x="3"/>
        <item t="default"/>
      </items>
    </pivotField>
  </pivotFields>
  <rowFields count="1">
    <field x="5"/>
  </rowFields>
  <rowItems count="3">
    <i>
      <x v="2"/>
    </i>
    <i>
      <x v="3"/>
    </i>
    <i t="grand">
      <x/>
    </i>
  </rowItems>
  <colItems count="1">
    <i/>
  </colItems>
  <pageFields count="1">
    <pageField fld="0" item="1" hier="-1"/>
  </pageFields>
  <dataFields count="1">
    <dataField name="Suma de Monto" fld="4" baseField="0" baseItem="0" numFmtId="8"/>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55E5B-94AF-4F63-805B-9514379D4689}" name="TablaDinámica6" cacheId="3" applyNumberFormats="0" applyBorderFormats="0" applyFontFormats="0" applyPatternFormats="0" applyAlignmentFormats="0" applyWidthHeightFormats="1" dataCaption="Valores" updatedVersion="8" minRefreshableVersion="3" useAutoFormatting="1" itemPrintTitles="1" createdVersion="8" indent="0" multipleFieldFilters="0" rowHeaderCaption="Egreso">
  <location ref="I3:J6" firstHeaderRow="1" firstDataRow="1" firstDataCol="1" rowPageCount="1" colPageCount="1"/>
  <pivotFields count="6">
    <pivotField axis="axisPage" numFmtId="17" showAll="0">
      <items count="3">
        <item m="1" x="1"/>
        <item x="0"/>
        <item t="default"/>
      </items>
    </pivotField>
    <pivotField showAll="0"/>
    <pivotField showAll="0"/>
    <pivotField showAll="0"/>
    <pivotField dataField="1" showAll="0"/>
    <pivotField axis="axisRow" showAll="0">
      <items count="5">
        <item x="0"/>
        <item x="1"/>
        <item h="1" x="2"/>
        <item h="1" x="3"/>
        <item t="default"/>
      </items>
    </pivotField>
  </pivotFields>
  <rowFields count="1">
    <field x="5"/>
  </rowFields>
  <rowItems count="3">
    <i>
      <x/>
    </i>
    <i>
      <x v="1"/>
    </i>
    <i t="grand">
      <x/>
    </i>
  </rowItems>
  <colItems count="1">
    <i/>
  </colItems>
  <pageFields count="1">
    <pageField fld="0" item="1" hier="-1"/>
  </pageFields>
  <dataFields count="1">
    <dataField name="Suma de Monto" fld="4" baseField="0" baseItem="0" numFmtId="8"/>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8B445-F4B7-4BFC-9594-A8C3BD52CDDC}" name="TablaDinámica5" cacheId="2" applyNumberFormats="0" applyBorderFormats="0" applyFontFormats="0" applyPatternFormats="0" applyAlignmentFormats="0" applyWidthHeightFormats="1" dataCaption="Valores" updatedVersion="8" minRefreshableVersion="3" useAutoFormatting="1" colGrandTotals="0" itemPrintTitles="1" createdVersion="8" indent="0" multipleFieldFilters="0" rowHeaderCaption="Tarjeta de debito">
  <location ref="M14:N17" firstHeaderRow="1" firstDataRow="2" firstDataCol="1" rowPageCount="1" colPageCount="1"/>
  <pivotFields count="12">
    <pivotField numFmtId="14" showAll="0">
      <items count="23">
        <item x="19"/>
        <item x="21"/>
        <item x="20"/>
        <item x="18"/>
        <item x="17"/>
        <item x="16"/>
        <item x="15"/>
        <item x="14"/>
        <item x="13"/>
        <item x="12"/>
        <item x="11"/>
        <item x="9"/>
        <item x="10"/>
        <item x="8"/>
        <item x="7"/>
        <item x="6"/>
        <item x="5"/>
        <item x="4"/>
        <item x="3"/>
        <item x="2"/>
        <item x="1"/>
        <item x="0"/>
        <item t="default"/>
      </items>
    </pivotField>
    <pivotField showAll="0"/>
    <pivotField showAll="0"/>
    <pivotField axis="axisRow" showAll="0">
      <items count="49">
        <item h="1" x="33"/>
        <item h="1" x="21"/>
        <item h="1" x="31"/>
        <item h="1" x="30"/>
        <item h="1" x="16"/>
        <item h="1" x="34"/>
        <item h="1" x="22"/>
        <item h="1" x="37"/>
        <item h="1" x="9"/>
        <item h="1" x="3"/>
        <item h="1" x="2"/>
        <item h="1" x="27"/>
        <item h="1" x="11"/>
        <item h="1" x="40"/>
        <item h="1" x="8"/>
        <item h="1" x="43"/>
        <item h="1" x="10"/>
        <item h="1" x="12"/>
        <item h="1" x="6"/>
        <item h="1" x="4"/>
        <item h="1" x="35"/>
        <item h="1" x="23"/>
        <item h="1" x="41"/>
        <item h="1" x="0"/>
        <item h="1" x="19"/>
        <item h="1" x="20"/>
        <item h="1" x="36"/>
        <item h="1" x="14"/>
        <item h="1" x="26"/>
        <item h="1" x="29"/>
        <item h="1" x="13"/>
        <item h="1" x="28"/>
        <item h="1" x="39"/>
        <item h="1" x="5"/>
        <item h="1" x="38"/>
        <item h="1" x="42"/>
        <item h="1" x="1"/>
        <item x="18"/>
        <item h="1" x="7"/>
        <item h="1" x="17"/>
        <item h="1" x="24"/>
        <item h="1" x="25"/>
        <item h="1" x="32"/>
        <item h="1" x="45"/>
        <item h="1" x="46"/>
        <item h="1" x="44"/>
        <item h="1" x="47"/>
        <item h="1" x="15"/>
        <item t="default"/>
      </items>
    </pivotField>
    <pivotField dataField="1" showAll="0"/>
    <pivotField axis="axisPage" showAll="0">
      <items count="6">
        <item x="3"/>
        <item x="0"/>
        <item x="1"/>
        <item x="2"/>
        <item x="4"/>
        <item t="default"/>
      </items>
    </pivotField>
    <pivotField showAll="0"/>
    <pivotField showAll="0"/>
    <pivotField showAll="0"/>
    <pivotField axis="axisCol" showAll="0">
      <items count="15">
        <item x="0"/>
        <item x="1"/>
        <item x="2"/>
        <item x="3"/>
        <item x="4"/>
        <item x="5"/>
        <item x="6"/>
        <item x="7"/>
        <item x="8"/>
        <item x="9"/>
        <item x="10"/>
        <item x="11"/>
        <item x="12"/>
        <item x="13"/>
        <item t="default"/>
      </items>
    </pivotField>
    <pivotField showAll="0"/>
    <pivotField showAll="0">
      <items count="4">
        <item x="0"/>
        <item x="1"/>
        <item x="2"/>
        <item t="default"/>
      </items>
    </pivotField>
  </pivotFields>
  <rowFields count="1">
    <field x="3"/>
  </rowFields>
  <rowItems count="2">
    <i>
      <x v="37"/>
    </i>
    <i t="grand">
      <x/>
    </i>
  </rowItems>
  <colFields count="1">
    <field x="9"/>
  </colFields>
  <colItems count="1">
    <i>
      <x v="4"/>
    </i>
  </colItems>
  <pageFields count="1">
    <pageField fld="5" item="1" hier="-1"/>
  </pageFields>
  <dataFields count="1">
    <dataField name="Suma de Monto" fld="4" baseField="0" baseItem="0" numFmtId="8"/>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71F1FF-E13B-4ED3-8D29-EC6E5E3CA18F}" name="TablaDinámica4" cacheId="2" applyNumberFormats="0" applyBorderFormats="0" applyFontFormats="0" applyPatternFormats="0" applyAlignmentFormats="0" applyWidthHeightFormats="1" dataCaption="Valores" updatedVersion="8" minRefreshableVersion="3" useAutoFormatting="1" colGrandTotals="0" itemPrintTitles="1" createdVersion="8" indent="0" multipleFieldFilters="0" rowHeaderCaption="Pendiente de pago">
  <location ref="S4:T10" firstHeaderRow="1" firstDataRow="2" firstDataCol="1" rowPageCount="1" colPageCount="1"/>
  <pivotFields count="12">
    <pivotField numFmtId="14" showAll="0">
      <items count="23">
        <item x="19"/>
        <item x="21"/>
        <item x="20"/>
        <item x="18"/>
        <item x="17"/>
        <item x="16"/>
        <item x="15"/>
        <item x="14"/>
        <item x="13"/>
        <item x="12"/>
        <item x="11"/>
        <item x="9"/>
        <item x="10"/>
        <item x="8"/>
        <item x="7"/>
        <item x="6"/>
        <item x="5"/>
        <item x="4"/>
        <item x="3"/>
        <item x="2"/>
        <item x="1"/>
        <item x="0"/>
        <item t="default"/>
      </items>
    </pivotField>
    <pivotField showAll="0"/>
    <pivotField showAll="0"/>
    <pivotField axis="axisRow" showAll="0">
      <items count="49">
        <item x="33"/>
        <item x="21"/>
        <item x="31"/>
        <item x="30"/>
        <item x="16"/>
        <item x="34"/>
        <item x="22"/>
        <item x="37"/>
        <item x="9"/>
        <item x="3"/>
        <item x="2"/>
        <item x="27"/>
        <item x="11"/>
        <item x="40"/>
        <item x="8"/>
        <item x="43"/>
        <item x="10"/>
        <item x="12"/>
        <item x="6"/>
        <item x="4"/>
        <item x="35"/>
        <item x="23"/>
        <item x="41"/>
        <item x="0"/>
        <item x="19"/>
        <item x="20"/>
        <item x="36"/>
        <item x="14"/>
        <item x="26"/>
        <item x="29"/>
        <item x="13"/>
        <item x="28"/>
        <item x="39"/>
        <item x="5"/>
        <item x="38"/>
        <item x="42"/>
        <item x="1"/>
        <item x="18"/>
        <item x="7"/>
        <item x="17"/>
        <item x="24"/>
        <item x="25"/>
        <item x="32"/>
        <item x="45"/>
        <item x="46"/>
        <item x="44"/>
        <item x="47"/>
        <item x="15"/>
        <item t="default"/>
      </items>
    </pivotField>
    <pivotField dataField="1" showAll="0"/>
    <pivotField axis="axisPage" showAll="0">
      <items count="6">
        <item x="3"/>
        <item x="0"/>
        <item x="1"/>
        <item x="2"/>
        <item x="4"/>
        <item t="default"/>
      </items>
    </pivotField>
    <pivotField showAll="0"/>
    <pivotField showAll="0"/>
    <pivotField showAll="0"/>
    <pivotField axis="axisCol" showAll="0">
      <items count="15">
        <item x="0"/>
        <item x="1"/>
        <item x="2"/>
        <item x="3"/>
        <item x="4"/>
        <item x="5"/>
        <item x="6"/>
        <item x="7"/>
        <item x="8"/>
        <item x="9"/>
        <item x="10"/>
        <item x="11"/>
        <item x="12"/>
        <item x="13"/>
        <item t="default"/>
      </items>
    </pivotField>
    <pivotField showAll="0"/>
    <pivotField showAll="0">
      <items count="4">
        <item x="0"/>
        <item x="1"/>
        <item x="2"/>
        <item t="default"/>
      </items>
    </pivotField>
  </pivotFields>
  <rowFields count="1">
    <field x="3"/>
  </rowFields>
  <rowItems count="5">
    <i>
      <x v="43"/>
    </i>
    <i>
      <x v="44"/>
    </i>
    <i>
      <x v="45"/>
    </i>
    <i>
      <x v="46"/>
    </i>
    <i t="grand">
      <x/>
    </i>
  </rowItems>
  <colFields count="1">
    <field x="9"/>
  </colFields>
  <colItems count="1">
    <i>
      <x v="4"/>
    </i>
  </colItems>
  <pageFields count="1">
    <pageField fld="5" item="4" hier="-1"/>
  </pageFields>
  <dataFields count="1">
    <dataField name="Prestamos" fld="4" baseField="0" baseItem="0" numFmtId="8"/>
  </dataFields>
  <formats count="1">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BA8432-1A19-4C13-B690-F2BC88C5E942}" name="TablaDinámica3" cacheId="2" applyNumberFormats="0" applyBorderFormats="0" applyFontFormats="0" applyPatternFormats="0" applyAlignmentFormats="0" applyWidthHeightFormats="1" dataCaption="Valores" updatedVersion="8" minRefreshableVersion="3" useAutoFormatting="1" colGrandTotals="0" itemPrintTitles="1" createdVersion="8" indent="0" multipleFieldFilters="0" rowHeaderCaption="Ahorro e Inversion">
  <location ref="P4:Q10" firstHeaderRow="1" firstDataRow="2" firstDataCol="1" rowPageCount="1" colPageCount="1"/>
  <pivotFields count="12">
    <pivotField numFmtId="14" showAll="0">
      <items count="23">
        <item x="19"/>
        <item x="21"/>
        <item x="20"/>
        <item x="18"/>
        <item x="17"/>
        <item x="16"/>
        <item x="15"/>
        <item x="14"/>
        <item x="13"/>
        <item x="12"/>
        <item x="11"/>
        <item x="9"/>
        <item x="10"/>
        <item x="8"/>
        <item x="7"/>
        <item x="6"/>
        <item x="5"/>
        <item x="4"/>
        <item x="3"/>
        <item x="2"/>
        <item x="1"/>
        <item x="0"/>
        <item t="default"/>
      </items>
    </pivotField>
    <pivotField showAll="0"/>
    <pivotField showAll="0"/>
    <pivotField axis="axisRow" showAll="0">
      <items count="49">
        <item x="33"/>
        <item x="21"/>
        <item x="31"/>
        <item x="30"/>
        <item x="16"/>
        <item x="34"/>
        <item x="22"/>
        <item x="37"/>
        <item x="9"/>
        <item x="3"/>
        <item x="2"/>
        <item x="27"/>
        <item x="11"/>
        <item x="40"/>
        <item x="8"/>
        <item x="43"/>
        <item x="10"/>
        <item x="12"/>
        <item x="6"/>
        <item x="4"/>
        <item x="35"/>
        <item x="23"/>
        <item x="41"/>
        <item x="0"/>
        <item x="19"/>
        <item x="20"/>
        <item x="36"/>
        <item x="14"/>
        <item x="26"/>
        <item x="29"/>
        <item x="13"/>
        <item x="28"/>
        <item x="39"/>
        <item x="5"/>
        <item x="38"/>
        <item x="42"/>
        <item x="1"/>
        <item x="18"/>
        <item x="7"/>
        <item x="17"/>
        <item x="24"/>
        <item x="25"/>
        <item x="32"/>
        <item x="45"/>
        <item x="46"/>
        <item x="44"/>
        <item x="47"/>
        <item x="15"/>
        <item t="default"/>
      </items>
    </pivotField>
    <pivotField dataField="1" showAll="0"/>
    <pivotField axis="axisPage" showAll="0">
      <items count="6">
        <item x="3"/>
        <item x="0"/>
        <item x="1"/>
        <item x="2"/>
        <item x="4"/>
        <item t="default"/>
      </items>
    </pivotField>
    <pivotField showAll="0"/>
    <pivotField showAll="0"/>
    <pivotField showAll="0"/>
    <pivotField axis="axisCol" showAll="0">
      <items count="15">
        <item x="0"/>
        <item x="1"/>
        <item x="2"/>
        <item x="3"/>
        <item x="4"/>
        <item x="5"/>
        <item x="6"/>
        <item x="7"/>
        <item x="8"/>
        <item x="9"/>
        <item x="10"/>
        <item x="11"/>
        <item x="12"/>
        <item x="13"/>
        <item t="default"/>
      </items>
    </pivotField>
    <pivotField showAll="0"/>
    <pivotField showAll="0">
      <items count="4">
        <item x="0"/>
        <item x="1"/>
        <item x="2"/>
        <item t="default"/>
      </items>
    </pivotField>
  </pivotFields>
  <rowFields count="1">
    <field x="3"/>
  </rowFields>
  <rowItems count="5">
    <i>
      <x v="13"/>
    </i>
    <i>
      <x v="15"/>
    </i>
    <i>
      <x v="22"/>
    </i>
    <i>
      <x v="35"/>
    </i>
    <i t="grand">
      <x/>
    </i>
  </rowItems>
  <colFields count="1">
    <field x="9"/>
  </colFields>
  <colItems count="1">
    <i>
      <x v="4"/>
    </i>
  </colItems>
  <pageFields count="1">
    <pageField fld="5" item="0" hier="-1"/>
  </pageFields>
  <dataFields count="1">
    <dataField name="Suma de Monto" fld="4" baseField="0" baseItem="0" numFmtId="8"/>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FBB79A-06A2-448A-868A-26654F1E1190}" name="TablaDinámica1" cacheId="2" applyNumberFormats="0" applyBorderFormats="0" applyFontFormats="0" applyPatternFormats="0" applyAlignmentFormats="0" applyWidthHeightFormats="1" dataCaption="Valores" updatedVersion="8" minRefreshableVersion="3" useAutoFormatting="1" colGrandTotals="0" itemPrintTitles="1" createdVersion="8" indent="0" multipleFieldFilters="0" rowHeaderCaption="Gastos">
  <location ref="J3:K15" firstHeaderRow="1" firstDataRow="2" firstDataCol="1" rowPageCount="1" colPageCount="1"/>
  <pivotFields count="12">
    <pivotField numFmtId="14" showAll="0">
      <items count="23">
        <item x="19"/>
        <item x="20"/>
        <item x="18"/>
        <item x="17"/>
        <item x="16"/>
        <item x="15"/>
        <item x="14"/>
        <item x="13"/>
        <item x="12"/>
        <item x="11"/>
        <item x="9"/>
        <item x="10"/>
        <item x="8"/>
        <item x="7"/>
        <item x="6"/>
        <item x="5"/>
        <item x="4"/>
        <item x="3"/>
        <item x="2"/>
        <item x="1"/>
        <item x="0"/>
        <item x="21"/>
        <item t="default"/>
      </items>
    </pivotField>
    <pivotField axis="axisRow" multipleItemSelectionAllowed="1" showAll="0">
      <items count="13">
        <item x="1"/>
        <item x="2"/>
        <item x="0"/>
        <item x="7"/>
        <item x="6"/>
        <item x="11"/>
        <item x="3"/>
        <item x="10"/>
        <item x="4"/>
        <item x="9"/>
        <item x="8"/>
        <item x="5"/>
        <item t="default"/>
      </items>
    </pivotField>
    <pivotField showAll="0"/>
    <pivotField showAll="0"/>
    <pivotField dataField="1" numFmtId="167" showAll="0"/>
    <pivotField axis="axisPage" multipleItemSelectionAllowed="1" showAll="0">
      <items count="6">
        <item h="1" x="3"/>
        <item x="0"/>
        <item x="1"/>
        <item h="1" x="2"/>
        <item h="1"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
        <item x="0"/>
        <item x="1"/>
        <item x="2"/>
        <item t="default"/>
      </items>
    </pivotField>
  </pivotFields>
  <rowFields count="1">
    <field x="1"/>
  </rowFields>
  <rowItems count="11">
    <i>
      <x/>
    </i>
    <i>
      <x v="1"/>
    </i>
    <i>
      <x v="2"/>
    </i>
    <i>
      <x v="3"/>
    </i>
    <i>
      <x v="6"/>
    </i>
    <i>
      <x v="7"/>
    </i>
    <i>
      <x v="8"/>
    </i>
    <i>
      <x v="9"/>
    </i>
    <i>
      <x v="10"/>
    </i>
    <i>
      <x v="11"/>
    </i>
    <i t="grand">
      <x/>
    </i>
  </rowItems>
  <colFields count="1">
    <field x="9"/>
  </colFields>
  <colItems count="1">
    <i>
      <x v="4"/>
    </i>
  </colItems>
  <pageFields count="1">
    <pageField fld="5" hier="-1"/>
  </pageFields>
  <dataFields count="1">
    <dataField name="Suma de Monto" fld="4" baseField="0" baseItem="0" numFmtId="167"/>
  </dataFields>
  <conditionalFormats count="1">
    <conditionalFormat priority="2">
      <pivotAreas count="1">
        <pivotArea type="data" collapsedLevelsAreSubtotals="1" fieldPosition="0">
          <references count="2">
            <reference field="4294967294" count="1" selected="0">
              <x v="0"/>
            </reference>
            <reference field="1" count="10">
              <x v="0"/>
              <x v="1"/>
              <x v="2"/>
              <x v="3"/>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C47458-537D-4D83-9F9A-1DA943993F44}" name="TablaDinámica2" cacheId="2" applyNumberFormats="0" applyBorderFormats="0" applyFontFormats="0" applyPatternFormats="0" applyAlignmentFormats="0" applyWidthHeightFormats="1" dataCaption="Valores" updatedVersion="8" minRefreshableVersion="3" useAutoFormatting="1" colGrandTotals="0" itemPrintTitles="1" createdVersion="8" indent="0" multipleFieldFilters="0" rowHeaderCaption="Ingresos ">
  <location ref="M4:N9" firstHeaderRow="1" firstDataRow="2" firstDataCol="1" rowPageCount="1" colPageCount="1"/>
  <pivotFields count="12">
    <pivotField numFmtId="14" showAll="0">
      <items count="23">
        <item x="19"/>
        <item x="20"/>
        <item x="18"/>
        <item x="17"/>
        <item x="16"/>
        <item x="15"/>
        <item x="14"/>
        <item x="13"/>
        <item x="12"/>
        <item x="11"/>
        <item x="9"/>
        <item x="10"/>
        <item x="8"/>
        <item x="7"/>
        <item x="6"/>
        <item x="5"/>
        <item x="4"/>
        <item x="3"/>
        <item x="2"/>
        <item x="1"/>
        <item x="0"/>
        <item x="21"/>
        <item t="default"/>
      </items>
    </pivotField>
    <pivotField multipleItemSelectionAllowed="1" showAll="0"/>
    <pivotField showAll="0"/>
    <pivotField axis="axisRow" showAll="0">
      <items count="49">
        <item x="33"/>
        <item x="21"/>
        <item x="31"/>
        <item x="30"/>
        <item x="16"/>
        <item x="34"/>
        <item x="22"/>
        <item x="37"/>
        <item x="9"/>
        <item x="3"/>
        <item x="2"/>
        <item x="27"/>
        <item x="11"/>
        <item x="40"/>
        <item x="8"/>
        <item x="43"/>
        <item x="10"/>
        <item x="12"/>
        <item x="6"/>
        <item x="4"/>
        <item x="35"/>
        <item x="23"/>
        <item x="41"/>
        <item x="0"/>
        <item x="19"/>
        <item x="20"/>
        <item x="36"/>
        <item x="14"/>
        <item x="26"/>
        <item x="29"/>
        <item x="13"/>
        <item x="28"/>
        <item x="39"/>
        <item x="5"/>
        <item x="38"/>
        <item x="42"/>
        <item x="1"/>
        <item x="18"/>
        <item x="7"/>
        <item x="17"/>
        <item x="24"/>
        <item x="25"/>
        <item x="32"/>
        <item x="45"/>
        <item x="46"/>
        <item x="44"/>
        <item x="47"/>
        <item x="15"/>
        <item t="default"/>
      </items>
    </pivotField>
    <pivotField dataField="1" numFmtId="167" showAll="0"/>
    <pivotField axis="axisPage" showAll="0">
      <items count="6">
        <item x="3"/>
        <item x="0"/>
        <item x="1"/>
        <item x="2"/>
        <item x="4"/>
        <item t="default"/>
      </items>
    </pivotField>
    <pivotField showAll="0"/>
    <pivotField showAll="0"/>
    <pivotField showAll="0"/>
    <pivotField axis="axisCol" showAll="0">
      <items count="15">
        <item x="0"/>
        <item x="1"/>
        <item x="2"/>
        <item x="3"/>
        <item x="4"/>
        <item x="5"/>
        <item x="6"/>
        <item x="7"/>
        <item x="8"/>
        <item x="9"/>
        <item x="10"/>
        <item x="11"/>
        <item x="12"/>
        <item x="13"/>
        <item t="default"/>
      </items>
    </pivotField>
    <pivotField showAll="0"/>
    <pivotField showAll="0">
      <items count="4">
        <item x="0"/>
        <item x="1"/>
        <item x="2"/>
        <item t="default"/>
      </items>
    </pivotField>
  </pivotFields>
  <rowFields count="1">
    <field x="3"/>
  </rowFields>
  <rowItems count="4">
    <i>
      <x v="12"/>
    </i>
    <i>
      <x v="21"/>
    </i>
    <i>
      <x v="38"/>
    </i>
    <i t="grand">
      <x/>
    </i>
  </rowItems>
  <colFields count="1">
    <field x="9"/>
  </colFields>
  <colItems count="1">
    <i>
      <x v="4"/>
    </i>
  </colItems>
  <pageFields count="1">
    <pageField fld="5" item="3" hier="-1"/>
  </pageFields>
  <dataFields count="1">
    <dataField name="Suma de Monto" fld="4" baseField="0" baseItem="0" numFmtId="167"/>
  </dataFields>
  <conditionalFormats count="1">
    <conditionalFormat priority="1">
      <pivotAreas count="1">
        <pivotArea type="data" collapsedLevelsAreSubtotals="1" fieldPosition="0">
          <references count="2">
            <reference field="4294967294" count="1" selected="0">
              <x v="0"/>
            </reference>
            <reference field="3" count="3">
              <x v="12"/>
              <x v="21"/>
              <x v="3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17AEB5-F22A-4393-B0EE-3104EA7771EC}" name="TablaDinámica6" cacheId="1" applyNumberFormats="0" applyBorderFormats="0" applyFontFormats="0" applyPatternFormats="0" applyAlignmentFormats="0" applyWidthHeightFormats="1" dataCaption="Valores" updatedVersion="8" minRefreshableVersion="3" useAutoFormatting="1" itemPrintTitles="1" createdVersion="8" indent="0" multipleFieldFilters="0">
  <location ref="K6:L14" firstHeaderRow="1" firstDataRow="1" firstDataCol="1" rowPageCount="1" colPageCount="1"/>
  <pivotFields count="36">
    <pivotField showAll="0">
      <items count="82">
        <item x="7"/>
        <item x="17"/>
        <item x="8"/>
        <item x="10"/>
        <item x="3"/>
        <item x="9"/>
        <item x="13"/>
        <item x="21"/>
        <item x="16"/>
        <item x="5"/>
        <item x="20"/>
        <item x="1"/>
        <item x="18"/>
        <item x="0"/>
        <item x="19"/>
        <item x="11"/>
        <item x="6"/>
        <item x="4"/>
        <item x="14"/>
        <item x="15"/>
        <item x="12"/>
        <item x="2"/>
        <item x="30"/>
        <item x="33"/>
        <item x="22"/>
        <item x="23"/>
        <item x="35"/>
        <item x="29"/>
        <item x="42"/>
        <item x="36"/>
        <item x="25"/>
        <item x="27"/>
        <item x="37"/>
        <item x="28"/>
        <item x="32"/>
        <item x="31"/>
        <item x="26"/>
        <item x="41"/>
        <item x="38"/>
        <item x="34"/>
        <item x="24"/>
        <item x="39"/>
        <item x="40"/>
        <item x="46"/>
        <item x="44"/>
        <item x="56"/>
        <item x="50"/>
        <item x="51"/>
        <item x="60"/>
        <item x="63"/>
        <item x="55"/>
        <item x="49"/>
        <item x="61"/>
        <item x="54"/>
        <item x="45"/>
        <item x="59"/>
        <item x="47"/>
        <item x="57"/>
        <item x="52"/>
        <item x="43"/>
        <item x="53"/>
        <item x="48"/>
        <item x="58"/>
        <item x="62"/>
        <item x="77"/>
        <item x="70"/>
        <item x="76"/>
        <item x="72"/>
        <item x="67"/>
        <item x="71"/>
        <item x="64"/>
        <item x="73"/>
        <item x="74"/>
        <item x="68"/>
        <item x="78"/>
        <item x="69"/>
        <item x="66"/>
        <item x="79"/>
        <item x="80"/>
        <item x="75"/>
        <item x="65"/>
        <item t="default"/>
      </items>
    </pivotField>
    <pivotField axis="axisPage" showAll="0">
      <items count="3">
        <item x="0"/>
        <item m="1" x="1"/>
        <item t="default"/>
      </items>
    </pivotField>
    <pivotField showAll="0"/>
    <pivotField axis="axisRow" showAll="0">
      <items count="8">
        <item x="4"/>
        <item x="0"/>
        <item x="3"/>
        <item x="6"/>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pageFields count="1">
    <pageField fld="1" item="0" hier="-1"/>
  </pageFields>
  <dataFields count="1">
    <dataField name="Suma de Total Facturado" fld="2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F2A429-1D25-4476-9926-9DFB8B98FF2C}" name="TablaDinámica5" cacheId="1" applyNumberFormats="0" applyBorderFormats="0" applyFontFormats="0" applyPatternFormats="0" applyAlignmentFormats="0" applyWidthHeightFormats="1" dataCaption="Valores" updatedVersion="8" minRefreshableVersion="3" useAutoFormatting="1" itemPrintTitles="1" createdVersion="8" indent="0" multipleFieldFilters="0">
  <location ref="H6:I41" firstHeaderRow="1" firstDataRow="1" firstDataCol="1" rowPageCount="1" colPageCount="1"/>
  <pivotFields count="36">
    <pivotField showAll="0">
      <items count="82">
        <item x="7"/>
        <item x="17"/>
        <item x="8"/>
        <item x="10"/>
        <item x="3"/>
        <item x="9"/>
        <item x="13"/>
        <item x="21"/>
        <item x="16"/>
        <item x="5"/>
        <item x="20"/>
        <item x="1"/>
        <item x="18"/>
        <item x="0"/>
        <item x="19"/>
        <item x="11"/>
        <item x="6"/>
        <item x="4"/>
        <item x="14"/>
        <item x="15"/>
        <item x="12"/>
        <item x="2"/>
        <item x="30"/>
        <item x="33"/>
        <item x="22"/>
        <item x="23"/>
        <item x="35"/>
        <item x="29"/>
        <item x="42"/>
        <item x="36"/>
        <item x="25"/>
        <item x="27"/>
        <item x="37"/>
        <item x="28"/>
        <item x="32"/>
        <item x="31"/>
        <item x="26"/>
        <item x="41"/>
        <item x="38"/>
        <item x="34"/>
        <item x="24"/>
        <item x="39"/>
        <item x="40"/>
        <item x="46"/>
        <item x="44"/>
        <item x="56"/>
        <item x="50"/>
        <item x="51"/>
        <item x="60"/>
        <item x="63"/>
        <item x="55"/>
        <item x="49"/>
        <item x="61"/>
        <item x="54"/>
        <item x="45"/>
        <item x="59"/>
        <item x="47"/>
        <item x="57"/>
        <item x="52"/>
        <item x="43"/>
        <item x="53"/>
        <item x="48"/>
        <item x="58"/>
        <item x="62"/>
        <item x="77"/>
        <item x="70"/>
        <item x="76"/>
        <item x="72"/>
        <item x="67"/>
        <item x="71"/>
        <item x="64"/>
        <item x="73"/>
        <item x="74"/>
        <item x="68"/>
        <item x="78"/>
        <item x="69"/>
        <item x="66"/>
        <item x="79"/>
        <item x="80"/>
        <item x="75"/>
        <item x="65"/>
        <item t="default"/>
      </items>
    </pivotField>
    <pivotField axis="axisPage" showAll="0">
      <items count="3">
        <item x="0"/>
        <item m="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axis="axisRow" showAll="0">
      <items count="35">
        <item x="7"/>
        <item x="17"/>
        <item x="30"/>
        <item x="16"/>
        <item x="4"/>
        <item x="11"/>
        <item x="14"/>
        <item x="19"/>
        <item x="18"/>
        <item x="20"/>
        <item x="24"/>
        <item x="33"/>
        <item x="29"/>
        <item x="6"/>
        <item x="8"/>
        <item x="28"/>
        <item x="31"/>
        <item x="5"/>
        <item x="21"/>
        <item x="27"/>
        <item x="9"/>
        <item x="10"/>
        <item x="22"/>
        <item x="12"/>
        <item x="25"/>
        <item x="2"/>
        <item x="15"/>
        <item x="32"/>
        <item x="26"/>
        <item x="3"/>
        <item x="23"/>
        <item x="1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1"/>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pageFields count="1">
    <pageField fld="1" item="0" hier="-1"/>
  </pageFields>
  <dataFields count="1">
    <dataField name="Suma de Total Facturado" fld="2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26BDB0-804B-49AA-87EC-0BE5454EB8B8}" name="TablaDinámica1" cacheId="1" applyNumberFormats="0" applyBorderFormats="0" applyFontFormats="0" applyPatternFormats="0" applyAlignmentFormats="0" applyWidthHeightFormats="1" dataCaption="Valores" updatedVersion="8" minRefreshableVersion="3" useAutoFormatting="1" rowGrandTotals="0" colGrandTotals="0" itemPrintTitles="1" createdVersion="8" indent="0" multipleFieldFilters="0" chartFormat="9">
  <location ref="E23:F27" firstHeaderRow="1" firstDataRow="1" firstDataCol="1" rowPageCount="1" colPageCount="1"/>
  <pivotFields count="36">
    <pivotField axis="axisPage" numFmtId="14" showAll="0">
      <items count="82">
        <item x="7"/>
        <item x="17"/>
        <item x="8"/>
        <item x="10"/>
        <item x="3"/>
        <item x="9"/>
        <item x="13"/>
        <item x="21"/>
        <item x="16"/>
        <item x="5"/>
        <item x="20"/>
        <item x="1"/>
        <item x="18"/>
        <item x="0"/>
        <item x="19"/>
        <item x="11"/>
        <item x="6"/>
        <item x="4"/>
        <item x="14"/>
        <item x="15"/>
        <item x="12"/>
        <item x="2"/>
        <item x="30"/>
        <item x="33"/>
        <item x="22"/>
        <item x="23"/>
        <item x="35"/>
        <item x="29"/>
        <item x="42"/>
        <item x="36"/>
        <item x="25"/>
        <item x="27"/>
        <item x="37"/>
        <item x="28"/>
        <item x="32"/>
        <item x="31"/>
        <item x="26"/>
        <item x="41"/>
        <item x="38"/>
        <item x="34"/>
        <item x="24"/>
        <item x="39"/>
        <item x="40"/>
        <item x="46"/>
        <item x="44"/>
        <item x="56"/>
        <item x="50"/>
        <item x="51"/>
        <item x="60"/>
        <item x="63"/>
        <item x="55"/>
        <item x="49"/>
        <item x="61"/>
        <item x="54"/>
        <item x="45"/>
        <item x="59"/>
        <item x="47"/>
        <item x="57"/>
        <item x="52"/>
        <item x="43"/>
        <item x="53"/>
        <item x="48"/>
        <item x="58"/>
        <item x="62"/>
        <item x="77"/>
        <item x="70"/>
        <item x="76"/>
        <item x="72"/>
        <item x="67"/>
        <item x="71"/>
        <item x="64"/>
        <item x="73"/>
        <item x="74"/>
        <item x="68"/>
        <item x="78"/>
        <item x="69"/>
        <item x="66"/>
        <item x="79"/>
        <item x="80"/>
        <item x="75"/>
        <item x="6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5"/>
  </rowFields>
  <rowItems count="4">
    <i>
      <x v="1"/>
    </i>
    <i>
      <x v="2"/>
    </i>
    <i>
      <x v="3"/>
    </i>
    <i>
      <x v="4"/>
    </i>
  </rowItems>
  <colItems count="1">
    <i/>
  </colItems>
  <pageFields count="1">
    <pageField fld="0" hier="-1"/>
  </pageFields>
  <dataFields count="1">
    <dataField name="Suma de Total Facturado" fld="29" baseField="0" baseItem="0" numFmtId="8"/>
  </dataFields>
  <formats count="1">
    <format dxfId="2">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7D78F6-6508-45D3-BB2D-3971A116AD1E}" name="TablaDinámica3" cacheId="1" applyNumberFormats="0" applyBorderFormats="0" applyFontFormats="0" applyPatternFormats="0" applyAlignmentFormats="0" applyWidthHeightFormats="1" dataCaption="Valores" updatedVersion="8" minRefreshableVersion="3" useAutoFormatting="1" itemPrintTitles="1" createdVersion="8" indent="0" multipleFieldFilters="0">
  <location ref="B4:C17" firstHeaderRow="1" firstDataRow="1" firstDataCol="1" rowPageCount="1" colPageCount="1"/>
  <pivotFields count="36">
    <pivotField showAll="0">
      <items count="82">
        <item x="7"/>
        <item x="17"/>
        <item x="8"/>
        <item x="10"/>
        <item x="3"/>
        <item x="9"/>
        <item x="13"/>
        <item x="21"/>
        <item x="16"/>
        <item x="5"/>
        <item x="20"/>
        <item x="1"/>
        <item x="18"/>
        <item x="0"/>
        <item x="19"/>
        <item x="11"/>
        <item x="6"/>
        <item x="4"/>
        <item x="14"/>
        <item x="15"/>
        <item x="12"/>
        <item x="2"/>
        <item x="30"/>
        <item x="33"/>
        <item x="22"/>
        <item x="23"/>
        <item x="35"/>
        <item x="29"/>
        <item x="42"/>
        <item x="36"/>
        <item x="25"/>
        <item x="27"/>
        <item x="37"/>
        <item x="28"/>
        <item x="32"/>
        <item x="31"/>
        <item x="26"/>
        <item x="41"/>
        <item x="38"/>
        <item x="34"/>
        <item x="24"/>
        <item x="39"/>
        <item x="40"/>
        <item x="46"/>
        <item x="44"/>
        <item x="56"/>
        <item x="50"/>
        <item x="51"/>
        <item x="60"/>
        <item x="63"/>
        <item x="55"/>
        <item x="49"/>
        <item x="61"/>
        <item x="54"/>
        <item x="45"/>
        <item x="59"/>
        <item x="47"/>
        <item x="57"/>
        <item x="52"/>
        <item x="43"/>
        <item x="53"/>
        <item x="48"/>
        <item x="58"/>
        <item x="62"/>
        <item x="77"/>
        <item x="70"/>
        <item x="76"/>
        <item x="72"/>
        <item x="67"/>
        <item x="71"/>
        <item x="64"/>
        <item x="73"/>
        <item x="74"/>
        <item x="68"/>
        <item x="78"/>
        <item x="69"/>
        <item x="66"/>
        <item x="79"/>
        <item x="80"/>
        <item x="75"/>
        <item x="65"/>
        <item t="default"/>
      </items>
    </pivotField>
    <pivotField axis="axisPage" showAll="0">
      <items count="3">
        <item x="0"/>
        <item m="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showAll="0"/>
    <pivotField axis="axisRow" showAll="0">
      <items count="14">
        <item x="8"/>
        <item x="2"/>
        <item x="0"/>
        <item x="11"/>
        <item x="1"/>
        <item x="6"/>
        <item x="7"/>
        <item x="9"/>
        <item x="3"/>
        <item x="10"/>
        <item x="5"/>
        <item x="4"/>
        <item m="1" x="1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3"/>
  </rowFields>
  <rowItems count="13">
    <i>
      <x/>
    </i>
    <i>
      <x v="1"/>
    </i>
    <i>
      <x v="2"/>
    </i>
    <i>
      <x v="3"/>
    </i>
    <i>
      <x v="4"/>
    </i>
    <i>
      <x v="5"/>
    </i>
    <i>
      <x v="6"/>
    </i>
    <i>
      <x v="7"/>
    </i>
    <i>
      <x v="8"/>
    </i>
    <i>
      <x v="9"/>
    </i>
    <i>
      <x v="10"/>
    </i>
    <i>
      <x v="11"/>
    </i>
    <i t="grand">
      <x/>
    </i>
  </rowItems>
  <colItems count="1">
    <i/>
  </colItems>
  <pageFields count="1">
    <pageField fld="1" item="0" hier="-1"/>
  </pageFields>
  <dataFields count="1">
    <dataField name="Suma de Total Facturado" fld="2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841CEC-6620-46D0-9E55-F6B9574704A9}" name="TablaDinámica4" cacheId="0" applyNumberFormats="0" applyBorderFormats="0" applyFontFormats="0" applyPatternFormats="0" applyAlignmentFormats="0" applyWidthHeightFormats="1" dataCaption="Valores" updatedVersion="8" minRefreshableVersion="3" useAutoFormatting="1" rowGrandTotals="0" colGrandTotals="0" itemPrintTitles="1" createdVersion="8" indent="0" multipleFieldFilters="0" chartFormat="8">
  <location ref="E6:F10" firstHeaderRow="1" firstDataRow="1" firstDataCol="1" rowPageCount="1" colPageCount="1"/>
  <pivotFields count="8">
    <pivotField axis="axisPage" multipleItemSelectionAllowed="1" showAll="0">
      <items count="6">
        <item h="1" x="0"/>
        <item h="1" x="1"/>
        <item h="1" x="2"/>
        <item x="3"/>
        <item h="1" x="4"/>
        <item t="default"/>
      </items>
    </pivotField>
    <pivotField axis="axisRow" showAll="0">
      <items count="13">
        <item x="6"/>
        <item x="7"/>
        <item x="8"/>
        <item x="9"/>
        <item h="1" x="10"/>
        <item h="1" x="11"/>
        <item h="1" x="0"/>
        <item h="1" x="1"/>
        <item h="1" x="2"/>
        <item h="1" x="3"/>
        <item h="1" x="4"/>
        <item h="1" x="5"/>
        <item t="default"/>
      </items>
    </pivotField>
    <pivotField numFmtId="164" showAll="0"/>
    <pivotField numFmtId="164" showAll="0"/>
    <pivotField showAll="0"/>
    <pivotField showAll="0"/>
    <pivotField showAll="0"/>
    <pivotField dataField="1" numFmtId="164" showAll="0"/>
  </pivotFields>
  <rowFields count="1">
    <field x="1"/>
  </rowFields>
  <rowItems count="4">
    <i>
      <x/>
    </i>
    <i>
      <x v="1"/>
    </i>
    <i>
      <x v="2"/>
    </i>
    <i>
      <x v="3"/>
    </i>
  </rowItems>
  <colItems count="1">
    <i/>
  </colItems>
  <pageFields count="1">
    <pageField fld="0" hier="-1"/>
  </pageFields>
  <dataFields count="1">
    <dataField name="Suma de TOTAL DEL MES" fld="7" baseField="0" baseItem="0" numFmtId="164"/>
  </dataFields>
  <formats count="16">
    <format dxfId="18">
      <pivotArea dataOnly="0" labelOnly="1" fieldPosition="0">
        <references count="1">
          <reference field="1" count="1">
            <x v="11"/>
          </reference>
        </references>
      </pivotArea>
    </format>
    <format dxfId="17">
      <pivotArea dataOnly="0" labelOnly="1" fieldPosition="0">
        <references count="1">
          <reference field="1" count="1">
            <x v="10"/>
          </reference>
        </references>
      </pivotArea>
    </format>
    <format dxfId="16">
      <pivotArea dataOnly="0" labelOnly="1" fieldPosition="0">
        <references count="1">
          <reference field="1" count="1">
            <x v="9"/>
          </reference>
        </references>
      </pivotArea>
    </format>
    <format dxfId="15">
      <pivotArea dataOnly="0" labelOnly="1" fieldPosition="0">
        <references count="1">
          <reference field="1" count="1">
            <x v="8"/>
          </reference>
        </references>
      </pivotArea>
    </format>
    <format dxfId="14">
      <pivotArea dataOnly="0" labelOnly="1" fieldPosition="0">
        <references count="1">
          <reference field="1" count="1">
            <x v="7"/>
          </reference>
        </references>
      </pivotArea>
    </format>
    <format dxfId="13">
      <pivotArea dataOnly="0" labelOnly="1" fieldPosition="0">
        <references count="1">
          <reference field="1" count="1">
            <x v="6"/>
          </reference>
        </references>
      </pivotArea>
    </format>
    <format dxfId="12">
      <pivotArea dataOnly="0" labelOnly="1" fieldPosition="0">
        <references count="1">
          <reference field="1" count="1">
            <x v="5"/>
          </reference>
        </references>
      </pivotArea>
    </format>
    <format dxfId="11">
      <pivotArea dataOnly="0" labelOnly="1" fieldPosition="0">
        <references count="1">
          <reference field="1" count="1">
            <x v="4"/>
          </reference>
        </references>
      </pivotArea>
    </format>
    <format dxfId="10">
      <pivotArea dataOnly="0" labelOnly="1" fieldPosition="0">
        <references count="1">
          <reference field="1" count="1">
            <x v="3"/>
          </reference>
        </references>
      </pivotArea>
    </format>
    <format dxfId="9">
      <pivotArea field="0" type="button" dataOnly="0" labelOnly="1" outline="0" axis="axisPage" fieldPosition="0"/>
    </format>
    <format dxfId="8">
      <pivotArea dataOnly="0" labelOnly="1" fieldPosition="0">
        <references count="1">
          <reference field="1" count="1">
            <x v="0"/>
          </reference>
        </references>
      </pivotArea>
    </format>
    <format dxfId="7">
      <pivotArea field="1" type="button" dataOnly="0" labelOnly="1" outline="0" axis="axisRow" fieldPosition="0"/>
    </format>
    <format dxfId="6">
      <pivotArea dataOnly="0" labelOnly="1" grandRow="1" outline="0" fieldPosition="0"/>
    </format>
    <format dxfId="5">
      <pivotArea dataOnly="0" labelOnly="1" fieldPosition="0">
        <references count="1">
          <reference field="1" count="11">
            <x v="1"/>
            <x v="2"/>
            <x v="3"/>
            <x v="4"/>
            <x v="5"/>
            <x v="6"/>
            <x v="7"/>
            <x v="8"/>
            <x v="9"/>
            <x v="10"/>
            <x v="11"/>
          </reference>
        </references>
      </pivotArea>
    </format>
    <format dxfId="4">
      <pivotArea dataOnly="0" labelOnly="1" fieldPosition="0">
        <references count="1">
          <reference field="1" count="1">
            <x v="1"/>
          </reference>
        </references>
      </pivotArea>
    </format>
    <format dxfId="3">
      <pivotArea dataOnly="0" labelOnly="1" fieldPosition="0">
        <references count="1">
          <reference field="1" count="1">
            <x v="2"/>
          </reference>
        </references>
      </pivotArea>
    </format>
  </formats>
  <conditionalFormats count="1">
    <conditionalFormat priority="5">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2AB756A-2B1D-44C7-963A-CF3EF8E85E66}" name="TablaDinámica2" cacheId="1" applyNumberFormats="0" applyBorderFormats="0" applyFontFormats="0" applyPatternFormats="0" applyAlignmentFormats="0" applyWidthHeightFormats="1" dataCaption="Valores" updatedVersion="8" minRefreshableVersion="3" useAutoFormatting="1" itemPrintTitles="1" createdVersion="8" indent="0" multipleFieldFilters="0">
  <location ref="B22:C63" firstHeaderRow="1" firstDataRow="1" firstDataCol="1" rowPageCount="2" colPageCount="1"/>
  <pivotFields count="36">
    <pivotField numFmtId="14" showAll="0">
      <items count="82">
        <item x="7"/>
        <item x="17"/>
        <item x="8"/>
        <item x="10"/>
        <item x="3"/>
        <item x="9"/>
        <item x="13"/>
        <item x="21"/>
        <item x="16"/>
        <item x="5"/>
        <item x="20"/>
        <item x="1"/>
        <item x="18"/>
        <item x="0"/>
        <item x="19"/>
        <item x="11"/>
        <item x="6"/>
        <item x="4"/>
        <item x="14"/>
        <item x="15"/>
        <item x="12"/>
        <item x="2"/>
        <item x="30"/>
        <item x="33"/>
        <item x="22"/>
        <item x="23"/>
        <item x="35"/>
        <item x="29"/>
        <item x="42"/>
        <item x="36"/>
        <item x="25"/>
        <item x="27"/>
        <item x="37"/>
        <item x="28"/>
        <item x="32"/>
        <item x="31"/>
        <item x="26"/>
        <item x="41"/>
        <item x="38"/>
        <item x="34"/>
        <item x="24"/>
        <item x="39"/>
        <item x="40"/>
        <item x="46"/>
        <item x="44"/>
        <item x="56"/>
        <item x="50"/>
        <item x="51"/>
        <item x="60"/>
        <item x="63"/>
        <item x="55"/>
        <item x="49"/>
        <item x="61"/>
        <item x="54"/>
        <item x="45"/>
        <item x="59"/>
        <item x="47"/>
        <item x="57"/>
        <item x="52"/>
        <item x="43"/>
        <item x="53"/>
        <item x="48"/>
        <item x="58"/>
        <item x="62"/>
        <item x="77"/>
        <item x="70"/>
        <item x="76"/>
        <item x="72"/>
        <item x="67"/>
        <item x="71"/>
        <item x="64"/>
        <item x="73"/>
        <item x="74"/>
        <item x="68"/>
        <item x="78"/>
        <item x="69"/>
        <item x="66"/>
        <item x="79"/>
        <item x="80"/>
        <item x="75"/>
        <item x="65"/>
        <item t="default"/>
      </items>
    </pivotField>
    <pivotField axis="axisPage" showAll="0">
      <items count="3">
        <item x="0"/>
        <item m="1" x="1"/>
        <item t="default"/>
      </items>
    </pivotField>
    <pivotField axis="axisPage" showAll="0">
      <items count="6">
        <item x="0"/>
        <item x="1"/>
        <item x="2"/>
        <item m="1"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showAll="0"/>
    <pivotField axis="axisRow" showAll="0">
      <items count="41">
        <item x="6"/>
        <item x="25"/>
        <item x="17"/>
        <item x="3"/>
        <item x="23"/>
        <item x="15"/>
        <item x="11"/>
        <item x="10"/>
        <item x="13"/>
        <item x="30"/>
        <item x="1"/>
        <item x="24"/>
        <item x="0"/>
        <item x="20"/>
        <item x="26"/>
        <item x="5"/>
        <item x="14"/>
        <item x="19"/>
        <item x="18"/>
        <item x="9"/>
        <item x="12"/>
        <item x="29"/>
        <item x="27"/>
        <item x="22"/>
        <item x="21"/>
        <item x="7"/>
        <item x="28"/>
        <item x="8"/>
        <item x="16"/>
        <item x="2"/>
        <item x="4"/>
        <item x="31"/>
        <item x="32"/>
        <item x="33"/>
        <item x="34"/>
        <item x="35"/>
        <item x="36"/>
        <item x="37"/>
        <item x="38"/>
        <item x="39"/>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2"/>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pageFields count="2">
    <pageField fld="1" hier="-1"/>
    <pageField fld="2" hier="-1"/>
  </pageFields>
  <dataFields count="1">
    <dataField name="Suma de Total Facturado" fld="2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28151D-B089-49D1-9D26-247C831113DA}" name="Honorarios" displayName="Honorarios" ref="A1:J257" totalsRowShown="0" headerRowDxfId="208">
  <autoFilter ref="A1:J257" xr:uid="{DA28151D-B089-49D1-9D26-247C831113DA}"/>
  <tableColumns count="10">
    <tableColumn id="1" xr3:uid="{8E66FBD8-B074-402A-B277-4FF9C9A81415}" name="FECHA" dataDxfId="207"/>
    <tableColumn id="2" xr3:uid="{B09B0FC1-9D05-4C94-9768-4BB17EF4FDBC}" name="ARS" dataDxfId="206"/>
    <tableColumn id="3" xr3:uid="{8D68D014-769C-48FE-86BE-D3F316CF2895}" name="RNC" dataDxfId="205"/>
    <tableColumn id="4" xr3:uid="{AF8673E1-3A7A-4893-BE26-866C5C644E67}" name="MONTO FACTURADO" dataDxfId="204" dataCellStyle="Moneda"/>
    <tableColumn id="5" xr3:uid="{74E57474-3C03-4185-A4AB-164708210477}" name="MONTO RETENIDO(RENTA)" dataDxfId="203" dataCellStyle="Moneda">
      <calculatedColumnFormula>+D2*10%</calculatedColumnFormula>
    </tableColumn>
    <tableColumn id="6" xr3:uid="{8B3D635B-E75D-4057-BE8D-A625C9644506}" name="TOTAL A PAGAR " dataDxfId="202" dataCellStyle="Moneda">
      <calculatedColumnFormula>+D2-E2</calculatedColumnFormula>
    </tableColumn>
    <tableColumn id="7" xr3:uid="{8AB8F774-0087-4CA9-B518-E079C91A740E}" name="FECHA DE ENTREGA" dataDxfId="201"/>
    <tableColumn id="8" xr3:uid="{CAA5D966-FA53-40B2-8523-0EDC36750310}" name="FECHA DE PAGO" dataDxfId="200"/>
    <tableColumn id="9" xr3:uid="{06E33096-CA24-4118-BA8C-44CCD9FAB1C7}" name="Estatus" dataDxfId="199"/>
    <tableColumn id="12" xr3:uid="{70852C81-DE95-4B4C-A408-E7B4F6D1E0B4}" name="OBSERVACIONES" dataDxfId="19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89CDAD7-E001-461D-B835-5F0D431C9BA5}" name="Sueldos" displayName="Sueldos" ref="A2:H71" totalsRowCount="1" headerRowDxfId="228" tableBorderDxfId="227">
  <autoFilter ref="A2:H70" xr:uid="{389CDAD7-E001-461D-B835-5F0D431C9BA5}"/>
  <tableColumns count="8">
    <tableColumn id="1" xr3:uid="{7EA05CB9-6F6E-4112-A555-BF454C115C7B}" name="Año" dataDxfId="226" totalsRowDxfId="225"/>
    <tableColumn id="2" xr3:uid="{801BE05B-402B-4B60-BF3C-5DFA1DC2EF7F}" name="Mes" dataDxfId="224" totalsRowDxfId="223"/>
    <tableColumn id="3" xr3:uid="{8AC41518-A884-44AF-AF2A-51D4FC4531D4}" name="ERD" dataDxfId="222" totalsRowDxfId="221" dataCellStyle="Moneda">
      <calculatedColumnFormula>57960.94+23200.87</calculatedColumnFormula>
    </tableColumn>
    <tableColumn id="4" xr3:uid="{1AF7818E-CF0B-4069-A1B4-B502970DCAB4}" name="MARVESA" dataDxfId="220" totalsRowDxfId="219" dataCellStyle="Moneda"/>
    <tableColumn id="5" xr3:uid="{FEBA9999-D8A7-49B2-AE8B-EEBCC14BED23}" name="HMNSA" dataDxfId="218" totalsRowDxfId="217" dataCellStyle="Millares"/>
    <tableColumn id="6" xr3:uid="{2E6A612A-6B6D-49C6-9D32-708E5CD71294}" name="HONORARIOS" dataDxfId="216" totalsRowDxfId="215"/>
    <tableColumn id="7" xr3:uid="{F41DE217-26E2-4B5E-81BB-E7327D45BD30}" name="CONSULTAS" dataDxfId="214" totalsRowDxfId="213" dataCellStyle="Moneda"/>
    <tableColumn id="8" xr3:uid="{15F08B38-6343-404E-82EC-494A202F025C}" name="TOTAL DEL MES" totalsRowFunction="custom" dataDxfId="212" totalsRowDxfId="211">
      <calculatedColumnFormula>+C3+D3+E3+F3+G3</calculatedColumnFormula>
      <totalsRowFormula>SUM(H45:H57)</totalsRow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D9C0E4-552F-4FB7-A30B-A958D64A8252}" name="Tabla3" displayName="Tabla3" ref="E2:F335" totalsRowShown="0" headerRowDxfId="197" headerRowBorderDxfId="196" tableBorderDxfId="195" headerRowCellStyle="Normal_PLANILLA P-FORM.606">
  <autoFilter ref="E2:F335" xr:uid="{2DD9C0E4-552F-4FB7-A30B-A958D64A8252}"/>
  <tableColumns count="2">
    <tableColumn id="1" xr3:uid="{CA1BB5FF-AD29-463C-B519-0F82AA794DB7}" name="RNC" dataDxfId="194" dataCellStyle="Normal_0107A-Formato 606-lapmer"/>
    <tableColumn id="3" xr3:uid="{81054EA6-C3C9-4954-8824-7EABA66EF29B}" name="Proveedor" dataDxfId="193" dataCellStyle="Normal_PLANILLA P-FORM.60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6298B4-B3BF-4920-A14C-5E3DEF9E30EF}" name="Tabla4" displayName="Tabla4" ref="B2:C14" totalsRowShown="0" headerRowBorderDxfId="192" tableBorderDxfId="191" totalsRowBorderDxfId="190">
  <autoFilter ref="B2:C14" xr:uid="{4D6298B4-B3BF-4920-A14C-5E3DEF9E30EF}"/>
  <tableColumns count="2">
    <tableColumn id="1" xr3:uid="{C9DAA906-325F-4AB4-842F-C3DAF14E4810}" name="Columna1" dataDxfId="189" dataCellStyle="Normal_PLANILLA P-FORM.606"/>
    <tableColumn id="2" xr3:uid="{8D04CD02-420A-42EE-A61F-63DC987311E3}" name="Columna2" dataDxfId="188" dataCellStyle="Normal_PLANILLA P-FORM.60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504221-719A-491C-ACC7-AD1F04E85597}" name="gastos" displayName="gastos" ref="A1:T488" totalsRowShown="0" headerRowDxfId="187" dataDxfId="185" headerRowBorderDxfId="186" tableBorderDxfId="184" dataCellStyle="Millares">
  <autoFilter ref="A1:T488" xr:uid="{61504221-719A-491C-ACC7-AD1F04E85597}">
    <filterColumn colId="6">
      <filters>
        <filter val="abril"/>
      </filters>
    </filterColumn>
  </autoFilter>
  <tableColumns count="20">
    <tableColumn id="1" xr3:uid="{2329FDCB-7941-48EE-B53B-FB022EEA60D4}" name="RNC o Cédula" dataDxfId="183" dataCellStyle="Normal_0107A-Formato 606-lapmer"/>
    <tableColumn id="2" xr3:uid="{31C9A4E4-FC37-4B30-89CD-A4D5E0437E79}" name="Tipo Id" dataDxfId="182"/>
    <tableColumn id="3" xr3:uid="{D8B77C4C-8757-4E59-9065-1ABEEB459012}" name="Tipo Bienes y Servicios Comprados" dataDxfId="181"/>
    <tableColumn id="4" xr3:uid="{36C4F8FE-EA52-44AB-8491-1EC8797B0636}" name="Descripción" dataDxfId="180" dataCellStyle="Porcentaje">
      <calculatedColumnFormula>IF(C2=1,Leyenda!$C$3,IF(C2=2,Leyenda!$C$4,IF(C2=3,Leyenda!$C$5,IF(C2=4,Leyenda!$C$6,IF(C2=5,Leyenda!$C$7,IF(C2=6,Leyenda!$C$8,IF(C2=7,Leyenda!$C$9,IF(C2=8,Leyenda!$C$10," "))))))))&amp;IF(C2=9,Leyenda!$C$11,IF(C2=10,Leyenda!$C$12,IF(C2=11,Leyenda!$C$13,IF(C2=12,Leyenda!C14," "))))</calculatedColumnFormula>
    </tableColumn>
    <tableColumn id="5" xr3:uid="{B6BF1D7F-3183-4431-985E-6B669CB660AC}" name="NCF" dataDxfId="179"/>
    <tableColumn id="7" xr3:uid="{8839F5BF-F31B-49BB-8DEE-64B2EC60C166}" name="Fecha Comprobante" dataDxfId="178"/>
    <tableColumn id="8" xr3:uid="{2277D46D-111C-47A1-BA77-A1F4307A6CD5}" name="Mes" dataDxfId="177">
      <calculatedColumnFormula>TEXT(F2,"MMMM")</calculatedColumnFormula>
    </tableColumn>
    <tableColumn id="9" xr3:uid="{83C7A06B-320D-4669-953A-82C8DB5D8AB8}" name="Dia" dataDxfId="176"/>
    <tableColumn id="10" xr3:uid="{7EFA9954-0761-49E2-9F33-3659000F2124}" name="Dia Semana" dataDxfId="175">
      <calculatedColumnFormula>TEXT(gastos[[#This Row],[Fecha]],"DDDD")</calculatedColumnFormula>
    </tableColumn>
    <tableColumn id="11" xr3:uid="{4451BA45-E5BC-4587-BB36-D154E83CB0E6}" name="Fecha" dataDxfId="174">
      <calculatedColumnFormula>DATE(YEAR(F2),MONTH(F2),H2)</calculatedColumnFormula>
    </tableColumn>
    <tableColumn id="12" xr3:uid="{018BE56A-A565-422B-B618-CAFD043EF9C5}" name="Miembro Familia" dataDxfId="173"/>
    <tableColumn id="6" xr3:uid="{3DD15D27-6F1D-4A11-9CF7-4631004F22DC}" name="Producto" dataDxfId="172"/>
    <tableColumn id="13" xr3:uid="{32244A2E-7B31-43A7-BAAD-66B132BBF702}" name="Monto Facturado en Servicios" dataDxfId="171" dataCellStyle="Millares 2"/>
    <tableColumn id="14" xr3:uid="{0D73605E-1DE9-4FD3-9B66-1BE41C599A9A}" name="Monto Facturado en Bienes" dataDxfId="170" dataCellStyle="Millares 2"/>
    <tableColumn id="15" xr3:uid="{BD830A13-6D63-4416-AAA9-FBD70F07EEAE}" name="Total Monto Facturado" dataDxfId="169" dataCellStyle="Millares 2">
      <calculatedColumnFormula>SUM(M2:N2)</calculatedColumnFormula>
    </tableColumn>
    <tableColumn id="16" xr3:uid="{C30CA4F2-BE74-4F11-8F42-9EBA5AB27ECD}" name="ITBIS Facturado" dataDxfId="168" dataCellStyle="Millares"/>
    <tableColumn id="17" xr3:uid="{F6392404-283F-462A-806B-F77945B6AF92}" name="ITBIS Retenido" dataDxfId="167" dataCellStyle="Millares"/>
    <tableColumn id="27" xr3:uid="{90CB959F-D9D3-42A9-9BB6-BE68E4731661}" name="Monto Propina Legal" dataDxfId="166" dataCellStyle="Millares"/>
    <tableColumn id="28" xr3:uid="{0B428A46-9261-4A66-9493-FC951F1BE6F1}" name="Forma de Pago"/>
    <tableColumn id="29" xr3:uid="{1350313F-5B48-4B9A-9F2D-90BBFA63DD91}" name="Suplidor" dataDxfId="165" dataCellStyle="Normal_PLANILLA P-FORM.606">
      <calculatedColumnFormula>IFERROR(VLOOKUP($A2,Tabla3[#All],2,0),"no esta registrado")</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6DC218-83C0-418C-9435-DA4C5C98F71C}" name="Detalles2025" displayName="Detalles2025" ref="A1:AH178" totalsRowCount="1" headerRowDxfId="164" dataDxfId="163" dataCellStyle="Millares">
  <autoFilter ref="A1:AH177" xr:uid="{146DC218-83C0-418C-9435-DA4C5C98F71C}"/>
  <tableColumns count="34">
    <tableColumn id="1" xr3:uid="{04E6CE09-954A-4897-AED0-C24DE1A2F5D6}" name="Fecha" totalsRowLabel="Total" dataDxfId="162">
      <calculatedColumnFormula>DATE(LEFT(K2,4),RIGHT(K2,2),L2)</calculatedColumnFormula>
    </tableColumn>
    <tableColumn id="31" xr3:uid="{8CE7557D-0D09-4AD1-9ED5-C2607D145B0B}" name="Año" dataDxfId="161">
      <calculatedColumnFormula>TEXT(Detalles2025[[#This Row],[Fecha]],"AAAA")</calculatedColumnFormula>
    </tableColumn>
    <tableColumn id="30" xr3:uid="{965A8362-87B0-4E1A-A4C2-6361386EA068}" name="Mes" dataDxfId="160">
      <calculatedColumnFormula>TEXT(Detalles2025[[#This Row],[Fecha]],"MMMM")</calculatedColumnFormula>
    </tableColumn>
    <tableColumn id="32" xr3:uid="{CA7EF670-4894-428A-A4FD-BCF5AACD7F46}" name="Dia de la semana" dataDxfId="159">
      <calculatedColumnFormula>TEXT(Detalles2025[[#This Row],[Fecha]],"DDDD")</calculatedColumnFormula>
    </tableColumn>
    <tableColumn id="2" xr3:uid="{28D47644-1376-4829-BAB7-7E33BE693428}" name="RNC o Cédula" dataDxfId="158" totalsRowDxfId="157" dataCellStyle="Normal_0107A-Formato 606-lapmer" totalsRowCellStyle="Normal_0107A-Formato 606-lapmer"/>
    <tableColumn id="3" xr3:uid="{7E408285-DE58-497F-B122-B8BDDA1C8998}" name="Tipo Id" dataDxfId="156" totalsRowDxfId="155"/>
    <tableColumn id="4" xr3:uid="{F07E7369-7552-4425-B388-0CFB731DEC42}" name="Tipo Bienes y Servicios Comprados" dataDxfId="154" totalsRowDxfId="153"/>
    <tableColumn id="5" xr3:uid="{F8DE10DA-0520-4395-98D5-F7994416FE54}" name="Descripción" dataDxfId="152" totalsRowDxfId="151" dataCellStyle="Porcentaje" totalsRowCellStyle="Porcentaje">
      <calculatedColumnFormula>IF(G2=1,Leyenda!$C$3,IF(G2=2,Leyenda!$C$4,IF(G2=3,Leyenda!$C$5,IF(G2=4,Leyenda!$C$6,IF(G2=5,Leyenda!$C$7,IF(G2=6,Leyenda!$C$8,IF(G2=7,Leyenda!$C$9,IF(G2=8,Leyenda!$C$10," "))))))))&amp;IF(G2=9,Leyenda!$C$11,IF(G2=10,Leyenda!$C$12,IF(G2=11,Leyenda!$C$13,IF(G2=12,Leyenda!$C$14," "))))</calculatedColumnFormula>
    </tableColumn>
    <tableColumn id="6" xr3:uid="{42314028-71B6-478E-8CDF-50A84E13A5B6}" name="NCF" dataDxfId="150" totalsRowDxfId="149"/>
    <tableColumn id="7" xr3:uid="{BB575FF6-F24B-4C36-AFAA-4CEB7BBFC5C3}" name="NCF ó Documento Modificado"/>
    <tableColumn id="8" xr3:uid="{08E50ED9-3F42-4945-B534-DAE6540526FE}" name="Fecha Comprobante" dataDxfId="148" totalsRowDxfId="147">
      <calculatedColumnFormula>IF($G2=0," ",$K$3)</calculatedColumnFormula>
    </tableColumn>
    <tableColumn id="9" xr3:uid="{38F7FF4C-8DB3-47CA-BBC2-5DB105B5012A}" name="Dia" dataDxfId="146" totalsRowDxfId="145"/>
    <tableColumn id="10" xr3:uid="{2FB61B5C-141A-48A5-9278-258200796DBC}" name="Fecha Pago   " dataDxfId="144" totalsRowDxfId="143"/>
    <tableColumn id="11" xr3:uid="{78A38CDE-96C3-42D7-BC2D-72BB7F01D495}" name="Columna2" dataDxfId="142" totalsRowDxfId="141"/>
    <tableColumn id="12" xr3:uid="{43372808-48D5-4AF0-AC79-94EC85C5464A}" name="Monto Facturado en Servicios" dataDxfId="140" totalsRowDxfId="139" dataCellStyle="Millares 2" totalsRowCellStyle="Millares 2"/>
    <tableColumn id="13" xr3:uid="{864B7668-71A0-4781-BED2-3997B5B5E5D4}" name="Monto Facturado en Bienes" dataDxfId="138" totalsRowDxfId="137" dataCellStyle="Millares" totalsRowCellStyle="Millares"/>
    <tableColumn id="14" xr3:uid="{E00D43F1-4FFA-4065-8A82-2C2DF561D04A}" name="Monto Facturado" dataDxfId="136" totalsRowDxfId="135" dataCellStyle="Millares 2" totalsRowCellStyle="Millares 2"/>
    <tableColumn id="15" xr3:uid="{3D5C7E08-9913-4C11-A93C-F89A25560D2B}" name="ITBIS Facturado" dataDxfId="134" totalsRowDxfId="133" dataCellStyle="Millares" totalsRowCellStyle="Millares"/>
    <tableColumn id="16" xr3:uid="{EFAC1A75-7E56-4CBF-A5E6-6A9CDA86EA21}" name="ITBIS Retenido" dataDxfId="132" totalsRowDxfId="131" dataCellStyle="Millares" totalsRowCellStyle="Millares"/>
    <tableColumn id="17" xr3:uid="{7F68E207-C7F3-487F-80ED-FA853E37BC1D}" name="ITBIS sujeto a Proporcionalidad (Art. 349)" dataDxfId="130" totalsRowDxfId="129" dataCellStyle="Millares" totalsRowCellStyle="Millares"/>
    <tableColumn id="18" xr3:uid="{B76ADAFD-EA73-4D46-86FE-52CFA3D2FB34}" name="ITBIS llevado al Costo" dataDxfId="128" totalsRowDxfId="127" dataCellStyle="Millares" totalsRowCellStyle="Millares"/>
    <tableColumn id="19" xr3:uid="{CFC78C01-188F-4F32-91EB-449F5AC75010}" name="ITBIS por Adelantar" dataDxfId="126" totalsRowDxfId="125" dataCellStyle="Millares" totalsRowCellStyle="Millares"/>
    <tableColumn id="20" xr3:uid="{34193190-8809-4EBC-A8B7-48B96F8CEC27}" name="ITBIS percibido en compras" dataDxfId="124" totalsRowDxfId="123" dataCellStyle="Millares" totalsRowCellStyle="Millares"/>
    <tableColumn id="21" xr3:uid="{653E5F10-67E9-4474-B4F4-D4B1150020D4}" name="Tipo de Retención en ISR" dataDxfId="122" totalsRowDxfId="121" dataCellStyle="Millares" totalsRowCellStyle="Millares"/>
    <tableColumn id="22" xr3:uid="{D0B50C37-1832-40FC-9664-D926AB043F73}" name="Monto Retención Renta" dataDxfId="120" totalsRowDxfId="119" dataCellStyle="Millares" totalsRowCellStyle="Millares"/>
    <tableColumn id="23" xr3:uid="{CEBA82EF-1A31-447F-B41B-599B30D5A4F2}" name="ISR Percibido en compras" dataDxfId="118" totalsRowDxfId="117" dataCellStyle="Millares" totalsRowCellStyle="Millares"/>
    <tableColumn id="24" xr3:uid="{79DFB544-42C7-4459-9F7C-80FC70A87F8F}" name="Impuesto Selectivo al Consumo" dataDxfId="116" totalsRowDxfId="115" dataCellStyle="Millares" totalsRowCellStyle="Millares"/>
    <tableColumn id="25" xr3:uid="{05F2C469-8398-42C1-9B1D-78B952B983AC}" name="Otros Impuesto/Tasas" dataDxfId="114" totalsRowDxfId="113" dataCellStyle="Millares" totalsRowCellStyle="Millares"/>
    <tableColumn id="26" xr3:uid="{ACE24ABE-94A0-4A7C-9FA1-B7D3741B93BF}" name="Monto Propina Legal" dataDxfId="112" totalsRowDxfId="111" dataCellStyle="Millares" totalsRowCellStyle="Millares"/>
    <tableColumn id="33" xr3:uid="{00CBE6B4-C04B-4259-B225-A8B3B4584D75}" name="Total Facturado" totalsRowFunction="sum" dataDxfId="110" totalsRowDxfId="109" dataCellStyle="Millares">
      <calculatedColumnFormula>SUM(Detalles2025[[#This Row],[Monto Facturado]:[Monto Propina Legal]])</calculatedColumnFormula>
    </tableColumn>
    <tableColumn id="27" xr3:uid="{07EBAC9E-1F42-48CB-842B-BF87B09605FC}" name="Forma de Pago" dataDxfId="108" totalsRowDxfId="107" dataCellStyle="Millares" totalsRowCellStyle="Millares"/>
    <tableColumn id="28" xr3:uid="{4C53DAB6-8789-4148-8FD5-0E93AC78C7AC}" name="Suplidor" dataDxfId="106" totalsRowDxfId="105" dataCellStyle="Normal_PLANILLA P-FORM.606" totalsRowCellStyle="Normal_PLANILLA P-FORM.606">
      <calculatedColumnFormula>IFERROR(VLOOKUP(E2,Tabla3[],2,0),"No Registrado")</calculatedColumnFormula>
    </tableColumn>
    <tableColumn id="29" xr3:uid="{2D2568B5-3D91-4D8B-8FE0-293849E8CB89}" name="Producto" dataDxfId="104" totalsRowDxfId="103" dataCellStyle="Normal_PLANILLA P-FORM.606" totalsRowCellStyle="Normal_PLANILLA P-FORM.606"/>
    <tableColumn id="34" xr3:uid="{20A4242A-F668-4C7A-925B-265F982DF007}" name="Objeto del gasto" totalsRowFunction="count" dataDxfId="102" totalsRowDxfId="101" dataCellStyle="Millares" totalsRowCellStyle="Millar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F88DA5A-F939-41B5-9523-579A792624ED}" name="Pres" displayName="Pres" ref="B1:G33" totalsRowShown="0" headerRowDxfId="98" headerRowBorderDxfId="97" tableBorderDxfId="96">
  <autoFilter ref="B1:G33" xr:uid="{7F88DA5A-F939-41B5-9523-579A792624ED}"/>
  <tableColumns count="6">
    <tableColumn id="1" xr3:uid="{F9CEB42A-2035-40BB-BA4F-89CF8F28AFA3}" name="Fecha" dataDxfId="95"/>
    <tableColumn id="2" xr3:uid="{6EE60ABF-1516-4446-A32A-D34BA5EB2F4F}" name="Categoría"/>
    <tableColumn id="3" xr3:uid="{483E3EFE-5731-4C3A-BB1B-03A256905AB6}" name="Subcategoría"/>
    <tableColumn id="4" xr3:uid="{69929E90-B25A-4339-A97C-FBF26238B556}" name="Descripción"/>
    <tableColumn id="5" xr3:uid="{B0FC3369-E34D-4197-9BD3-1122E2E7E34F}" name="Monto" dataDxfId="94"/>
    <tableColumn id="6" xr3:uid="{85CEC60D-6013-463C-AC08-F95269E88C34}" name="Tip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EE3825-3D48-4743-AF94-64BF4BF96D93}" name="ingreso_egreso" displayName="ingreso_egreso" ref="A1:H74" totalsRowShown="0" headerRowDxfId="90" dataDxfId="89">
  <tableColumns count="8">
    <tableColumn id="1" xr3:uid="{FC60E4DB-4FB7-4083-B925-9AB7321B38D0}" name="Fecha" dataDxfId="88"/>
    <tableColumn id="2" xr3:uid="{B3A04230-A681-4434-878E-198A23DFFE91}" name="Categoría" dataDxfId="87"/>
    <tableColumn id="3" xr3:uid="{F801728E-ACDB-4DC5-B05C-F419B6538BB7}" name="Subcategoría" dataDxfId="86"/>
    <tableColumn id="4" xr3:uid="{48BACAEC-88B1-4286-A529-73C963BD3E0F}" name="Descripción" dataDxfId="85"/>
    <tableColumn id="5" xr3:uid="{E0B1088F-A760-48B2-877E-AFFF81DC760D}" name="Monto" dataDxfId="84"/>
    <tableColumn id="6" xr3:uid="{10833408-C7D3-4ECF-A68A-8B061A74A3DD}" name="Tipo" dataDxfId="83"/>
    <tableColumn id="7" xr3:uid="{63CFE942-09B0-4454-818B-C5B5F86E0986}" name="Método de pago" dataDxfId="82"/>
    <tableColumn id="8" xr3:uid="{34884141-DB50-4D61-84B6-305E0CB2BAAB}" name="Persona" dataDxfId="8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0A6BF8B-6560-4E9D-8B53-53AC47DF28C1}" name="Tabla810" displayName="Tabla810" ref="A2:G6" totalsRowCount="1" headerRowDxfId="80">
  <tableColumns count="7">
    <tableColumn id="1" xr3:uid="{C100A070-8B6C-45EE-90AA-2EF904A3BE46}" name="Diagnostico" totalsRowLabel="Total"/>
    <tableColumn id="2" xr3:uid="{7DD6782E-80B4-4F2F-B63B-94E32927D96D}" name="Cantidad" totalsRowFunction="sum">
      <calculatedColumnFormula>+B2</calculatedColumnFormula>
    </tableColumn>
    <tableColumn id="3" xr3:uid="{D7249356-9AE8-4852-92FF-B82E5C6CF4FD}" name="Monto" totalsRowFunction="sum" dataDxfId="79" totalsRowDxfId="78"/>
    <tableColumn id="4" xr3:uid="{D5876C11-0768-47AB-BA99-64DDBD0227D7}" name="Total" totalsRowFunction="sum" dataDxfId="77" totalsRowDxfId="76">
      <calculatedColumnFormula>+B3*C3</calculatedColumnFormula>
    </tableColumn>
    <tableColumn id="5" xr3:uid="{4D13B371-AD77-4FC5-BC56-6BAD4FA4DCE6}" name="Porcentaje" totalsRowFunction="average" dataDxfId="75" totalsRowDxfId="74">
      <calculatedColumnFormula>+E2</calculatedColumnFormula>
    </tableColumn>
    <tableColumn id="6" xr3:uid="{0A240258-2CB2-46BB-95F9-1A4411A42F56}" name="Total para el consultorio" totalsRowFunction="sum" dataDxfId="73" totalsRowDxfId="72">
      <calculatedColumnFormula>+(B3)*C3*E3</calculatedColumnFormula>
    </tableColumn>
    <tableColumn id="8" xr3:uid="{12E10CE3-435D-4D75-AEAD-A4E60AE5D969}" name="utilidad" totalsRowFunction="sum" dataDxfId="71" totalsRowDxfId="70">
      <calculatedColumnFormula>+Tabla810[[#This Row],[Total]]-Tabla810[[#This Row],[Total para el consultorio]]</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95E30B-0B88-49D0-9972-B6B78E2424A3}" name="Tabla81011" displayName="Tabla81011" ref="A11:G15" totalsRowCount="1" headerRowDxfId="69">
  <tableColumns count="7">
    <tableColumn id="1" xr3:uid="{48D3FA2D-9774-45E4-B600-11F3A45B80B1}" name="Diagnostico" totalsRowLabel="Total"/>
    <tableColumn id="2" xr3:uid="{1A534CEE-9FBA-42C9-B298-802BBB237203}" name="Cantidad" totalsRowFunction="sum">
      <calculatedColumnFormula>+B11</calculatedColumnFormula>
    </tableColumn>
    <tableColumn id="3" xr3:uid="{88844169-D581-423D-A5B0-61DF09B5F952}" name="Monto" totalsRowFunction="sum" dataDxfId="68" totalsRowDxfId="67"/>
    <tableColumn id="4" xr3:uid="{E5F32D8B-E72A-49B6-953E-9735AE4EEFDB}" name="Total" totalsRowFunction="sum" dataDxfId="66" totalsRowDxfId="65">
      <calculatedColumnFormula>+B12*C12</calculatedColumnFormula>
    </tableColumn>
    <tableColumn id="5" xr3:uid="{50419BAC-DE4B-4486-B37D-69F330FDFA59}" name="Porcentaje" totalsRowFunction="average" dataDxfId="64" totalsRowDxfId="63">
      <calculatedColumnFormula>+E11</calculatedColumnFormula>
    </tableColumn>
    <tableColumn id="6" xr3:uid="{8FA53202-D480-416E-93B9-68BE6088AADA}" name="Total de regalia" totalsRowFunction="sum" dataDxfId="62" totalsRowDxfId="61">
      <calculatedColumnFormula>+(B12)*C12*E12</calculatedColumnFormula>
    </tableColumn>
    <tableColumn id="8" xr3:uid="{4632898A-87A3-48DF-A070-B140F9D65A7A}" name="utilidad" totalsRowFunction="sum" dataDxfId="60" totalsRowDxfId="59">
      <calculatedColumnFormula>+Tabla81011[[#This Row],[Total]]-Tabla81011[[#This Row],[Total de regalia]]</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E65E44-917B-4810-8033-88F225714929}" name="Tabla812" displayName="Tabla812" ref="A18:G22" totalsRowCount="1" headerRowDxfId="58">
  <tableColumns count="7">
    <tableColumn id="1" xr3:uid="{D5250D77-27CF-473B-91AF-408D2D01D38D}" name="Diagnostico" totalsRowLabel="Total"/>
    <tableColumn id="2" xr3:uid="{919C36AA-F6F8-499F-AA52-84E0EF63BC43}" name="Cantidad" totalsRowFunction="sum" dataDxfId="57">
      <calculatedColumnFormula>+Tabla81011[[#Totals],[Cantidad]]+Tabla810[[#Totals],[Cantidad]]+Tabla8[[#Totals],[Cantidad]]</calculatedColumnFormula>
    </tableColumn>
    <tableColumn id="3" xr3:uid="{F2B2E57C-BD0F-4463-8AFF-42CF543DB95B}" name="Monto" totalsRowFunction="sum" dataDxfId="56" totalsRowDxfId="55"/>
    <tableColumn id="4" xr3:uid="{0172A941-29E3-41B7-8407-DF0CDCD8FE31}" name="Total" totalsRowFunction="sum" dataDxfId="54" totalsRowDxfId="53">
      <calculatedColumnFormula>+B19*C19</calculatedColumnFormula>
    </tableColumn>
    <tableColumn id="5" xr3:uid="{19CAE862-1587-4620-BEB5-974EAF0E3CEE}" name="Porcentaje" totalsRowFunction="average" dataDxfId="52" totalsRowDxfId="51">
      <calculatedColumnFormula>+Hoja1!M4+E3+E12</calculatedColumnFormula>
    </tableColumn>
    <tableColumn id="6" xr3:uid="{413314F1-1CEE-4DCF-80F8-FD54BD5DA9F5}" name="Total para el consultorio" totalsRowFunction="sum" dataDxfId="50" totalsRowDxfId="49">
      <calculatedColumnFormula>+(B19)*C19*E19</calculatedColumnFormula>
    </tableColumn>
    <tableColumn id="9" xr3:uid="{89291EC6-287B-4DB8-B603-6C1387C36DBE}" name="utilidad" totalsRowFunction="sum" dataDxfId="48">
      <calculatedColumnFormula>+Tabla812[[#This Row],[Total]]-Tabla812[[#This Row],[Total para el consultorio]]</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E36A07-AF31-4C51-81D3-D1722FFA9614}" name="Tabla8" displayName="Tabla8" ref="I3:O7" totalsRowCount="1" headerRowDxfId="47">
  <tableColumns count="7">
    <tableColumn id="1" xr3:uid="{641E74F5-A884-4EDF-9825-1604E6D2A639}" name="Diagnostico" totalsRowLabel="Total"/>
    <tableColumn id="2" xr3:uid="{24118847-AE77-4D96-B1B6-C0F781265A0D}" name="Cantidad" totalsRowFunction="sum">
      <calculatedColumnFormula>+J3</calculatedColumnFormula>
    </tableColumn>
    <tableColumn id="3" xr3:uid="{9156987D-FA51-4F38-908A-823C7E1BC889}" name="Monto" totalsRowFunction="sum" dataDxfId="46" totalsRowDxfId="45"/>
    <tableColumn id="4" xr3:uid="{7C72F544-D8DE-4A83-AD35-456CADD47D90}" name="Total" totalsRowFunction="sum" dataDxfId="44" totalsRowDxfId="43">
      <calculatedColumnFormula>+J4*K4</calculatedColumnFormula>
    </tableColumn>
    <tableColumn id="5" xr3:uid="{EB46D59C-2ADC-4799-90F8-A65D74B54DE2}" name="Porcentaje" totalsRowFunction="average" dataDxfId="42" totalsRowDxfId="41">
      <calculatedColumnFormula>+M3</calculatedColumnFormula>
    </tableColumn>
    <tableColumn id="6" xr3:uid="{D74BA07B-D541-47FB-9B6A-B4793C74C8E0}" name="Total para el consultorio" totalsRowFunction="sum" dataDxfId="40" totalsRowDxfId="39">
      <calculatedColumnFormula>+(J4)*K4*M4</calculatedColumnFormula>
    </tableColumn>
    <tableColumn id="9" xr3:uid="{8FE0E9EB-590E-4F6E-9816-FA5956F0F319}" name="utilidad" totalsRowFunction="sum" dataDxfId="38" totalsRowDxfId="37">
      <calculatedColumnFormula>+Tabla8[[#This Row],[Total]]-Tabla8[[#This Row],[Total para el consultorio]]</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429AAF-C2BE-4635-B4EC-7197B3C75847}" name="Categoria" displayName="Categoria" ref="A1:A17" totalsRowShown="0" headerRowDxfId="36" dataDxfId="35">
  <autoFilter ref="A1:A17" xr:uid="{2C429AAF-C2BE-4635-B4EC-7197B3C75847}"/>
  <tableColumns count="1">
    <tableColumn id="1" xr3:uid="{A6E91DCB-77BD-41EE-A9D9-B5E504327D60}" name="Categoría" dataDxfId="3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A5E599D-BF3E-4926-BA25-B59AF2CBE9B3}" name="Subcategoria" displayName="Subcategoria" ref="B1:B73" totalsRowShown="0" headerRowDxfId="33" dataDxfId="32">
  <autoFilter ref="B1:B73" xr:uid="{0A5E599D-BF3E-4926-BA25-B59AF2CBE9B3}"/>
  <tableColumns count="1">
    <tableColumn id="1" xr3:uid="{CDAA1C01-313D-48EE-8793-D47084A140B4}" name="Subcategoría" dataDxfId="3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2DDC0B6-9574-4C8A-9B69-E2FBA667F6E4}" name="Detalle" displayName="Detalle" ref="C1:C95" totalsRowShown="0" headerRowDxfId="30" dataDxfId="29">
  <autoFilter ref="C1:C95" xr:uid="{92DDC0B6-9574-4C8A-9B69-E2FBA667F6E4}"/>
  <tableColumns count="1">
    <tableColumn id="1" xr3:uid="{739F070C-BAD0-4B33-BAC5-D41DAD194C4F}" name="Descripcion" dataDxfId="2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C2A533-72CD-4F25-A51B-E2AB9846D704}" name="Tipo" displayName="Tipo" ref="D1:D6" totalsRowShown="0" headerRowDxfId="27" dataDxfId="26">
  <autoFilter ref="D1:D6" xr:uid="{23C2A533-72CD-4F25-A51B-E2AB9846D704}"/>
  <tableColumns count="1">
    <tableColumn id="1" xr3:uid="{1D7ED171-8787-410C-BB78-1E5C5936FDF1}" name="Tipo" dataDxfId="25"/>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2E25333-C256-4CE4-B510-D66AE7F226FA}" name="Metodo_de_pago" displayName="Metodo_de_pago" ref="E1:E7" totalsRowShown="0" headerRowDxfId="24" dataDxfId="23">
  <autoFilter ref="E1:E7" xr:uid="{A2E25333-C256-4CE4-B510-D66AE7F226FA}"/>
  <tableColumns count="1">
    <tableColumn id="1" xr3:uid="{7EB2B375-C2C1-4851-A278-B4BC3363B4D1}" name="Método de Pago" dataDxfId="2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859E712-B933-49FC-9098-165E63AA9838}" name="Persona_gasto" displayName="Persona_gasto" ref="F1:F7" totalsRowShown="0" headerRowDxfId="21" dataDxfId="20">
  <autoFilter ref="F1:F7" xr:uid="{3859E712-B933-49FC-9098-165E63AA9838}"/>
  <tableColumns count="1">
    <tableColumn id="1" xr3:uid="{A5505662-E0D4-49A1-8B6D-2D7DCA4068FA}" name="Persona" dataDxfId="19"/>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69" dT="2023-07-20T12:48:53.19" personId="{75B8363E-FD14-4457-9957-CAB8F0AF77D5}" id="{13379749-1023-48EE-9D8C-11B8730C24C8}">
    <text>Este pago se hizo un descuento del 35 % por la clinica</text>
  </threadedComment>
</ThreadedComments>
</file>

<file path=xl/threadedComments/threadedComment2.xml><?xml version="1.0" encoding="utf-8"?>
<ThreadedComments xmlns="http://schemas.microsoft.com/office/spreadsheetml/2018/threadedcomments" xmlns:x="http://schemas.openxmlformats.org/spreadsheetml/2006/main">
  <threadedComment ref="E315" dT="2023-07-20T12:48:53.19" personId="{75B8363E-FD14-4457-9957-CAB8F0AF77D5}" id="{0AB1F18F-D793-4947-95A8-3DF571EB87A7}">
    <text>Este pago se hizo un descuento del 35 % por la clinica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60BDC3-492F-482C-8356-67C23DE221DC}">
  <we:reference id="wa200009404" version="1.0.0.8" store="es-E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7/10/relationships/threadedComment" Target="../threadedComments/threadedComment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table" Target="../tables/table8.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printerSettings" Target="../printerSettings/printerSettings5.bin"/><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election activeCell="I13" sqref="I13"/>
    </sheetView>
  </sheetViews>
  <sheetFormatPr baseColWidth="10" defaultColWidth="11.42578125" defaultRowHeight="15" x14ac:dyDescent="0.25"/>
  <cols>
    <col min="1" max="1" width="9.28515625" customWidth="1"/>
    <col min="2" max="2" width="15" customWidth="1"/>
    <col min="3" max="3" width="14.140625" customWidth="1"/>
    <col min="4" max="4" width="15.28515625" customWidth="1"/>
    <col min="5" max="5" width="17.28515625" customWidth="1"/>
    <col min="6" max="6" width="18.42578125" customWidth="1"/>
    <col min="7" max="7" width="14" customWidth="1"/>
  </cols>
  <sheetData>
    <row r="1" spans="1:12" ht="60" customHeight="1" thickBot="1" x14ac:dyDescent="0.3">
      <c r="A1" s="414" t="s">
        <v>0</v>
      </c>
      <c r="B1" s="415"/>
      <c r="C1" s="415"/>
      <c r="D1" s="415"/>
      <c r="E1" s="415"/>
      <c r="F1" s="415"/>
      <c r="G1" s="415"/>
      <c r="H1" s="415"/>
      <c r="I1" s="415"/>
    </row>
    <row r="2" spans="1:12" ht="15.75" thickBot="1" x14ac:dyDescent="0.3">
      <c r="A2" s="48"/>
      <c r="B2" s="49" t="s">
        <v>1</v>
      </c>
      <c r="C2" s="48" t="s">
        <v>2</v>
      </c>
      <c r="D2" s="48" t="s">
        <v>3</v>
      </c>
      <c r="E2" s="48" t="s">
        <v>4</v>
      </c>
      <c r="F2" s="48" t="s">
        <v>5</v>
      </c>
      <c r="G2" s="50" t="s">
        <v>6</v>
      </c>
    </row>
    <row r="3" spans="1:12" x14ac:dyDescent="0.25">
      <c r="A3" s="25" t="s">
        <v>7</v>
      </c>
      <c r="B3" s="142" t="s">
        <v>8</v>
      </c>
      <c r="C3" s="42" t="s">
        <v>9</v>
      </c>
      <c r="D3" s="2" t="s">
        <v>10</v>
      </c>
      <c r="E3" s="7" t="s">
        <v>10</v>
      </c>
      <c r="F3" s="143"/>
      <c r="G3" s="3"/>
    </row>
    <row r="4" spans="1:12" x14ac:dyDescent="0.25">
      <c r="A4" s="26" t="s">
        <v>11</v>
      </c>
      <c r="B4" s="24"/>
      <c r="C4" s="8"/>
      <c r="D4" s="1"/>
      <c r="E4" s="29" t="s">
        <v>12</v>
      </c>
      <c r="F4" s="144"/>
      <c r="G4" s="3"/>
    </row>
    <row r="5" spans="1:12" x14ac:dyDescent="0.25">
      <c r="A5" s="26" t="s">
        <v>13</v>
      </c>
      <c r="B5" s="30" t="s">
        <v>9</v>
      </c>
      <c r="C5" s="40" t="s">
        <v>14</v>
      </c>
      <c r="D5" s="145" t="s">
        <v>15</v>
      </c>
      <c r="E5" s="29" t="s">
        <v>14</v>
      </c>
      <c r="F5" s="62" t="s">
        <v>14</v>
      </c>
      <c r="G5" s="3"/>
    </row>
    <row r="6" spans="1:12" x14ac:dyDescent="0.25">
      <c r="A6" s="26" t="s">
        <v>16</v>
      </c>
      <c r="B6" s="24" t="s">
        <v>17</v>
      </c>
      <c r="C6" s="19" t="s">
        <v>18</v>
      </c>
      <c r="D6" s="1" t="s">
        <v>17</v>
      </c>
      <c r="E6" s="1" t="s">
        <v>17</v>
      </c>
      <c r="F6" s="62" t="s">
        <v>18</v>
      </c>
      <c r="G6" s="3"/>
    </row>
    <row r="7" spans="1:12" ht="15.75" thickBot="1" x14ac:dyDescent="0.3">
      <c r="A7" s="27"/>
      <c r="B7" s="28"/>
      <c r="C7" s="9"/>
      <c r="D7" s="4"/>
      <c r="E7" s="4"/>
      <c r="F7" s="21"/>
      <c r="G7" s="5"/>
    </row>
    <row r="8" spans="1:12" ht="11.25" customHeight="1" x14ac:dyDescent="0.25"/>
    <row r="9" spans="1:12" hidden="1" x14ac:dyDescent="0.25"/>
    <row r="11" spans="1:12" x14ac:dyDescent="0.25">
      <c r="A11" s="15"/>
      <c r="B11" t="s">
        <v>19</v>
      </c>
    </row>
    <row r="12" spans="1:12" x14ac:dyDescent="0.25">
      <c r="A12" s="13"/>
      <c r="B12" t="s">
        <v>20</v>
      </c>
    </row>
    <row r="13" spans="1:12" x14ac:dyDescent="0.25">
      <c r="A13" s="51"/>
      <c r="B13" t="s">
        <v>21</v>
      </c>
    </row>
    <row r="14" spans="1:12" ht="15.75" thickBot="1" x14ac:dyDescent="0.3">
      <c r="A14" s="31"/>
      <c r="B14" t="s">
        <v>22</v>
      </c>
    </row>
    <row r="15" spans="1:12" ht="15.75" thickBot="1" x14ac:dyDescent="0.3">
      <c r="L15" s="6"/>
    </row>
    <row r="18" spans="1:9" ht="24" thickBot="1" x14ac:dyDescent="0.3">
      <c r="A18" s="414" t="s">
        <v>23</v>
      </c>
      <c r="B18" s="415"/>
      <c r="C18" s="415"/>
      <c r="D18" s="415"/>
      <c r="E18" s="415"/>
      <c r="F18" s="415"/>
      <c r="G18" s="415"/>
      <c r="H18" s="415"/>
      <c r="I18" s="415"/>
    </row>
    <row r="19" spans="1:9" ht="15.75" thickBot="1" x14ac:dyDescent="0.3">
      <c r="A19" s="10"/>
      <c r="B19" s="23" t="s">
        <v>1</v>
      </c>
      <c r="C19" s="10" t="s">
        <v>2</v>
      </c>
      <c r="D19" s="10" t="s">
        <v>3</v>
      </c>
      <c r="E19" s="10" t="s">
        <v>4</v>
      </c>
      <c r="F19" s="10" t="s">
        <v>5</v>
      </c>
      <c r="G19" s="20" t="s">
        <v>6</v>
      </c>
    </row>
    <row r="20" spans="1:9" x14ac:dyDescent="0.25">
      <c r="A20" s="25" t="s">
        <v>24</v>
      </c>
      <c r="B20" s="36"/>
      <c r="C20" s="42" t="s">
        <v>15</v>
      </c>
      <c r="D20" s="2"/>
      <c r="E20" s="7"/>
      <c r="F20" s="32"/>
      <c r="G20" s="3"/>
    </row>
    <row r="21" spans="1:9" x14ac:dyDescent="0.25">
      <c r="A21" s="26" t="s">
        <v>11</v>
      </c>
      <c r="B21" s="37"/>
      <c r="C21" s="43" t="s">
        <v>15</v>
      </c>
      <c r="D21" s="1"/>
      <c r="E21" s="35"/>
      <c r="F21" s="33"/>
      <c r="G21" s="3"/>
    </row>
    <row r="22" spans="1:9" x14ac:dyDescent="0.25">
      <c r="A22" s="26" t="s">
        <v>25</v>
      </c>
      <c r="B22" s="39" t="s">
        <v>15</v>
      </c>
      <c r="C22" s="40" t="s">
        <v>26</v>
      </c>
      <c r="D22" s="39" t="s">
        <v>15</v>
      </c>
      <c r="E22" s="41" t="s">
        <v>26</v>
      </c>
      <c r="F22" s="41" t="s">
        <v>26</v>
      </c>
      <c r="G22" s="3"/>
    </row>
    <row r="23" spans="1:9" x14ac:dyDescent="0.25">
      <c r="A23" s="26" t="s">
        <v>16</v>
      </c>
      <c r="B23" s="44" t="s">
        <v>27</v>
      </c>
      <c r="C23" s="19" t="s">
        <v>18</v>
      </c>
      <c r="D23" s="19" t="s">
        <v>18</v>
      </c>
      <c r="E23" s="19" t="s">
        <v>18</v>
      </c>
      <c r="F23" s="41" t="s">
        <v>26</v>
      </c>
      <c r="G23" s="3"/>
    </row>
    <row r="24" spans="1:9" ht="15.75" thickBot="1" x14ac:dyDescent="0.3">
      <c r="A24" s="27"/>
      <c r="B24" s="28"/>
      <c r="C24" s="9"/>
      <c r="D24" s="4"/>
      <c r="E24" s="4"/>
      <c r="F24" s="34"/>
      <c r="G24" s="5"/>
    </row>
    <row r="28" spans="1:9" x14ac:dyDescent="0.25">
      <c r="A28" s="15"/>
      <c r="B28" t="s">
        <v>28</v>
      </c>
    </row>
    <row r="29" spans="1:9" x14ac:dyDescent="0.25">
      <c r="A29" s="13"/>
      <c r="B29" t="s">
        <v>29</v>
      </c>
    </row>
    <row r="30" spans="1:9" x14ac:dyDescent="0.25">
      <c r="A30" s="14"/>
      <c r="B30" t="s">
        <v>30</v>
      </c>
    </row>
    <row r="31" spans="1:9" x14ac:dyDescent="0.25">
      <c r="A31" s="38"/>
    </row>
  </sheetData>
  <mergeCells count="2">
    <mergeCell ref="A1:I1"/>
    <mergeCell ref="A18:I1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3D40-9100-4B74-A65A-B50F7D3EF817}">
  <dimension ref="A1:M260"/>
  <sheetViews>
    <sheetView topLeftCell="A259" zoomScale="90" zoomScaleNormal="90" workbookViewId="0">
      <selection activeCell="J256" sqref="J256"/>
    </sheetView>
  </sheetViews>
  <sheetFormatPr baseColWidth="10" defaultColWidth="11.42578125" defaultRowHeight="15" x14ac:dyDescent="0.25"/>
  <cols>
    <col min="3" max="3" width="13.140625" bestFit="1" customWidth="1"/>
    <col min="4" max="4" width="21.7109375" customWidth="1"/>
    <col min="5" max="5" width="26.85546875" customWidth="1"/>
    <col min="6" max="6" width="17.5703125" customWidth="1"/>
    <col min="7" max="7" width="20.28515625" customWidth="1"/>
    <col min="8" max="8" width="17.28515625" customWidth="1"/>
    <col min="10" max="10" width="28.140625" bestFit="1" customWidth="1"/>
    <col min="12" max="12" width="17.5703125" bestFit="1" customWidth="1"/>
    <col min="13" max="13" width="33.28515625" bestFit="1" customWidth="1"/>
    <col min="14" max="14" width="16.85546875" bestFit="1" customWidth="1"/>
    <col min="15" max="15" width="17.85546875" bestFit="1" customWidth="1"/>
    <col min="16" max="16" width="15.42578125" bestFit="1" customWidth="1"/>
  </cols>
  <sheetData>
    <row r="1" spans="1:10" x14ac:dyDescent="0.25">
      <c r="A1" s="20" t="s">
        <v>31</v>
      </c>
      <c r="B1" s="20" t="s">
        <v>32</v>
      </c>
      <c r="C1" s="20" t="s">
        <v>33</v>
      </c>
      <c r="D1" s="20" t="s">
        <v>34</v>
      </c>
      <c r="E1" s="20" t="s">
        <v>35</v>
      </c>
      <c r="F1" s="20" t="s">
        <v>36</v>
      </c>
      <c r="G1" s="20" t="s">
        <v>37</v>
      </c>
      <c r="H1" s="20" t="s">
        <v>38</v>
      </c>
      <c r="I1" s="11" t="s">
        <v>39</v>
      </c>
      <c r="J1" s="20" t="s">
        <v>40</v>
      </c>
    </row>
    <row r="2" spans="1:10" x14ac:dyDescent="0.25">
      <c r="A2" s="166">
        <v>44382</v>
      </c>
      <c r="B2" s="16" t="s">
        <v>41</v>
      </c>
      <c r="C2" s="16" t="s">
        <v>42</v>
      </c>
      <c r="D2" s="167">
        <v>12300</v>
      </c>
      <c r="E2" s="167">
        <v>1230</v>
      </c>
      <c r="F2" s="167">
        <v>11070</v>
      </c>
      <c r="G2" s="168">
        <v>44383</v>
      </c>
      <c r="H2" s="169" t="s">
        <v>43</v>
      </c>
      <c r="I2" s="16" t="s">
        <v>44</v>
      </c>
      <c r="J2" s="16"/>
    </row>
    <row r="3" spans="1:10" x14ac:dyDescent="0.25">
      <c r="A3" s="166">
        <v>44382</v>
      </c>
      <c r="B3" s="16" t="s">
        <v>45</v>
      </c>
      <c r="C3" s="16" t="s">
        <v>46</v>
      </c>
      <c r="D3" s="167">
        <v>8640</v>
      </c>
      <c r="E3" s="167">
        <v>864</v>
      </c>
      <c r="F3" s="167">
        <v>7776</v>
      </c>
      <c r="G3" s="168">
        <v>44382</v>
      </c>
      <c r="H3" s="169">
        <v>44413</v>
      </c>
      <c r="I3" s="16" t="s">
        <v>44</v>
      </c>
      <c r="J3" s="16"/>
    </row>
    <row r="4" spans="1:10" x14ac:dyDescent="0.25">
      <c r="A4" s="166">
        <v>44382</v>
      </c>
      <c r="B4" s="16" t="s">
        <v>47</v>
      </c>
      <c r="C4" s="16" t="s">
        <v>48</v>
      </c>
      <c r="D4" s="167">
        <v>31170</v>
      </c>
      <c r="E4" s="167">
        <v>3117</v>
      </c>
      <c r="F4" s="167">
        <f>+D4-E4</f>
        <v>28053</v>
      </c>
      <c r="G4" s="168">
        <v>44384</v>
      </c>
      <c r="H4" s="169">
        <v>44428</v>
      </c>
      <c r="I4" s="16" t="s">
        <v>44</v>
      </c>
      <c r="J4" s="16"/>
    </row>
    <row r="5" spans="1:10" x14ac:dyDescent="0.25">
      <c r="A5" s="166">
        <v>44382</v>
      </c>
      <c r="B5" s="16" t="s">
        <v>49</v>
      </c>
      <c r="C5" s="16" t="s">
        <v>50</v>
      </c>
      <c r="D5" s="167">
        <v>1445</v>
      </c>
      <c r="E5" s="167">
        <v>144.5</v>
      </c>
      <c r="F5" s="167">
        <f>+D5-E5</f>
        <v>1300.5</v>
      </c>
      <c r="G5" s="168">
        <v>44382</v>
      </c>
      <c r="H5" s="169">
        <v>44413</v>
      </c>
      <c r="I5" s="16" t="s">
        <v>44</v>
      </c>
      <c r="J5" s="16"/>
    </row>
    <row r="6" spans="1:10" x14ac:dyDescent="0.25">
      <c r="A6" s="166">
        <v>44382</v>
      </c>
      <c r="B6" s="16" t="s">
        <v>51</v>
      </c>
      <c r="C6" s="16" t="s">
        <v>52</v>
      </c>
      <c r="D6" s="167">
        <v>10000</v>
      </c>
      <c r="E6" s="167">
        <v>1000</v>
      </c>
      <c r="F6" s="167">
        <v>9000</v>
      </c>
      <c r="G6" s="168">
        <v>44384</v>
      </c>
      <c r="H6" s="169">
        <v>44440</v>
      </c>
      <c r="I6" s="16" t="s">
        <v>44</v>
      </c>
      <c r="J6" s="16"/>
    </row>
    <row r="7" spans="1:10" x14ac:dyDescent="0.25">
      <c r="A7" s="166">
        <v>44382</v>
      </c>
      <c r="B7" s="16" t="s">
        <v>53</v>
      </c>
      <c r="C7" s="16" t="s">
        <v>54</v>
      </c>
      <c r="D7" s="167">
        <v>4717.5</v>
      </c>
      <c r="E7" s="167">
        <v>471.75</v>
      </c>
      <c r="F7" s="167">
        <f>+D7-E7</f>
        <v>4245.75</v>
      </c>
      <c r="G7" s="168">
        <v>44382</v>
      </c>
      <c r="H7" s="169">
        <v>44413</v>
      </c>
      <c r="I7" s="16" t="s">
        <v>44</v>
      </c>
      <c r="J7" s="16"/>
    </row>
    <row r="8" spans="1:10" x14ac:dyDescent="0.25">
      <c r="A8" s="166">
        <v>44413</v>
      </c>
      <c r="B8" s="16" t="s">
        <v>41</v>
      </c>
      <c r="C8" s="16" t="s">
        <v>55</v>
      </c>
      <c r="D8" s="167">
        <v>224460</v>
      </c>
      <c r="E8" s="167">
        <f>+D8*10%</f>
        <v>22446</v>
      </c>
      <c r="F8" s="167">
        <f>+D8-E8</f>
        <v>202014</v>
      </c>
      <c r="G8" s="168">
        <v>44412</v>
      </c>
      <c r="H8" s="169" t="s">
        <v>56</v>
      </c>
      <c r="I8" s="16" t="s">
        <v>44</v>
      </c>
      <c r="J8" s="16"/>
    </row>
    <row r="9" spans="1:10" x14ac:dyDescent="0.25">
      <c r="A9" s="166">
        <v>44413</v>
      </c>
      <c r="B9" s="16" t="s">
        <v>45</v>
      </c>
      <c r="C9" s="16" t="s">
        <v>57</v>
      </c>
      <c r="D9" s="167">
        <v>14208.75</v>
      </c>
      <c r="E9" s="167">
        <f t="shared" ref="E9:E13" si="0">+D9*10%</f>
        <v>1420.875</v>
      </c>
      <c r="F9" s="167">
        <f t="shared" ref="F9:F13" si="1">+D9-E9</f>
        <v>12787.875</v>
      </c>
      <c r="G9" s="168">
        <v>44412</v>
      </c>
      <c r="H9" s="169">
        <v>44444</v>
      </c>
      <c r="I9" s="16" t="s">
        <v>44</v>
      </c>
      <c r="J9" s="16"/>
    </row>
    <row r="10" spans="1:10" x14ac:dyDescent="0.25">
      <c r="A10" s="166">
        <v>44413</v>
      </c>
      <c r="B10" s="16" t="s">
        <v>47</v>
      </c>
      <c r="C10" s="16" t="s">
        <v>58</v>
      </c>
      <c r="D10" s="167">
        <v>47449.48</v>
      </c>
      <c r="E10" s="167">
        <f t="shared" si="0"/>
        <v>4744.9480000000003</v>
      </c>
      <c r="F10" s="167">
        <f t="shared" si="1"/>
        <v>42704.532000000007</v>
      </c>
      <c r="G10" s="168">
        <v>44412</v>
      </c>
      <c r="H10" s="169">
        <v>44459</v>
      </c>
      <c r="I10" s="16" t="s">
        <v>44</v>
      </c>
      <c r="J10" s="16"/>
    </row>
    <row r="11" spans="1:10" x14ac:dyDescent="0.25">
      <c r="A11" s="166">
        <v>44413</v>
      </c>
      <c r="B11" s="16" t="s">
        <v>49</v>
      </c>
      <c r="C11" s="16" t="s">
        <v>59</v>
      </c>
      <c r="D11" s="167">
        <v>30220</v>
      </c>
      <c r="E11" s="167">
        <f t="shared" si="0"/>
        <v>3022</v>
      </c>
      <c r="F11" s="167">
        <f t="shared" si="1"/>
        <v>27198</v>
      </c>
      <c r="G11" s="168">
        <v>44320</v>
      </c>
      <c r="H11" s="169">
        <v>44444</v>
      </c>
      <c r="I11" s="16" t="s">
        <v>44</v>
      </c>
      <c r="J11" s="16"/>
    </row>
    <row r="12" spans="1:10" x14ac:dyDescent="0.25">
      <c r="A12" s="166">
        <v>44413</v>
      </c>
      <c r="B12" s="16" t="s">
        <v>51</v>
      </c>
      <c r="C12" s="16" t="s">
        <v>60</v>
      </c>
      <c r="D12" s="167">
        <v>9100</v>
      </c>
      <c r="E12" s="167">
        <f t="shared" si="0"/>
        <v>910</v>
      </c>
      <c r="F12" s="167">
        <f t="shared" si="1"/>
        <v>8190</v>
      </c>
      <c r="G12" s="168">
        <v>44412</v>
      </c>
      <c r="H12" s="169" t="s">
        <v>56</v>
      </c>
      <c r="I12" s="16" t="s">
        <v>44</v>
      </c>
      <c r="J12" s="16"/>
    </row>
    <row r="13" spans="1:10" x14ac:dyDescent="0.25">
      <c r="A13" s="166">
        <v>44413</v>
      </c>
      <c r="B13" s="16" t="s">
        <v>53</v>
      </c>
      <c r="C13" s="16" t="s">
        <v>61</v>
      </c>
      <c r="D13" s="167">
        <v>43354</v>
      </c>
      <c r="E13" s="167">
        <f t="shared" si="0"/>
        <v>4335.4000000000005</v>
      </c>
      <c r="F13" s="167">
        <f t="shared" si="1"/>
        <v>39018.6</v>
      </c>
      <c r="G13" s="168">
        <v>44412</v>
      </c>
      <c r="H13" s="169">
        <v>44444</v>
      </c>
      <c r="I13" s="16" t="s">
        <v>44</v>
      </c>
      <c r="J13" s="16"/>
    </row>
    <row r="14" spans="1:10" x14ac:dyDescent="0.25">
      <c r="A14" s="166">
        <v>44444</v>
      </c>
      <c r="B14" s="16" t="s">
        <v>41</v>
      </c>
      <c r="C14" s="16" t="s">
        <v>62</v>
      </c>
      <c r="D14" s="167">
        <v>25780</v>
      </c>
      <c r="E14" s="167">
        <f>+D14*10%</f>
        <v>2578</v>
      </c>
      <c r="F14" s="167">
        <f>+D14-E14</f>
        <v>23202</v>
      </c>
      <c r="G14" s="168">
        <v>44442</v>
      </c>
      <c r="H14" s="169" t="s">
        <v>63</v>
      </c>
      <c r="I14" s="16" t="s">
        <v>44</v>
      </c>
      <c r="J14" s="16"/>
    </row>
    <row r="15" spans="1:10" x14ac:dyDescent="0.25">
      <c r="A15" s="166">
        <v>44444</v>
      </c>
      <c r="B15" s="16" t="s">
        <v>47</v>
      </c>
      <c r="C15" s="16" t="s">
        <v>64</v>
      </c>
      <c r="D15" s="167">
        <v>8835</v>
      </c>
      <c r="E15" s="167">
        <f t="shared" ref="E15:E23" si="2">+D15*10%</f>
        <v>883.5</v>
      </c>
      <c r="F15" s="167">
        <f t="shared" ref="F15:F23" si="3">+D15-E15</f>
        <v>7951.5</v>
      </c>
      <c r="G15" s="168">
        <v>44442</v>
      </c>
      <c r="H15" s="169">
        <v>44489</v>
      </c>
      <c r="I15" s="16" t="s">
        <v>44</v>
      </c>
      <c r="J15" s="16"/>
    </row>
    <row r="16" spans="1:10" x14ac:dyDescent="0.25">
      <c r="A16" s="166">
        <v>44444</v>
      </c>
      <c r="B16" s="16" t="s">
        <v>49</v>
      </c>
      <c r="C16" s="16" t="s">
        <v>65</v>
      </c>
      <c r="D16" s="167">
        <v>11790</v>
      </c>
      <c r="E16" s="167">
        <f t="shared" si="2"/>
        <v>1179</v>
      </c>
      <c r="F16" s="167">
        <f t="shared" si="3"/>
        <v>10611</v>
      </c>
      <c r="G16" s="168">
        <v>44442</v>
      </c>
      <c r="H16" s="169">
        <v>44474</v>
      </c>
      <c r="I16" s="16" t="s">
        <v>44</v>
      </c>
      <c r="J16" s="16"/>
    </row>
    <row r="17" spans="1:10" x14ac:dyDescent="0.25">
      <c r="A17" s="166">
        <v>44444</v>
      </c>
      <c r="B17" s="16" t="s">
        <v>51</v>
      </c>
      <c r="C17" s="16" t="s">
        <v>66</v>
      </c>
      <c r="D17" s="167">
        <v>17500</v>
      </c>
      <c r="E17" s="167">
        <f t="shared" si="2"/>
        <v>1750</v>
      </c>
      <c r="F17" s="167">
        <f t="shared" si="3"/>
        <v>15750</v>
      </c>
      <c r="G17" s="168">
        <v>44442</v>
      </c>
      <c r="H17" s="169" t="s">
        <v>63</v>
      </c>
      <c r="I17" s="16" t="s">
        <v>44</v>
      </c>
      <c r="J17" s="16"/>
    </row>
    <row r="18" spans="1:10" x14ac:dyDescent="0.25">
      <c r="A18" s="166">
        <v>44444</v>
      </c>
      <c r="B18" s="16" t="s">
        <v>53</v>
      </c>
      <c r="C18" s="16" t="s">
        <v>67</v>
      </c>
      <c r="D18" s="167">
        <v>87730.16</v>
      </c>
      <c r="E18" s="167">
        <f t="shared" si="2"/>
        <v>8773.0160000000014</v>
      </c>
      <c r="F18" s="167">
        <f t="shared" si="3"/>
        <v>78957.144</v>
      </c>
      <c r="G18" s="168">
        <v>44442</v>
      </c>
      <c r="H18" s="169">
        <v>44474</v>
      </c>
      <c r="I18" s="16" t="s">
        <v>44</v>
      </c>
      <c r="J18" s="16"/>
    </row>
    <row r="19" spans="1:10" x14ac:dyDescent="0.25">
      <c r="A19" s="166">
        <v>44444</v>
      </c>
      <c r="B19" s="16" t="s">
        <v>68</v>
      </c>
      <c r="C19" s="16" t="s">
        <v>69</v>
      </c>
      <c r="D19" s="167">
        <v>10464</v>
      </c>
      <c r="E19" s="167">
        <f t="shared" si="2"/>
        <v>1046.4000000000001</v>
      </c>
      <c r="F19" s="167">
        <f t="shared" si="3"/>
        <v>9417.6</v>
      </c>
      <c r="G19" s="168">
        <v>44442</v>
      </c>
      <c r="H19" s="169">
        <v>44479</v>
      </c>
      <c r="I19" s="16" t="s">
        <v>44</v>
      </c>
      <c r="J19" s="16"/>
    </row>
    <row r="20" spans="1:10" x14ac:dyDescent="0.25">
      <c r="A20" s="166">
        <v>44444</v>
      </c>
      <c r="B20" s="16" t="s">
        <v>70</v>
      </c>
      <c r="C20" s="16" t="s">
        <v>71</v>
      </c>
      <c r="D20" s="167">
        <v>4037</v>
      </c>
      <c r="E20" s="167">
        <f t="shared" si="2"/>
        <v>403.70000000000005</v>
      </c>
      <c r="F20" s="167">
        <f t="shared" si="3"/>
        <v>3633.3</v>
      </c>
      <c r="G20" s="168">
        <v>44442</v>
      </c>
      <c r="H20" s="169">
        <v>44479</v>
      </c>
      <c r="I20" s="16" t="s">
        <v>44</v>
      </c>
      <c r="J20" s="16"/>
    </row>
    <row r="21" spans="1:10" x14ac:dyDescent="0.25">
      <c r="A21" s="166">
        <v>44444</v>
      </c>
      <c r="B21" s="16" t="s">
        <v>72</v>
      </c>
      <c r="C21" s="16" t="s">
        <v>73</v>
      </c>
      <c r="D21" s="167">
        <v>8230</v>
      </c>
      <c r="E21" s="167">
        <f t="shared" si="2"/>
        <v>823</v>
      </c>
      <c r="F21" s="167">
        <f t="shared" si="3"/>
        <v>7407</v>
      </c>
      <c r="G21" s="168">
        <v>44442</v>
      </c>
      <c r="H21" s="169">
        <v>44479</v>
      </c>
      <c r="I21" s="16" t="s">
        <v>44</v>
      </c>
      <c r="J21" s="16"/>
    </row>
    <row r="22" spans="1:10" x14ac:dyDescent="0.25">
      <c r="A22" s="166">
        <v>44444</v>
      </c>
      <c r="B22" s="16" t="s">
        <v>74</v>
      </c>
      <c r="C22" s="16" t="s">
        <v>75</v>
      </c>
      <c r="D22" s="167">
        <v>9500</v>
      </c>
      <c r="E22" s="167">
        <f t="shared" si="2"/>
        <v>950</v>
      </c>
      <c r="F22" s="167">
        <f t="shared" si="3"/>
        <v>8550</v>
      </c>
      <c r="G22" s="168">
        <v>44442</v>
      </c>
      <c r="H22" s="169">
        <v>44479</v>
      </c>
      <c r="I22" s="16" t="s">
        <v>44</v>
      </c>
      <c r="J22" s="16" t="s">
        <v>76</v>
      </c>
    </row>
    <row r="23" spans="1:10" x14ac:dyDescent="0.25">
      <c r="A23" s="166">
        <v>44444</v>
      </c>
      <c r="B23" s="16" t="s">
        <v>77</v>
      </c>
      <c r="C23" s="16" t="s">
        <v>78</v>
      </c>
      <c r="D23" s="167">
        <v>32815</v>
      </c>
      <c r="E23" s="167">
        <f t="shared" si="2"/>
        <v>3281.5</v>
      </c>
      <c r="F23" s="167">
        <f t="shared" si="3"/>
        <v>29533.5</v>
      </c>
      <c r="G23" s="168">
        <v>44383</v>
      </c>
      <c r="H23" s="169">
        <v>44479</v>
      </c>
      <c r="I23" s="16" t="s">
        <v>44</v>
      </c>
      <c r="J23" s="16"/>
    </row>
    <row r="24" spans="1:10" x14ac:dyDescent="0.25">
      <c r="A24" s="166">
        <v>44474</v>
      </c>
      <c r="B24" s="16" t="s">
        <v>41</v>
      </c>
      <c r="C24" s="16" t="s">
        <v>79</v>
      </c>
      <c r="D24" s="167">
        <v>54765</v>
      </c>
      <c r="E24" s="167">
        <f>+D24*10%</f>
        <v>5476.5</v>
      </c>
      <c r="F24" s="167">
        <f>+D24-E24</f>
        <v>49288.5</v>
      </c>
      <c r="G24" s="168">
        <v>44473</v>
      </c>
      <c r="H24" s="169" t="s">
        <v>80</v>
      </c>
      <c r="I24" s="16" t="s">
        <v>44</v>
      </c>
      <c r="J24" s="16"/>
    </row>
    <row r="25" spans="1:10" x14ac:dyDescent="0.25">
      <c r="A25" s="166">
        <v>44474</v>
      </c>
      <c r="B25" s="16" t="s">
        <v>74</v>
      </c>
      <c r="C25" s="16" t="s">
        <v>81</v>
      </c>
      <c r="D25" s="167">
        <v>2025</v>
      </c>
      <c r="E25" s="167">
        <f>+D25*10%</f>
        <v>202.5</v>
      </c>
      <c r="F25" s="167">
        <f>+D25-E25</f>
        <v>1822.5</v>
      </c>
      <c r="G25" s="170" t="s">
        <v>82</v>
      </c>
      <c r="H25" s="169">
        <v>44510</v>
      </c>
      <c r="I25" s="16" t="s">
        <v>44</v>
      </c>
      <c r="J25" s="16"/>
    </row>
    <row r="26" spans="1:10" x14ac:dyDescent="0.25">
      <c r="A26" s="166">
        <v>44474</v>
      </c>
      <c r="B26" s="16" t="s">
        <v>83</v>
      </c>
      <c r="C26" s="16" t="s">
        <v>84</v>
      </c>
      <c r="D26" s="167">
        <v>5500</v>
      </c>
      <c r="E26" s="167">
        <f>+D26*10%</f>
        <v>550</v>
      </c>
      <c r="F26" s="167">
        <f>+D26-E26</f>
        <v>4950</v>
      </c>
      <c r="G26" s="168">
        <v>44473</v>
      </c>
      <c r="H26" s="169">
        <v>44520</v>
      </c>
      <c r="I26" s="16" t="s">
        <v>44</v>
      </c>
      <c r="J26" s="16"/>
    </row>
    <row r="27" spans="1:10" x14ac:dyDescent="0.25">
      <c r="A27" s="166">
        <v>44474</v>
      </c>
      <c r="B27" s="16" t="s">
        <v>49</v>
      </c>
      <c r="C27" s="16" t="s">
        <v>85</v>
      </c>
      <c r="D27" s="167">
        <v>9532.5</v>
      </c>
      <c r="E27" s="167">
        <f t="shared" ref="E27:E34" si="4">+D27*10%</f>
        <v>953.25</v>
      </c>
      <c r="F27" s="167">
        <f t="shared" ref="F27:F34" si="5">+D27-E27</f>
        <v>8579.25</v>
      </c>
      <c r="G27" s="168">
        <v>44473</v>
      </c>
      <c r="H27" s="169">
        <v>44505</v>
      </c>
      <c r="I27" s="16" t="s">
        <v>44</v>
      </c>
      <c r="J27" s="16"/>
    </row>
    <row r="28" spans="1:10" x14ac:dyDescent="0.25">
      <c r="A28" s="166">
        <v>44474</v>
      </c>
      <c r="B28" s="16" t="s">
        <v>45</v>
      </c>
      <c r="C28" s="16" t="s">
        <v>86</v>
      </c>
      <c r="D28" s="167">
        <v>1000</v>
      </c>
      <c r="E28" s="167">
        <f t="shared" si="4"/>
        <v>100</v>
      </c>
      <c r="F28" s="167">
        <f t="shared" si="5"/>
        <v>900</v>
      </c>
      <c r="G28" s="168">
        <v>44473</v>
      </c>
      <c r="H28" s="169">
        <v>44505</v>
      </c>
      <c r="I28" s="16" t="s">
        <v>44</v>
      </c>
      <c r="J28" s="16"/>
    </row>
    <row r="29" spans="1:10" x14ac:dyDescent="0.25">
      <c r="A29" s="166">
        <v>44474</v>
      </c>
      <c r="B29" s="16" t="s">
        <v>87</v>
      </c>
      <c r="C29" s="16" t="s">
        <v>88</v>
      </c>
      <c r="D29" s="167">
        <v>15500</v>
      </c>
      <c r="E29" s="167">
        <f t="shared" si="4"/>
        <v>1550</v>
      </c>
      <c r="F29" s="167">
        <f t="shared" si="5"/>
        <v>13950</v>
      </c>
      <c r="G29" s="168">
        <v>44473</v>
      </c>
      <c r="H29" s="169">
        <v>44505</v>
      </c>
      <c r="I29" s="16" t="s">
        <v>44</v>
      </c>
      <c r="J29" s="16"/>
    </row>
    <row r="30" spans="1:10" x14ac:dyDescent="0.25">
      <c r="A30" s="166">
        <v>44474</v>
      </c>
      <c r="B30" s="16" t="s">
        <v>47</v>
      </c>
      <c r="C30" s="16" t="s">
        <v>89</v>
      </c>
      <c r="D30" s="167">
        <v>7667.5</v>
      </c>
      <c r="E30" s="167">
        <f t="shared" si="4"/>
        <v>766.75</v>
      </c>
      <c r="F30" s="167">
        <f t="shared" si="5"/>
        <v>6900.75</v>
      </c>
      <c r="G30" s="168">
        <v>44473</v>
      </c>
      <c r="H30" s="169">
        <v>44520</v>
      </c>
      <c r="I30" s="16" t="s">
        <v>44</v>
      </c>
      <c r="J30" s="16"/>
    </row>
    <row r="31" spans="1:10" x14ac:dyDescent="0.25">
      <c r="A31" s="166">
        <v>44474</v>
      </c>
      <c r="B31" s="16" t="s">
        <v>70</v>
      </c>
      <c r="C31" s="16" t="s">
        <v>90</v>
      </c>
      <c r="D31" s="167">
        <v>32697.5</v>
      </c>
      <c r="E31" s="167">
        <f t="shared" si="4"/>
        <v>3269.75</v>
      </c>
      <c r="F31" s="167">
        <f t="shared" si="5"/>
        <v>29427.75</v>
      </c>
      <c r="G31" s="168">
        <v>44473</v>
      </c>
      <c r="H31" s="169">
        <v>44510</v>
      </c>
      <c r="I31" s="16" t="s">
        <v>44</v>
      </c>
      <c r="J31" s="16"/>
    </row>
    <row r="32" spans="1:10" x14ac:dyDescent="0.25">
      <c r="A32" s="166">
        <v>44474</v>
      </c>
      <c r="B32" s="16" t="s">
        <v>72</v>
      </c>
      <c r="C32" s="16" t="s">
        <v>91</v>
      </c>
      <c r="D32" s="167">
        <v>2000</v>
      </c>
      <c r="E32" s="167">
        <f t="shared" si="4"/>
        <v>200</v>
      </c>
      <c r="F32" s="167">
        <f t="shared" si="5"/>
        <v>1800</v>
      </c>
      <c r="G32" s="168">
        <v>44473</v>
      </c>
      <c r="H32" s="169">
        <v>44510</v>
      </c>
      <c r="I32" s="16" t="s">
        <v>44</v>
      </c>
      <c r="J32" s="16"/>
    </row>
    <row r="33" spans="1:10" x14ac:dyDescent="0.25">
      <c r="A33" s="166">
        <v>44474</v>
      </c>
      <c r="B33" s="16" t="s">
        <v>53</v>
      </c>
      <c r="C33" s="16" t="s">
        <v>92</v>
      </c>
      <c r="D33" s="167">
        <v>2892.46</v>
      </c>
      <c r="E33" s="167">
        <f t="shared" si="4"/>
        <v>289.24600000000004</v>
      </c>
      <c r="F33" s="167">
        <f t="shared" si="5"/>
        <v>2603.2139999999999</v>
      </c>
      <c r="G33" s="168">
        <v>44473</v>
      </c>
      <c r="H33" s="169">
        <v>44505</v>
      </c>
      <c r="I33" s="16" t="s">
        <v>44</v>
      </c>
      <c r="J33" s="16"/>
    </row>
    <row r="34" spans="1:10" x14ac:dyDescent="0.25">
      <c r="A34" s="166">
        <v>44474</v>
      </c>
      <c r="B34" s="16" t="s">
        <v>93</v>
      </c>
      <c r="C34" s="16" t="s">
        <v>94</v>
      </c>
      <c r="D34" s="167">
        <v>3650</v>
      </c>
      <c r="E34" s="167">
        <f t="shared" si="4"/>
        <v>365</v>
      </c>
      <c r="F34" s="167">
        <f t="shared" si="5"/>
        <v>3285</v>
      </c>
      <c r="G34" s="168">
        <v>44473</v>
      </c>
      <c r="H34" s="169">
        <v>44510</v>
      </c>
      <c r="I34" s="16" t="s">
        <v>44</v>
      </c>
      <c r="J34" s="16"/>
    </row>
    <row r="35" spans="1:10" x14ac:dyDescent="0.25">
      <c r="A35" s="166">
        <v>44505</v>
      </c>
      <c r="B35" s="16" t="s">
        <v>41</v>
      </c>
      <c r="C35" s="16" t="s">
        <v>95</v>
      </c>
      <c r="D35" s="167">
        <v>72975</v>
      </c>
      <c r="E35" s="167">
        <f>+D35*10%</f>
        <v>7297.5</v>
      </c>
      <c r="F35" s="167">
        <f>+D35-E35</f>
        <v>65677.5</v>
      </c>
      <c r="G35" s="168">
        <v>44503</v>
      </c>
      <c r="H35" s="169" t="s">
        <v>96</v>
      </c>
      <c r="I35" s="16" t="s">
        <v>44</v>
      </c>
      <c r="J35" s="16"/>
    </row>
    <row r="36" spans="1:10" x14ac:dyDescent="0.25">
      <c r="A36" s="166">
        <v>44505</v>
      </c>
      <c r="B36" s="16" t="s">
        <v>49</v>
      </c>
      <c r="C36" s="16" t="s">
        <v>97</v>
      </c>
      <c r="D36" s="167">
        <v>5930</v>
      </c>
      <c r="E36" s="167">
        <f t="shared" ref="E36:E39" si="6">+D36*10%</f>
        <v>593</v>
      </c>
      <c r="F36" s="167">
        <f t="shared" ref="F36:F39" si="7">+D36-E36</f>
        <v>5337</v>
      </c>
      <c r="G36" s="168">
        <v>44503</v>
      </c>
      <c r="H36" s="169">
        <v>44535</v>
      </c>
      <c r="I36" s="16" t="s">
        <v>44</v>
      </c>
      <c r="J36" s="16"/>
    </row>
    <row r="37" spans="1:10" x14ac:dyDescent="0.25">
      <c r="A37" s="166">
        <v>44505</v>
      </c>
      <c r="B37" s="16" t="s">
        <v>47</v>
      </c>
      <c r="C37" s="16" t="s">
        <v>98</v>
      </c>
      <c r="D37" s="167">
        <v>30550</v>
      </c>
      <c r="E37" s="167">
        <f t="shared" si="6"/>
        <v>3055</v>
      </c>
      <c r="F37" s="167">
        <f t="shared" si="7"/>
        <v>27495</v>
      </c>
      <c r="G37" s="168">
        <v>44503</v>
      </c>
      <c r="H37" s="169">
        <v>44550</v>
      </c>
      <c r="I37" s="16" t="s">
        <v>44</v>
      </c>
      <c r="J37" s="16"/>
    </row>
    <row r="38" spans="1:10" x14ac:dyDescent="0.25">
      <c r="A38" s="166">
        <v>44505</v>
      </c>
      <c r="B38" s="16" t="s">
        <v>74</v>
      </c>
      <c r="C38" s="16" t="s">
        <v>99</v>
      </c>
      <c r="D38" s="167">
        <v>2430</v>
      </c>
      <c r="E38" s="167">
        <f>+D38*10%</f>
        <v>243</v>
      </c>
      <c r="F38" s="167">
        <f>+D38-E38</f>
        <v>2187</v>
      </c>
      <c r="G38" s="170" t="s">
        <v>100</v>
      </c>
      <c r="H38" s="169">
        <v>44540</v>
      </c>
      <c r="I38" s="16" t="s">
        <v>44</v>
      </c>
      <c r="J38" s="16"/>
    </row>
    <row r="39" spans="1:10" x14ac:dyDescent="0.25">
      <c r="A39" s="166">
        <v>44505</v>
      </c>
      <c r="B39" s="16" t="s">
        <v>101</v>
      </c>
      <c r="C39" s="16" t="s">
        <v>102</v>
      </c>
      <c r="D39" s="167">
        <v>1900</v>
      </c>
      <c r="E39" s="167">
        <f t="shared" si="6"/>
        <v>190</v>
      </c>
      <c r="F39" s="167">
        <f t="shared" si="7"/>
        <v>1710</v>
      </c>
      <c r="G39" s="168">
        <v>44503</v>
      </c>
      <c r="H39" s="169">
        <v>44540</v>
      </c>
      <c r="I39" s="16" t="s">
        <v>44</v>
      </c>
      <c r="J39" s="16"/>
    </row>
    <row r="40" spans="1:10" x14ac:dyDescent="0.25">
      <c r="A40" s="166">
        <v>44535</v>
      </c>
      <c r="B40" s="16" t="s">
        <v>41</v>
      </c>
      <c r="C40" s="16" t="s">
        <v>103</v>
      </c>
      <c r="D40" s="167">
        <v>7533.39</v>
      </c>
      <c r="E40" s="167">
        <f>+D40*10%</f>
        <v>753.33900000000006</v>
      </c>
      <c r="F40" s="167">
        <f>+D40-E40</f>
        <v>6780.0510000000004</v>
      </c>
      <c r="G40" s="168">
        <v>44532</v>
      </c>
      <c r="H40" s="169" t="s">
        <v>104</v>
      </c>
      <c r="I40" s="16" t="s">
        <v>44</v>
      </c>
      <c r="J40" s="16"/>
    </row>
    <row r="41" spans="1:10" x14ac:dyDescent="0.25">
      <c r="A41" s="166">
        <v>44535</v>
      </c>
      <c r="B41" s="16" t="s">
        <v>105</v>
      </c>
      <c r="C41" s="16" t="s">
        <v>106</v>
      </c>
      <c r="D41" s="167">
        <v>2216.5</v>
      </c>
      <c r="E41" s="167">
        <f>+D41*10%</f>
        <v>221.65</v>
      </c>
      <c r="F41" s="167">
        <f>+D41-E41</f>
        <v>1994.85</v>
      </c>
      <c r="G41" s="168"/>
      <c r="H41" s="169"/>
      <c r="I41" s="16" t="s">
        <v>44</v>
      </c>
      <c r="J41" s="16"/>
    </row>
    <row r="42" spans="1:10" x14ac:dyDescent="0.25">
      <c r="A42" s="166">
        <v>44535</v>
      </c>
      <c r="B42" s="16" t="s">
        <v>49</v>
      </c>
      <c r="C42" s="16" t="s">
        <v>107</v>
      </c>
      <c r="D42" s="167">
        <v>12179</v>
      </c>
      <c r="E42" s="167">
        <f t="shared" ref="E42:E44" si="8">+D42*10%</f>
        <v>1217.9000000000001</v>
      </c>
      <c r="F42" s="167">
        <f t="shared" ref="F42:F44" si="9">+D42-E42</f>
        <v>10961.1</v>
      </c>
      <c r="G42" s="168">
        <v>44532</v>
      </c>
      <c r="H42" s="169">
        <v>44566</v>
      </c>
      <c r="I42" s="16" t="s">
        <v>44</v>
      </c>
      <c r="J42" s="16"/>
    </row>
    <row r="43" spans="1:10" x14ac:dyDescent="0.25">
      <c r="A43" s="166">
        <v>44535</v>
      </c>
      <c r="B43" s="16" t="s">
        <v>45</v>
      </c>
      <c r="C43" s="16" t="s">
        <v>108</v>
      </c>
      <c r="D43" s="167">
        <v>20310</v>
      </c>
      <c r="E43" s="167">
        <f t="shared" si="8"/>
        <v>2031</v>
      </c>
      <c r="F43" s="167">
        <f t="shared" si="9"/>
        <v>18279</v>
      </c>
      <c r="G43" s="168">
        <v>44532</v>
      </c>
      <c r="H43" s="169">
        <v>44566</v>
      </c>
      <c r="I43" s="16" t="s">
        <v>44</v>
      </c>
      <c r="J43" s="16"/>
    </row>
    <row r="44" spans="1:10" x14ac:dyDescent="0.25">
      <c r="A44" s="166">
        <v>44535</v>
      </c>
      <c r="B44" s="16" t="s">
        <v>47</v>
      </c>
      <c r="C44" s="16" t="s">
        <v>109</v>
      </c>
      <c r="D44" s="167">
        <v>30692.3</v>
      </c>
      <c r="E44" s="167">
        <f t="shared" si="8"/>
        <v>3069.23</v>
      </c>
      <c r="F44" s="167">
        <f t="shared" si="9"/>
        <v>27623.07</v>
      </c>
      <c r="G44" s="168">
        <v>44532</v>
      </c>
      <c r="H44" s="169">
        <v>44581</v>
      </c>
      <c r="I44" s="16" t="s">
        <v>44</v>
      </c>
      <c r="J44" s="16"/>
    </row>
    <row r="45" spans="1:10" x14ac:dyDescent="0.25">
      <c r="A45" s="166">
        <v>44535</v>
      </c>
      <c r="B45" s="16" t="s">
        <v>77</v>
      </c>
      <c r="C45" s="16" t="s">
        <v>110</v>
      </c>
      <c r="D45" s="167">
        <v>17021</v>
      </c>
      <c r="E45" s="167">
        <f>+D45*10%</f>
        <v>1702.1000000000001</v>
      </c>
      <c r="F45" s="167">
        <f>+D45-E45</f>
        <v>15318.9</v>
      </c>
      <c r="G45" s="170">
        <v>44532</v>
      </c>
      <c r="H45" s="169">
        <v>44571</v>
      </c>
      <c r="I45" s="16" t="s">
        <v>44</v>
      </c>
      <c r="J45" s="16"/>
    </row>
    <row r="46" spans="1:10" x14ac:dyDescent="0.25">
      <c r="A46" s="166">
        <v>44566</v>
      </c>
      <c r="B46" s="16" t="s">
        <v>41</v>
      </c>
      <c r="C46" s="16" t="s">
        <v>111</v>
      </c>
      <c r="D46" s="167">
        <v>61052.5</v>
      </c>
      <c r="E46" s="167">
        <f>+D46*10%</f>
        <v>6105.25</v>
      </c>
      <c r="F46" s="167">
        <f>+D46-E46</f>
        <v>54947.25</v>
      </c>
      <c r="G46" s="168">
        <v>44564</v>
      </c>
      <c r="H46" s="169" t="s">
        <v>112</v>
      </c>
      <c r="I46" s="16" t="s">
        <v>44</v>
      </c>
    </row>
    <row r="47" spans="1:10" x14ac:dyDescent="0.25">
      <c r="A47" s="166">
        <v>44566</v>
      </c>
      <c r="B47" s="16" t="s">
        <v>49</v>
      </c>
      <c r="C47" s="16" t="s">
        <v>113</v>
      </c>
      <c r="D47" s="167">
        <v>19778</v>
      </c>
      <c r="E47" s="167">
        <f t="shared" ref="E47:E49" si="10">+D47*10%</f>
        <v>1977.8000000000002</v>
      </c>
      <c r="F47" s="167">
        <f t="shared" ref="F47:F49" si="11">+D47-E47</f>
        <v>17800.2</v>
      </c>
      <c r="G47" s="168">
        <v>44564</v>
      </c>
      <c r="H47" s="169">
        <v>44597</v>
      </c>
      <c r="I47" s="16" t="s">
        <v>44</v>
      </c>
    </row>
    <row r="48" spans="1:10" x14ac:dyDescent="0.25">
      <c r="A48" s="166">
        <v>44566</v>
      </c>
      <c r="B48" s="16" t="s">
        <v>45</v>
      </c>
      <c r="C48" s="16" t="s">
        <v>114</v>
      </c>
      <c r="D48" s="167">
        <v>1000</v>
      </c>
      <c r="E48" s="167">
        <f t="shared" si="10"/>
        <v>100</v>
      </c>
      <c r="F48" s="167">
        <f t="shared" si="11"/>
        <v>900</v>
      </c>
      <c r="G48" s="168">
        <v>44564</v>
      </c>
      <c r="H48" s="169">
        <v>44597</v>
      </c>
      <c r="I48" s="16" t="s">
        <v>44</v>
      </c>
    </row>
    <row r="49" spans="1:10" x14ac:dyDescent="0.25">
      <c r="A49" s="166">
        <v>44566</v>
      </c>
      <c r="B49" s="16" t="s">
        <v>47</v>
      </c>
      <c r="C49" s="16" t="s">
        <v>115</v>
      </c>
      <c r="D49" s="167">
        <v>1958</v>
      </c>
      <c r="E49" s="167">
        <f t="shared" si="10"/>
        <v>195.8</v>
      </c>
      <c r="F49" s="167">
        <f t="shared" si="11"/>
        <v>1762.2</v>
      </c>
      <c r="G49" s="168">
        <v>44564</v>
      </c>
      <c r="H49" s="169">
        <v>44612</v>
      </c>
      <c r="I49" s="16" t="s">
        <v>44</v>
      </c>
    </row>
    <row r="50" spans="1:10" x14ac:dyDescent="0.25">
      <c r="A50" s="166">
        <v>44597</v>
      </c>
      <c r="B50" s="16" t="s">
        <v>41</v>
      </c>
      <c r="C50" s="16" t="s">
        <v>116</v>
      </c>
      <c r="D50" s="167">
        <v>80658</v>
      </c>
      <c r="E50" s="167">
        <f>+D50*10%</f>
        <v>8065.8</v>
      </c>
      <c r="F50" s="167">
        <f>+D50-E50</f>
        <v>72592.2</v>
      </c>
      <c r="G50" s="168">
        <v>44596</v>
      </c>
      <c r="H50" s="169" t="s">
        <v>117</v>
      </c>
      <c r="I50" s="16" t="s">
        <v>44</v>
      </c>
      <c r="J50" s="16"/>
    </row>
    <row r="51" spans="1:10" x14ac:dyDescent="0.25">
      <c r="A51" s="166">
        <v>44597</v>
      </c>
      <c r="B51" s="16" t="s">
        <v>49</v>
      </c>
      <c r="C51" s="16" t="s">
        <v>118</v>
      </c>
      <c r="D51" s="167">
        <v>1634</v>
      </c>
      <c r="E51" s="167">
        <f t="shared" ref="E51:E56" si="12">+D51*10%</f>
        <v>163.4</v>
      </c>
      <c r="F51" s="167">
        <f t="shared" ref="F51:F56" si="13">+D51-E51</f>
        <v>1470.6</v>
      </c>
      <c r="G51" s="168">
        <v>44596</v>
      </c>
      <c r="H51" s="169">
        <v>44625</v>
      </c>
      <c r="I51" s="16" t="s">
        <v>44</v>
      </c>
      <c r="J51" s="16"/>
    </row>
    <row r="52" spans="1:10" x14ac:dyDescent="0.25">
      <c r="A52" s="166">
        <v>44597</v>
      </c>
      <c r="B52" s="16" t="s">
        <v>45</v>
      </c>
      <c r="C52" s="16" t="s">
        <v>119</v>
      </c>
      <c r="D52" s="167">
        <v>20778</v>
      </c>
      <c r="E52" s="167">
        <f t="shared" si="12"/>
        <v>2077.8000000000002</v>
      </c>
      <c r="F52" s="167">
        <f t="shared" si="13"/>
        <v>18700.2</v>
      </c>
      <c r="G52" s="168">
        <v>44596</v>
      </c>
      <c r="H52" s="169">
        <v>44625</v>
      </c>
      <c r="I52" s="16" t="s">
        <v>44</v>
      </c>
      <c r="J52" s="16"/>
    </row>
    <row r="53" spans="1:10" x14ac:dyDescent="0.25">
      <c r="A53" s="166">
        <v>44597</v>
      </c>
      <c r="B53" s="16" t="s">
        <v>47</v>
      </c>
      <c r="C53" s="16" t="s">
        <v>120</v>
      </c>
      <c r="D53" s="167">
        <v>4780</v>
      </c>
      <c r="E53" s="167">
        <f t="shared" si="12"/>
        <v>478</v>
      </c>
      <c r="F53" s="167">
        <f t="shared" si="13"/>
        <v>4302</v>
      </c>
      <c r="G53" s="168">
        <v>44596</v>
      </c>
      <c r="H53" s="169">
        <v>44640</v>
      </c>
      <c r="I53" s="16" t="s">
        <v>44</v>
      </c>
      <c r="J53" s="16"/>
    </row>
    <row r="54" spans="1:10" x14ac:dyDescent="0.25">
      <c r="A54" s="166">
        <v>44597</v>
      </c>
      <c r="B54" s="16" t="s">
        <v>77</v>
      </c>
      <c r="C54" s="16" t="s">
        <v>121</v>
      </c>
      <c r="D54" s="167">
        <v>28100</v>
      </c>
      <c r="E54" s="167">
        <f t="shared" si="12"/>
        <v>2810</v>
      </c>
      <c r="F54" s="167">
        <f t="shared" si="13"/>
        <v>25290</v>
      </c>
      <c r="G54" s="168">
        <v>44596</v>
      </c>
      <c r="H54" s="169">
        <v>44641</v>
      </c>
      <c r="I54" s="16" t="s">
        <v>44</v>
      </c>
      <c r="J54" s="16"/>
    </row>
    <row r="55" spans="1:10" x14ac:dyDescent="0.25">
      <c r="A55" s="166">
        <v>44597</v>
      </c>
      <c r="B55" s="16" t="s">
        <v>70</v>
      </c>
      <c r="C55" s="16" t="s">
        <v>122</v>
      </c>
      <c r="D55" s="167">
        <v>4500</v>
      </c>
      <c r="E55" s="167">
        <f t="shared" si="12"/>
        <v>450</v>
      </c>
      <c r="F55" s="167">
        <f t="shared" si="13"/>
        <v>4050</v>
      </c>
      <c r="G55" s="168">
        <v>44596</v>
      </c>
      <c r="H55" s="169">
        <v>44642</v>
      </c>
      <c r="I55" s="16" t="s">
        <v>44</v>
      </c>
      <c r="J55" s="16"/>
    </row>
    <row r="56" spans="1:10" x14ac:dyDescent="0.25">
      <c r="A56" s="166">
        <v>44597</v>
      </c>
      <c r="B56" s="16" t="s">
        <v>123</v>
      </c>
      <c r="C56" s="16" t="s">
        <v>124</v>
      </c>
      <c r="D56" s="167">
        <v>3240</v>
      </c>
      <c r="E56" s="167">
        <f t="shared" si="12"/>
        <v>324</v>
      </c>
      <c r="F56" s="167">
        <f t="shared" si="13"/>
        <v>2916</v>
      </c>
      <c r="G56" s="168">
        <v>44596</v>
      </c>
      <c r="H56" s="169">
        <v>44643</v>
      </c>
      <c r="I56" s="16" t="s">
        <v>44</v>
      </c>
      <c r="J56" s="16"/>
    </row>
    <row r="57" spans="1:10" x14ac:dyDescent="0.25">
      <c r="A57" s="166">
        <v>44625</v>
      </c>
      <c r="B57" s="16" t="s">
        <v>41</v>
      </c>
      <c r="C57" s="16" t="s">
        <v>125</v>
      </c>
      <c r="D57" s="167">
        <v>9390</v>
      </c>
      <c r="E57" s="167">
        <f>+D57*10%</f>
        <v>939</v>
      </c>
      <c r="F57" s="167">
        <f>+D57-E57</f>
        <v>8451</v>
      </c>
      <c r="G57" s="168">
        <v>44596</v>
      </c>
      <c r="H57" s="169" t="s">
        <v>117</v>
      </c>
      <c r="I57" s="16" t="s">
        <v>44</v>
      </c>
      <c r="J57" s="16"/>
    </row>
    <row r="58" spans="1:10" x14ac:dyDescent="0.25">
      <c r="A58" s="166">
        <v>44625</v>
      </c>
      <c r="B58" s="16" t="s">
        <v>49</v>
      </c>
      <c r="C58" s="16" t="s">
        <v>126</v>
      </c>
      <c r="D58" s="167">
        <v>27015</v>
      </c>
      <c r="E58" s="167">
        <f t="shared" ref="E58:E62" si="14">+D58*10%</f>
        <v>2701.5</v>
      </c>
      <c r="F58" s="167">
        <f t="shared" ref="F58:F62" si="15">+D58-E58</f>
        <v>24313.5</v>
      </c>
      <c r="G58" s="168">
        <v>44596</v>
      </c>
      <c r="H58" s="169">
        <v>44625</v>
      </c>
      <c r="I58" s="16" t="s">
        <v>44</v>
      </c>
      <c r="J58" s="16"/>
    </row>
    <row r="59" spans="1:10" x14ac:dyDescent="0.25">
      <c r="A59" s="166">
        <v>44625</v>
      </c>
      <c r="B59" s="16" t="s">
        <v>45</v>
      </c>
      <c r="C59" s="16" t="s">
        <v>127</v>
      </c>
      <c r="D59" s="167">
        <v>3340</v>
      </c>
      <c r="E59" s="167">
        <f t="shared" si="14"/>
        <v>334</v>
      </c>
      <c r="F59" s="167">
        <f t="shared" si="15"/>
        <v>3006</v>
      </c>
      <c r="G59" s="168">
        <v>44596</v>
      </c>
      <c r="H59" s="169">
        <v>44625</v>
      </c>
      <c r="I59" s="16" t="s">
        <v>44</v>
      </c>
      <c r="J59" s="16"/>
    </row>
    <row r="60" spans="1:10" x14ac:dyDescent="0.25">
      <c r="A60" s="166">
        <v>44625</v>
      </c>
      <c r="B60" s="16" t="s">
        <v>47</v>
      </c>
      <c r="C60" s="16" t="s">
        <v>128</v>
      </c>
      <c r="D60" s="167">
        <f>13475.35+28281.96</f>
        <v>41757.31</v>
      </c>
      <c r="E60" s="167">
        <f t="shared" si="14"/>
        <v>4175.7309999999998</v>
      </c>
      <c r="F60" s="167">
        <f t="shared" si="15"/>
        <v>37581.578999999998</v>
      </c>
      <c r="G60" s="168">
        <v>44596</v>
      </c>
      <c r="H60" s="169">
        <v>44640</v>
      </c>
      <c r="I60" s="16" t="s">
        <v>44</v>
      </c>
      <c r="J60" s="16"/>
    </row>
    <row r="61" spans="1:10" x14ac:dyDescent="0.25">
      <c r="A61" s="166">
        <v>44625</v>
      </c>
      <c r="B61" s="16" t="s">
        <v>77</v>
      </c>
      <c r="C61" s="16" t="s">
        <v>129</v>
      </c>
      <c r="D61" s="167">
        <v>2950</v>
      </c>
      <c r="E61" s="167">
        <f t="shared" si="14"/>
        <v>295</v>
      </c>
      <c r="F61" s="167">
        <f t="shared" si="15"/>
        <v>2655</v>
      </c>
      <c r="G61" s="168">
        <v>44596</v>
      </c>
      <c r="H61" s="169">
        <v>44641</v>
      </c>
      <c r="I61" s="16" t="s">
        <v>44</v>
      </c>
      <c r="J61" s="16"/>
    </row>
    <row r="62" spans="1:10" x14ac:dyDescent="0.25">
      <c r="A62" s="166">
        <v>44625</v>
      </c>
      <c r="B62" s="16" t="s">
        <v>130</v>
      </c>
      <c r="C62" s="16" t="s">
        <v>131</v>
      </c>
      <c r="D62" s="167">
        <v>10450</v>
      </c>
      <c r="E62" s="167">
        <f t="shared" si="14"/>
        <v>1045</v>
      </c>
      <c r="F62" s="167">
        <f t="shared" si="15"/>
        <v>9405</v>
      </c>
      <c r="G62" s="168">
        <v>44596</v>
      </c>
      <c r="H62" s="169">
        <v>44642</v>
      </c>
      <c r="I62" s="16" t="s">
        <v>44</v>
      </c>
      <c r="J62" s="16"/>
    </row>
    <row r="63" spans="1:10" x14ac:dyDescent="0.25">
      <c r="A63" s="166">
        <v>44625</v>
      </c>
      <c r="B63" t="s">
        <v>132</v>
      </c>
      <c r="C63" t="s">
        <v>133</v>
      </c>
      <c r="D63" s="171"/>
      <c r="E63" s="171"/>
      <c r="F63" s="171"/>
      <c r="G63" s="166"/>
      <c r="H63" s="172"/>
      <c r="I63" s="16" t="s">
        <v>44</v>
      </c>
    </row>
    <row r="64" spans="1:10" x14ac:dyDescent="0.25">
      <c r="A64" s="166">
        <v>44656</v>
      </c>
      <c r="B64" s="16" t="s">
        <v>41</v>
      </c>
      <c r="C64" s="16" t="s">
        <v>134</v>
      </c>
      <c r="D64" s="167">
        <v>74150</v>
      </c>
      <c r="E64" s="167">
        <f>+D64*10%</f>
        <v>7415</v>
      </c>
      <c r="F64" s="167">
        <f>+D64-E64</f>
        <v>66735</v>
      </c>
      <c r="G64" s="168">
        <v>44655</v>
      </c>
      <c r="H64" s="169" t="s">
        <v>135</v>
      </c>
      <c r="I64" s="16" t="s">
        <v>44</v>
      </c>
      <c r="J64" s="16"/>
    </row>
    <row r="65" spans="1:10" x14ac:dyDescent="0.25">
      <c r="A65" s="166">
        <v>44656</v>
      </c>
      <c r="B65" s="16" t="s">
        <v>49</v>
      </c>
      <c r="C65" s="16" t="s">
        <v>136</v>
      </c>
      <c r="D65" s="167">
        <f>60310.8+20412</f>
        <v>80722.8</v>
      </c>
      <c r="E65" s="167">
        <f t="shared" ref="E65:E68" si="16">+D65*10%</f>
        <v>8072.2800000000007</v>
      </c>
      <c r="F65" s="167">
        <f t="shared" ref="F65:F68" si="17">+D65-E65</f>
        <v>72650.52</v>
      </c>
      <c r="G65" s="168">
        <v>44655</v>
      </c>
      <c r="H65" s="169">
        <v>44686</v>
      </c>
      <c r="I65" s="16" t="s">
        <v>44</v>
      </c>
      <c r="J65" s="16"/>
    </row>
    <row r="66" spans="1:10" x14ac:dyDescent="0.25">
      <c r="A66" s="166">
        <v>44656</v>
      </c>
      <c r="B66" s="16" t="s">
        <v>45</v>
      </c>
      <c r="C66" s="16" t="s">
        <v>137</v>
      </c>
      <c r="D66" s="167">
        <f>24472-20412</f>
        <v>4060</v>
      </c>
      <c r="E66" s="167">
        <f t="shared" si="16"/>
        <v>406</v>
      </c>
      <c r="F66" s="167">
        <f t="shared" si="17"/>
        <v>3654</v>
      </c>
      <c r="G66" s="168">
        <v>44655</v>
      </c>
      <c r="H66" s="169">
        <v>44686</v>
      </c>
      <c r="I66" s="16" t="s">
        <v>44</v>
      </c>
      <c r="J66" s="16"/>
    </row>
    <row r="67" spans="1:10" x14ac:dyDescent="0.25">
      <c r="A67" s="166">
        <v>44656</v>
      </c>
      <c r="B67" s="16" t="s">
        <v>47</v>
      </c>
      <c r="C67" s="16" t="s">
        <v>138</v>
      </c>
      <c r="D67" s="167">
        <v>9375</v>
      </c>
      <c r="E67" s="167">
        <f t="shared" si="16"/>
        <v>937.5</v>
      </c>
      <c r="F67" s="167">
        <f t="shared" si="17"/>
        <v>8437.5</v>
      </c>
      <c r="G67" s="168">
        <v>44596</v>
      </c>
      <c r="H67" s="169">
        <v>44640</v>
      </c>
      <c r="I67" s="16" t="s">
        <v>44</v>
      </c>
      <c r="J67" s="16"/>
    </row>
    <row r="68" spans="1:10" x14ac:dyDescent="0.25">
      <c r="A68" s="166">
        <v>44656</v>
      </c>
      <c r="B68" s="16" t="s">
        <v>130</v>
      </c>
      <c r="C68" s="16" t="s">
        <v>139</v>
      </c>
      <c r="D68" s="167">
        <v>20310</v>
      </c>
      <c r="E68" s="167">
        <f t="shared" si="16"/>
        <v>2031</v>
      </c>
      <c r="F68" s="167">
        <f t="shared" si="17"/>
        <v>18279</v>
      </c>
      <c r="G68" s="168">
        <v>44596</v>
      </c>
      <c r="H68" s="169">
        <v>44642</v>
      </c>
      <c r="I68" s="16" t="s">
        <v>44</v>
      </c>
      <c r="J68" s="16"/>
    </row>
    <row r="69" spans="1:10" x14ac:dyDescent="0.25">
      <c r="A69" s="166">
        <v>44686</v>
      </c>
      <c r="B69" s="16" t="s">
        <v>41</v>
      </c>
      <c r="C69" s="16" t="s">
        <v>140</v>
      </c>
      <c r="D69" s="167">
        <v>68432</v>
      </c>
      <c r="E69" s="167">
        <f>+D69*10%</f>
        <v>6843.2000000000007</v>
      </c>
      <c r="F69" s="167">
        <f>+D69-E69</f>
        <v>61588.800000000003</v>
      </c>
      <c r="G69" s="168">
        <v>44685</v>
      </c>
      <c r="H69" s="169" t="s">
        <v>141</v>
      </c>
      <c r="I69" s="16" t="s">
        <v>44</v>
      </c>
      <c r="J69" s="16"/>
    </row>
    <row r="70" spans="1:10" x14ac:dyDescent="0.25">
      <c r="A70" s="166">
        <v>44686</v>
      </c>
      <c r="B70" s="16" t="s">
        <v>49</v>
      </c>
      <c r="C70" s="16" t="s">
        <v>142</v>
      </c>
      <c r="D70" s="167">
        <v>26381</v>
      </c>
      <c r="E70" s="167">
        <f t="shared" ref="E70:E74" si="18">+D70*10%</f>
        <v>2638.1000000000004</v>
      </c>
      <c r="F70" s="167">
        <f t="shared" ref="F70:F74" si="19">+D70-E70</f>
        <v>23742.9</v>
      </c>
      <c r="G70" s="168">
        <v>44685</v>
      </c>
      <c r="H70" s="169">
        <v>44717</v>
      </c>
      <c r="I70" s="16" t="s">
        <v>44</v>
      </c>
      <c r="J70" s="16"/>
    </row>
    <row r="71" spans="1:10" x14ac:dyDescent="0.25">
      <c r="A71" s="166">
        <v>44686</v>
      </c>
      <c r="B71" s="16" t="s">
        <v>45</v>
      </c>
      <c r="C71" s="16" t="s">
        <v>143</v>
      </c>
      <c r="D71" s="167">
        <v>20412</v>
      </c>
      <c r="E71" s="167">
        <f t="shared" si="18"/>
        <v>2041.2</v>
      </c>
      <c r="F71" s="167">
        <f t="shared" si="19"/>
        <v>18370.8</v>
      </c>
      <c r="G71" s="168">
        <v>44685</v>
      </c>
      <c r="H71" s="169">
        <v>44717</v>
      </c>
      <c r="I71" s="16" t="s">
        <v>44</v>
      </c>
      <c r="J71" s="16"/>
    </row>
    <row r="72" spans="1:10" x14ac:dyDescent="0.25">
      <c r="A72" s="166">
        <v>44686</v>
      </c>
      <c r="B72" s="16" t="s">
        <v>47</v>
      </c>
      <c r="C72" s="16" t="s">
        <v>144</v>
      </c>
      <c r="D72" s="167">
        <v>22176</v>
      </c>
      <c r="E72" s="167">
        <f t="shared" si="18"/>
        <v>2217.6</v>
      </c>
      <c r="F72" s="167">
        <f t="shared" si="19"/>
        <v>19958.400000000001</v>
      </c>
      <c r="G72" s="168">
        <v>44685</v>
      </c>
      <c r="H72" s="169">
        <v>44732</v>
      </c>
      <c r="I72" s="16" t="s">
        <v>44</v>
      </c>
      <c r="J72" s="16"/>
    </row>
    <row r="73" spans="1:10" x14ac:dyDescent="0.25">
      <c r="A73" s="166">
        <v>44686</v>
      </c>
      <c r="B73" s="16" t="s">
        <v>101</v>
      </c>
      <c r="C73" s="16" t="s">
        <v>145</v>
      </c>
      <c r="D73" s="167">
        <v>4975</v>
      </c>
      <c r="E73" s="167">
        <f t="shared" si="18"/>
        <v>497.5</v>
      </c>
      <c r="F73" s="167">
        <f t="shared" si="19"/>
        <v>4477.5</v>
      </c>
      <c r="G73" s="168">
        <v>44685</v>
      </c>
      <c r="H73" s="169">
        <v>44734</v>
      </c>
      <c r="I73" s="16" t="s">
        <v>44</v>
      </c>
      <c r="J73" s="16"/>
    </row>
    <row r="74" spans="1:10" x14ac:dyDescent="0.25">
      <c r="A74" s="166">
        <v>44686</v>
      </c>
      <c r="B74" s="16" t="s">
        <v>83</v>
      </c>
      <c r="C74" s="16" t="s">
        <v>146</v>
      </c>
      <c r="D74" s="167">
        <v>2800</v>
      </c>
      <c r="E74" s="167">
        <f t="shared" si="18"/>
        <v>280</v>
      </c>
      <c r="F74" s="167">
        <f t="shared" si="19"/>
        <v>2520</v>
      </c>
      <c r="G74" s="168">
        <v>44685</v>
      </c>
      <c r="H74" s="169">
        <v>44722</v>
      </c>
      <c r="I74" s="16" t="s">
        <v>44</v>
      </c>
      <c r="J74" s="16"/>
    </row>
    <row r="75" spans="1:10" x14ac:dyDescent="0.25">
      <c r="A75" s="166">
        <v>44717</v>
      </c>
      <c r="B75" s="16" t="s">
        <v>41</v>
      </c>
      <c r="C75" s="16" t="s">
        <v>147</v>
      </c>
      <c r="D75" s="167">
        <v>8320</v>
      </c>
      <c r="E75" s="167">
        <f>+D75*10%</f>
        <v>832</v>
      </c>
      <c r="F75" s="167">
        <f>+D75-E75</f>
        <v>7488</v>
      </c>
      <c r="G75" s="168">
        <v>44714</v>
      </c>
      <c r="H75" s="169" t="s">
        <v>148</v>
      </c>
      <c r="I75" s="16" t="s">
        <v>44</v>
      </c>
    </row>
    <row r="76" spans="1:10" x14ac:dyDescent="0.25">
      <c r="A76" s="166">
        <v>44717</v>
      </c>
      <c r="B76" s="16" t="s">
        <v>49</v>
      </c>
      <c r="C76" s="16" t="s">
        <v>149</v>
      </c>
      <c r="D76" s="167">
        <v>4036</v>
      </c>
      <c r="E76" s="167">
        <f t="shared" ref="E76:E81" si="20">+D76*10%</f>
        <v>403.6</v>
      </c>
      <c r="F76" s="167">
        <f t="shared" ref="F76:F81" si="21">+D76-E76</f>
        <v>3632.4</v>
      </c>
      <c r="G76" s="168">
        <v>44714</v>
      </c>
      <c r="H76" s="169">
        <v>44747</v>
      </c>
      <c r="I76" s="16" t="s">
        <v>44</v>
      </c>
    </row>
    <row r="77" spans="1:10" x14ac:dyDescent="0.25">
      <c r="A77" s="166">
        <v>44717</v>
      </c>
      <c r="B77" s="16" t="s">
        <v>45</v>
      </c>
      <c r="C77" s="16" t="s">
        <v>150</v>
      </c>
      <c r="D77" s="167">
        <v>8854</v>
      </c>
      <c r="E77" s="167">
        <f t="shared" si="20"/>
        <v>885.40000000000009</v>
      </c>
      <c r="F77" s="167">
        <f t="shared" si="21"/>
        <v>7968.6</v>
      </c>
      <c r="G77" s="168">
        <v>44714</v>
      </c>
      <c r="H77" s="169">
        <v>44747</v>
      </c>
      <c r="I77" s="16" t="s">
        <v>44</v>
      </c>
    </row>
    <row r="78" spans="1:10" x14ac:dyDescent="0.25">
      <c r="A78" s="166">
        <v>44717</v>
      </c>
      <c r="B78" s="16" t="s">
        <v>47</v>
      </c>
      <c r="C78" s="16" t="s">
        <v>151</v>
      </c>
      <c r="D78" s="167">
        <v>8910</v>
      </c>
      <c r="E78" s="167">
        <f t="shared" si="20"/>
        <v>891</v>
      </c>
      <c r="F78" s="167">
        <f t="shared" si="21"/>
        <v>8019</v>
      </c>
      <c r="G78" s="168">
        <v>44714</v>
      </c>
      <c r="H78" s="169">
        <v>44762</v>
      </c>
      <c r="I78" s="16" t="s">
        <v>44</v>
      </c>
      <c r="J78" s="38"/>
    </row>
    <row r="79" spans="1:10" x14ac:dyDescent="0.25">
      <c r="A79" s="166">
        <v>44717</v>
      </c>
      <c r="B79" s="16" t="s">
        <v>101</v>
      </c>
      <c r="C79" s="16" t="s">
        <v>152</v>
      </c>
      <c r="D79" s="167">
        <v>5472</v>
      </c>
      <c r="E79" s="167">
        <f t="shared" si="20"/>
        <v>547.20000000000005</v>
      </c>
      <c r="F79" s="167">
        <f t="shared" si="21"/>
        <v>4924.8</v>
      </c>
      <c r="G79" s="168">
        <v>44714</v>
      </c>
      <c r="H79" s="169">
        <v>44764</v>
      </c>
      <c r="I79" s="16" t="s">
        <v>44</v>
      </c>
    </row>
    <row r="80" spans="1:10" x14ac:dyDescent="0.25">
      <c r="A80" s="166">
        <v>44717</v>
      </c>
      <c r="B80" s="16" t="s">
        <v>153</v>
      </c>
      <c r="C80" s="16" t="s">
        <v>154</v>
      </c>
      <c r="D80" s="167">
        <v>2577</v>
      </c>
      <c r="E80" s="167">
        <f t="shared" si="20"/>
        <v>257.7</v>
      </c>
      <c r="F80" s="167">
        <f t="shared" si="21"/>
        <v>2319.3000000000002</v>
      </c>
      <c r="G80" s="168">
        <v>44714</v>
      </c>
      <c r="H80" s="169">
        <v>44752</v>
      </c>
      <c r="I80" s="16" t="s">
        <v>44</v>
      </c>
      <c r="J80" s="16"/>
    </row>
    <row r="81" spans="1:10" x14ac:dyDescent="0.25">
      <c r="A81" s="166">
        <v>44717</v>
      </c>
      <c r="B81" s="16" t="s">
        <v>155</v>
      </c>
      <c r="C81" s="16" t="s">
        <v>156</v>
      </c>
      <c r="D81" s="167">
        <v>6210</v>
      </c>
      <c r="E81" s="167">
        <f t="shared" si="20"/>
        <v>621</v>
      </c>
      <c r="F81" s="167">
        <f t="shared" si="21"/>
        <v>5589</v>
      </c>
      <c r="G81" s="168"/>
      <c r="H81" s="169"/>
      <c r="I81" s="16" t="s">
        <v>44</v>
      </c>
    </row>
    <row r="82" spans="1:10" x14ac:dyDescent="0.25">
      <c r="A82" s="166">
        <v>44717</v>
      </c>
      <c r="B82" t="s">
        <v>157</v>
      </c>
      <c r="C82" t="s">
        <v>158</v>
      </c>
      <c r="D82" s="171"/>
      <c r="E82" s="171"/>
      <c r="F82" s="171"/>
      <c r="G82" s="166"/>
      <c r="H82" s="172"/>
      <c r="I82" s="16" t="s">
        <v>44</v>
      </c>
    </row>
    <row r="83" spans="1:10" x14ac:dyDescent="0.25">
      <c r="A83" s="166">
        <v>44717</v>
      </c>
      <c r="B83" t="s">
        <v>157</v>
      </c>
      <c r="C83" t="s">
        <v>159</v>
      </c>
      <c r="D83" s="171"/>
      <c r="E83" s="171"/>
      <c r="F83" s="171"/>
      <c r="G83" s="166"/>
      <c r="H83" s="172"/>
      <c r="I83" s="16" t="s">
        <v>44</v>
      </c>
    </row>
    <row r="84" spans="1:10" x14ac:dyDescent="0.25">
      <c r="A84" s="166">
        <v>44747</v>
      </c>
      <c r="B84" s="16" t="s">
        <v>41</v>
      </c>
      <c r="C84" s="16" t="s">
        <v>160</v>
      </c>
      <c r="D84" s="167">
        <v>42368</v>
      </c>
      <c r="E84" s="167">
        <f>+D84*10%</f>
        <v>4236.8</v>
      </c>
      <c r="F84" s="167">
        <f>+D84-E84</f>
        <v>38131.199999999997</v>
      </c>
      <c r="G84" s="168">
        <v>44747</v>
      </c>
      <c r="H84" s="169" t="s">
        <v>43</v>
      </c>
      <c r="I84" s="16" t="s">
        <v>44</v>
      </c>
      <c r="J84" s="16"/>
    </row>
    <row r="85" spans="1:10" x14ac:dyDescent="0.25">
      <c r="A85" s="166">
        <v>44747</v>
      </c>
      <c r="B85" s="16" t="s">
        <v>49</v>
      </c>
      <c r="C85" s="16" t="s">
        <v>161</v>
      </c>
      <c r="D85" s="167">
        <v>8650</v>
      </c>
      <c r="E85" s="167">
        <f t="shared" ref="E85:E89" si="22">+D85*10%</f>
        <v>865</v>
      </c>
      <c r="F85" s="167">
        <f t="shared" ref="F85:F89" si="23">+D85-E85</f>
        <v>7785</v>
      </c>
      <c r="G85" s="168">
        <v>44747</v>
      </c>
      <c r="H85" s="169">
        <v>44778</v>
      </c>
      <c r="I85" s="16" t="s">
        <v>44</v>
      </c>
      <c r="J85" s="16"/>
    </row>
    <row r="86" spans="1:10" x14ac:dyDescent="0.25">
      <c r="A86" s="166">
        <v>44747</v>
      </c>
      <c r="B86" s="16" t="s">
        <v>45</v>
      </c>
      <c r="C86" s="16" t="s">
        <v>162</v>
      </c>
      <c r="D86" s="167">
        <v>11648</v>
      </c>
      <c r="E86" s="167">
        <f t="shared" si="22"/>
        <v>1164.8</v>
      </c>
      <c r="F86" s="167">
        <f t="shared" si="23"/>
        <v>10483.200000000001</v>
      </c>
      <c r="G86" s="168">
        <v>44747</v>
      </c>
      <c r="H86" s="169">
        <v>44778</v>
      </c>
      <c r="I86" s="16" t="s">
        <v>44</v>
      </c>
      <c r="J86" s="16"/>
    </row>
    <row r="87" spans="1:10" x14ac:dyDescent="0.25">
      <c r="A87" s="166">
        <v>44747</v>
      </c>
      <c r="B87" s="16" t="s">
        <v>47</v>
      </c>
      <c r="C87" s="16" t="s">
        <v>163</v>
      </c>
      <c r="D87" s="167">
        <v>5302</v>
      </c>
      <c r="E87" s="167">
        <f t="shared" si="22"/>
        <v>530.20000000000005</v>
      </c>
      <c r="F87" s="167">
        <f t="shared" si="23"/>
        <v>4771.8</v>
      </c>
      <c r="G87" s="168">
        <v>44747</v>
      </c>
      <c r="H87" s="169">
        <v>44793</v>
      </c>
      <c r="I87" s="16" t="s">
        <v>44</v>
      </c>
      <c r="J87" s="16"/>
    </row>
    <row r="88" spans="1:10" x14ac:dyDescent="0.25">
      <c r="A88" s="166">
        <v>44747</v>
      </c>
      <c r="B88" s="16" t="s">
        <v>164</v>
      </c>
      <c r="C88" s="16" t="s">
        <v>165</v>
      </c>
      <c r="D88" s="167">
        <v>2430</v>
      </c>
      <c r="E88" s="167">
        <f t="shared" si="22"/>
        <v>243</v>
      </c>
      <c r="F88" s="167">
        <f t="shared" si="23"/>
        <v>2187</v>
      </c>
      <c r="G88" s="168">
        <v>44747</v>
      </c>
      <c r="H88" s="169">
        <v>44795</v>
      </c>
      <c r="I88" s="16" t="s">
        <v>44</v>
      </c>
      <c r="J88" s="16"/>
    </row>
    <row r="89" spans="1:10" x14ac:dyDescent="0.25">
      <c r="A89" s="166">
        <v>44747</v>
      </c>
      <c r="B89" s="16" t="s">
        <v>77</v>
      </c>
      <c r="C89" s="16" t="s">
        <v>166</v>
      </c>
      <c r="D89" s="167">
        <v>2592</v>
      </c>
      <c r="E89" s="167">
        <f t="shared" si="22"/>
        <v>259.2</v>
      </c>
      <c r="F89" s="167">
        <f t="shared" si="23"/>
        <v>2332.8000000000002</v>
      </c>
      <c r="G89" s="168">
        <v>44747</v>
      </c>
      <c r="H89" s="169">
        <v>44783</v>
      </c>
      <c r="I89" s="16" t="s">
        <v>44</v>
      </c>
      <c r="J89" s="16"/>
    </row>
    <row r="90" spans="1:10" x14ac:dyDescent="0.25">
      <c r="A90" s="166">
        <v>44778</v>
      </c>
      <c r="B90" s="16" t="s">
        <v>41</v>
      </c>
      <c r="C90" s="16" t="s">
        <v>167</v>
      </c>
      <c r="D90" s="167">
        <v>88600</v>
      </c>
      <c r="E90" s="167">
        <f>+D90*10%</f>
        <v>8860</v>
      </c>
      <c r="F90" s="167">
        <f>+D90-E90</f>
        <v>79740</v>
      </c>
      <c r="G90" s="168">
        <v>44777</v>
      </c>
      <c r="H90" s="169" t="s">
        <v>168</v>
      </c>
      <c r="I90" s="16" t="s">
        <v>44</v>
      </c>
      <c r="J90" s="16"/>
    </row>
    <row r="91" spans="1:10" x14ac:dyDescent="0.25">
      <c r="A91" s="166">
        <v>44778</v>
      </c>
      <c r="B91" s="16" t="s">
        <v>49</v>
      </c>
      <c r="C91" s="16" t="s">
        <v>169</v>
      </c>
      <c r="D91" s="167">
        <v>100773.5</v>
      </c>
      <c r="E91" s="167">
        <f t="shared" ref="E91:E95" si="24">+D91*10%</f>
        <v>10077.35</v>
      </c>
      <c r="F91" s="167">
        <f t="shared" ref="F91:F95" si="25">+D91-E91</f>
        <v>90696.15</v>
      </c>
      <c r="G91" s="168">
        <v>44777</v>
      </c>
      <c r="H91" s="169">
        <v>44809</v>
      </c>
      <c r="I91" s="16" t="s">
        <v>44</v>
      </c>
      <c r="J91" s="16"/>
    </row>
    <row r="92" spans="1:10" x14ac:dyDescent="0.25">
      <c r="A92" s="166">
        <v>44778</v>
      </c>
      <c r="B92" s="14" t="s">
        <v>47</v>
      </c>
      <c r="C92" s="14" t="s">
        <v>170</v>
      </c>
      <c r="D92" s="173">
        <v>50021.96</v>
      </c>
      <c r="E92" s="173">
        <f t="shared" si="24"/>
        <v>5002.1959999999999</v>
      </c>
      <c r="F92" s="173">
        <f t="shared" si="25"/>
        <v>45019.763999999996</v>
      </c>
      <c r="G92" s="174">
        <v>44777</v>
      </c>
      <c r="H92" s="175">
        <v>44824</v>
      </c>
      <c r="I92" s="16" t="s">
        <v>44</v>
      </c>
      <c r="J92" s="14" t="s">
        <v>171</v>
      </c>
    </row>
    <row r="93" spans="1:10" x14ac:dyDescent="0.25">
      <c r="A93" s="166">
        <v>44778</v>
      </c>
      <c r="B93" s="16" t="s">
        <v>155</v>
      </c>
      <c r="C93" s="16" t="s">
        <v>172</v>
      </c>
      <c r="D93" s="167">
        <v>20300</v>
      </c>
      <c r="E93" s="167">
        <f t="shared" si="24"/>
        <v>2030</v>
      </c>
      <c r="F93" s="167">
        <f t="shared" si="25"/>
        <v>18270</v>
      </c>
      <c r="G93" s="168">
        <v>44777</v>
      </c>
      <c r="H93" s="169">
        <v>44826</v>
      </c>
      <c r="I93" s="16" t="s">
        <v>44</v>
      </c>
      <c r="J93" s="16"/>
    </row>
    <row r="94" spans="1:10" x14ac:dyDescent="0.25">
      <c r="A94" s="166">
        <v>44778</v>
      </c>
      <c r="B94" s="16" t="s">
        <v>130</v>
      </c>
      <c r="C94" s="16" t="s">
        <v>173</v>
      </c>
      <c r="D94" s="167">
        <v>12394.4</v>
      </c>
      <c r="E94" s="167">
        <f t="shared" si="24"/>
        <v>1239.44</v>
      </c>
      <c r="F94" s="167">
        <f t="shared" si="25"/>
        <v>11154.96</v>
      </c>
      <c r="G94" s="168">
        <v>44777</v>
      </c>
      <c r="H94" s="169">
        <v>44809</v>
      </c>
      <c r="I94" s="16" t="s">
        <v>44</v>
      </c>
      <c r="J94" s="16"/>
    </row>
    <row r="95" spans="1:10" x14ac:dyDescent="0.25">
      <c r="A95" s="166">
        <v>44778</v>
      </c>
      <c r="B95" s="38" t="s">
        <v>174</v>
      </c>
      <c r="C95" s="38" t="s">
        <v>175</v>
      </c>
      <c r="D95" s="176">
        <v>1560</v>
      </c>
      <c r="E95" s="176">
        <f t="shared" si="24"/>
        <v>156</v>
      </c>
      <c r="F95" s="176">
        <f t="shared" si="25"/>
        <v>1404</v>
      </c>
      <c r="G95" s="177">
        <v>44777</v>
      </c>
      <c r="H95" s="178">
        <v>44809</v>
      </c>
      <c r="I95" s="16" t="s">
        <v>44</v>
      </c>
      <c r="J95" s="38"/>
    </row>
    <row r="96" spans="1:10" x14ac:dyDescent="0.25">
      <c r="A96" s="166">
        <v>44809</v>
      </c>
      <c r="B96" s="16" t="s">
        <v>41</v>
      </c>
      <c r="C96" s="16" t="s">
        <v>176</v>
      </c>
      <c r="D96" s="167">
        <v>649016</v>
      </c>
      <c r="E96" s="167">
        <f>+D96*10%</f>
        <v>64901.600000000006</v>
      </c>
      <c r="F96" s="167">
        <f>+D96-E96</f>
        <v>584114.4</v>
      </c>
      <c r="G96" s="168">
        <v>44809</v>
      </c>
      <c r="H96" s="169" t="s">
        <v>168</v>
      </c>
      <c r="I96" s="16" t="s">
        <v>44</v>
      </c>
      <c r="J96" s="16"/>
    </row>
    <row r="97" spans="1:10" x14ac:dyDescent="0.25">
      <c r="A97" s="166">
        <v>44809</v>
      </c>
      <c r="B97" s="16" t="s">
        <v>49</v>
      </c>
      <c r="C97" s="16" t="s">
        <v>177</v>
      </c>
      <c r="D97" s="167">
        <v>67136.12</v>
      </c>
      <c r="E97" s="167">
        <f t="shared" ref="E97:E104" si="26">+D97*10%</f>
        <v>6713.6120000000001</v>
      </c>
      <c r="F97" s="167">
        <f t="shared" ref="F97:F104" si="27">+D97-E97</f>
        <v>60422.507999999994</v>
      </c>
      <c r="G97" s="168">
        <v>44809</v>
      </c>
      <c r="H97" s="169">
        <v>44839</v>
      </c>
      <c r="I97" s="16" t="s">
        <v>44</v>
      </c>
      <c r="J97" s="16"/>
    </row>
    <row r="98" spans="1:10" x14ac:dyDescent="0.25">
      <c r="A98" s="166">
        <v>44809</v>
      </c>
      <c r="B98" s="16" t="s">
        <v>45</v>
      </c>
      <c r="C98" s="16" t="s">
        <v>178</v>
      </c>
      <c r="D98" s="167">
        <v>11580</v>
      </c>
      <c r="E98" s="167">
        <f t="shared" si="26"/>
        <v>1158</v>
      </c>
      <c r="F98" s="167">
        <f t="shared" si="27"/>
        <v>10422</v>
      </c>
      <c r="G98" s="168">
        <v>44809</v>
      </c>
      <c r="H98" s="169">
        <v>44839</v>
      </c>
      <c r="I98" s="16" t="s">
        <v>44</v>
      </c>
      <c r="J98" s="16"/>
    </row>
    <row r="99" spans="1:10" x14ac:dyDescent="0.25">
      <c r="A99" s="166">
        <v>44809</v>
      </c>
      <c r="B99" s="16" t="s">
        <v>47</v>
      </c>
      <c r="C99" s="16" t="s">
        <v>179</v>
      </c>
      <c r="D99" s="167">
        <v>84098</v>
      </c>
      <c r="E99" s="167">
        <f t="shared" si="26"/>
        <v>8409.8000000000011</v>
      </c>
      <c r="F99" s="167">
        <f t="shared" si="27"/>
        <v>75688.2</v>
      </c>
      <c r="G99" s="168">
        <v>44809</v>
      </c>
      <c r="H99" s="169">
        <v>44854</v>
      </c>
      <c r="I99" s="16" t="s">
        <v>44</v>
      </c>
      <c r="J99" s="16"/>
    </row>
    <row r="100" spans="1:10" x14ac:dyDescent="0.25">
      <c r="A100" s="166">
        <v>44809</v>
      </c>
      <c r="B100" s="16" t="s">
        <v>180</v>
      </c>
      <c r="C100" s="16" t="s">
        <v>181</v>
      </c>
      <c r="D100" s="167">
        <v>22600</v>
      </c>
      <c r="E100" s="167">
        <f t="shared" si="26"/>
        <v>2260</v>
      </c>
      <c r="F100" s="167">
        <f t="shared" si="27"/>
        <v>20340</v>
      </c>
      <c r="G100" s="168">
        <v>44809</v>
      </c>
      <c r="H100" s="169">
        <v>44856</v>
      </c>
      <c r="I100" s="16" t="s">
        <v>44</v>
      </c>
      <c r="J100" s="16"/>
    </row>
    <row r="101" spans="1:10" x14ac:dyDescent="0.25">
      <c r="A101" s="166">
        <v>44809</v>
      </c>
      <c r="B101" s="16" t="s">
        <v>72</v>
      </c>
      <c r="C101" s="16" t="s">
        <v>182</v>
      </c>
      <c r="D101" s="167">
        <v>7000</v>
      </c>
      <c r="E101" s="167">
        <f t="shared" si="26"/>
        <v>700</v>
      </c>
      <c r="F101" s="167">
        <f t="shared" si="27"/>
        <v>6300</v>
      </c>
      <c r="G101" s="168">
        <v>44809</v>
      </c>
      <c r="H101" s="169">
        <v>44844</v>
      </c>
      <c r="I101" s="16" t="s">
        <v>44</v>
      </c>
      <c r="J101" s="16"/>
    </row>
    <row r="102" spans="1:10" x14ac:dyDescent="0.25">
      <c r="A102" s="166">
        <v>44809</v>
      </c>
      <c r="B102" s="16" t="s">
        <v>130</v>
      </c>
      <c r="C102" s="16" t="s">
        <v>183</v>
      </c>
      <c r="D102" s="167">
        <v>24206.400000000001</v>
      </c>
      <c r="E102" s="167">
        <f t="shared" si="26"/>
        <v>2420.6400000000003</v>
      </c>
      <c r="F102" s="167">
        <f t="shared" si="27"/>
        <v>21785.760000000002</v>
      </c>
      <c r="G102" s="168">
        <v>44809</v>
      </c>
      <c r="H102" s="169">
        <v>44839</v>
      </c>
      <c r="I102" s="16" t="s">
        <v>44</v>
      </c>
      <c r="J102" s="16"/>
    </row>
    <row r="103" spans="1:10" x14ac:dyDescent="0.25">
      <c r="A103" s="166">
        <v>44809</v>
      </c>
      <c r="B103" s="16" t="s">
        <v>184</v>
      </c>
      <c r="C103" s="16" t="s">
        <v>185</v>
      </c>
      <c r="D103" s="167">
        <v>31480</v>
      </c>
      <c r="E103" s="167">
        <f t="shared" si="26"/>
        <v>3148</v>
      </c>
      <c r="F103" s="167">
        <f t="shared" si="27"/>
        <v>28332</v>
      </c>
      <c r="G103" s="168">
        <v>44809</v>
      </c>
      <c r="H103" s="169">
        <v>44839</v>
      </c>
      <c r="I103" s="16" t="s">
        <v>44</v>
      </c>
      <c r="J103" s="16"/>
    </row>
    <row r="104" spans="1:10" x14ac:dyDescent="0.25">
      <c r="A104" s="166">
        <v>44809</v>
      </c>
      <c r="B104" s="16" t="s">
        <v>153</v>
      </c>
      <c r="C104" s="16" t="s">
        <v>186</v>
      </c>
      <c r="D104" s="167">
        <v>16742</v>
      </c>
      <c r="E104" s="167">
        <f t="shared" si="26"/>
        <v>1674.2</v>
      </c>
      <c r="F104" s="167">
        <f t="shared" si="27"/>
        <v>15067.8</v>
      </c>
      <c r="G104" s="168">
        <v>44809</v>
      </c>
      <c r="H104" s="169">
        <v>44839</v>
      </c>
      <c r="I104" s="16" t="s">
        <v>44</v>
      </c>
      <c r="J104" s="16"/>
    </row>
    <row r="105" spans="1:10" x14ac:dyDescent="0.25">
      <c r="A105" s="166">
        <v>44809</v>
      </c>
      <c r="B105" s="16" t="s">
        <v>187</v>
      </c>
      <c r="C105" s="16" t="s">
        <v>188</v>
      </c>
      <c r="D105" s="167">
        <v>8154</v>
      </c>
      <c r="E105" s="167"/>
      <c r="F105" s="167">
        <v>4892.3999999999996</v>
      </c>
      <c r="G105" s="168"/>
      <c r="H105" s="169"/>
      <c r="I105" s="16" t="s">
        <v>44</v>
      </c>
      <c r="J105" s="16"/>
    </row>
    <row r="106" spans="1:10" x14ac:dyDescent="0.25">
      <c r="A106" s="166">
        <v>44809</v>
      </c>
      <c r="B106" s="16" t="s">
        <v>187</v>
      </c>
      <c r="C106" s="16" t="s">
        <v>189</v>
      </c>
      <c r="D106" s="167">
        <v>4095.29</v>
      </c>
      <c r="E106" s="167" t="s">
        <v>190</v>
      </c>
      <c r="F106" s="167">
        <v>2457.17</v>
      </c>
      <c r="G106" s="168"/>
      <c r="H106" s="169"/>
      <c r="I106" s="16" t="s">
        <v>44</v>
      </c>
      <c r="J106" s="16"/>
    </row>
    <row r="107" spans="1:10" x14ac:dyDescent="0.25">
      <c r="A107" s="166">
        <v>44839</v>
      </c>
      <c r="B107" s="16" t="s">
        <v>41</v>
      </c>
      <c r="C107" s="16" t="s">
        <v>191</v>
      </c>
      <c r="D107" s="167">
        <v>158530</v>
      </c>
      <c r="E107" s="167">
        <f>+D107*10%</f>
        <v>15853</v>
      </c>
      <c r="F107" s="167">
        <f>+D107-E107</f>
        <v>142677</v>
      </c>
      <c r="G107" s="168">
        <v>44838</v>
      </c>
      <c r="H107" s="169" t="s">
        <v>192</v>
      </c>
      <c r="I107" s="16" t="s">
        <v>44</v>
      </c>
      <c r="J107" s="16"/>
    </row>
    <row r="108" spans="1:10" x14ac:dyDescent="0.25">
      <c r="A108" s="166">
        <v>44839</v>
      </c>
      <c r="B108" s="16" t="s">
        <v>49</v>
      </c>
      <c r="C108" s="16" t="s">
        <v>193</v>
      </c>
      <c r="D108" s="167">
        <v>41907.120000000003</v>
      </c>
      <c r="E108" s="167">
        <f t="shared" ref="E108:E109" si="28">+D108*10%</f>
        <v>4190.7120000000004</v>
      </c>
      <c r="F108" s="167">
        <f t="shared" ref="F108:F109" si="29">+D108-E108</f>
        <v>37716.408000000003</v>
      </c>
      <c r="G108" s="168">
        <v>44838</v>
      </c>
      <c r="H108" s="169">
        <v>44870</v>
      </c>
      <c r="I108" s="16" t="s">
        <v>44</v>
      </c>
      <c r="J108" s="16"/>
    </row>
    <row r="109" spans="1:10" x14ac:dyDescent="0.25">
      <c r="A109" s="166">
        <v>44839</v>
      </c>
      <c r="B109" s="16" t="s">
        <v>45</v>
      </c>
      <c r="C109" s="16" t="s">
        <v>194</v>
      </c>
      <c r="D109" s="167">
        <v>20944</v>
      </c>
      <c r="E109" s="167">
        <f t="shared" si="28"/>
        <v>2094.4</v>
      </c>
      <c r="F109" s="167">
        <f t="shared" si="29"/>
        <v>18849.599999999999</v>
      </c>
      <c r="G109" s="168">
        <v>44838</v>
      </c>
      <c r="H109" s="169">
        <v>44869</v>
      </c>
      <c r="I109" s="16" t="s">
        <v>44</v>
      </c>
      <c r="J109" s="16"/>
    </row>
    <row r="110" spans="1:10" x14ac:dyDescent="0.25">
      <c r="A110" s="166">
        <v>44839</v>
      </c>
      <c r="B110" s="16" t="s">
        <v>157</v>
      </c>
      <c r="C110" s="16" t="s">
        <v>195</v>
      </c>
      <c r="D110" s="167">
        <v>2554</v>
      </c>
      <c r="E110" s="167">
        <v>1060</v>
      </c>
      <c r="F110" s="167">
        <v>1532</v>
      </c>
      <c r="G110" s="168"/>
      <c r="H110" s="169"/>
      <c r="I110" s="16" t="s">
        <v>44</v>
      </c>
      <c r="J110" s="16"/>
    </row>
    <row r="111" spans="1:10" x14ac:dyDescent="0.25">
      <c r="A111" s="166">
        <v>44870</v>
      </c>
      <c r="B111" s="16" t="s">
        <v>41</v>
      </c>
      <c r="C111" s="16" t="s">
        <v>196</v>
      </c>
      <c r="D111" s="167">
        <v>65234</v>
      </c>
      <c r="E111" s="167">
        <f>+D111*10%</f>
        <v>6523.4000000000005</v>
      </c>
      <c r="F111" s="167">
        <f>+D111-E111</f>
        <v>58710.6</v>
      </c>
      <c r="G111" s="168">
        <v>44867</v>
      </c>
      <c r="H111" s="169" t="s">
        <v>197</v>
      </c>
      <c r="I111" s="16" t="s">
        <v>44</v>
      </c>
      <c r="J111" s="16"/>
    </row>
    <row r="112" spans="1:10" x14ac:dyDescent="0.25">
      <c r="A112" s="166">
        <v>44870</v>
      </c>
      <c r="B112" s="16" t="s">
        <v>49</v>
      </c>
      <c r="C112" s="16" t="s">
        <v>198</v>
      </c>
      <c r="D112" s="167">
        <v>33224.5</v>
      </c>
      <c r="E112" s="167">
        <f t="shared" ref="E112:E120" si="30">+D112*10%</f>
        <v>3322.4500000000003</v>
      </c>
      <c r="F112" s="167">
        <f t="shared" ref="F112:F120" si="31">+D112-E112</f>
        <v>29902.05</v>
      </c>
      <c r="G112" s="168">
        <v>44867</v>
      </c>
      <c r="H112" s="169">
        <v>44900</v>
      </c>
      <c r="I112" s="16" t="s">
        <v>44</v>
      </c>
      <c r="J112" s="16"/>
    </row>
    <row r="113" spans="1:10" x14ac:dyDescent="0.25">
      <c r="A113" s="166">
        <v>44870</v>
      </c>
      <c r="B113" s="16" t="s">
        <v>45</v>
      </c>
      <c r="C113" s="16" t="s">
        <v>199</v>
      </c>
      <c r="D113" s="167">
        <v>2268</v>
      </c>
      <c r="E113" s="167">
        <f t="shared" si="30"/>
        <v>226.8</v>
      </c>
      <c r="F113" s="167">
        <f t="shared" si="31"/>
        <v>2041.2</v>
      </c>
      <c r="G113" s="168">
        <v>44867</v>
      </c>
      <c r="H113" s="169">
        <v>44900</v>
      </c>
      <c r="I113" s="16" t="s">
        <v>44</v>
      </c>
      <c r="J113" s="16"/>
    </row>
    <row r="114" spans="1:10" x14ac:dyDescent="0.25">
      <c r="A114" s="166">
        <v>44870</v>
      </c>
      <c r="B114" s="16" t="s">
        <v>47</v>
      </c>
      <c r="C114" s="16" t="s">
        <v>200</v>
      </c>
      <c r="D114" s="167">
        <v>112469.02</v>
      </c>
      <c r="E114" s="167">
        <f t="shared" si="30"/>
        <v>11246.902000000002</v>
      </c>
      <c r="F114" s="167">
        <f t="shared" si="31"/>
        <v>101222.118</v>
      </c>
      <c r="G114" s="168">
        <v>44867</v>
      </c>
      <c r="H114" s="169">
        <v>44915</v>
      </c>
      <c r="I114" s="16" t="s">
        <v>44</v>
      </c>
      <c r="J114" s="16"/>
    </row>
    <row r="115" spans="1:10" x14ac:dyDescent="0.25">
      <c r="A115" s="166">
        <v>44870</v>
      </c>
      <c r="B115" s="16" t="s">
        <v>72</v>
      </c>
      <c r="C115" s="16" t="s">
        <v>201</v>
      </c>
      <c r="D115" s="167">
        <v>1884</v>
      </c>
      <c r="E115" s="167">
        <f t="shared" si="30"/>
        <v>188.4</v>
      </c>
      <c r="F115" s="167">
        <f t="shared" si="31"/>
        <v>1695.6</v>
      </c>
      <c r="G115" s="168">
        <v>44867</v>
      </c>
      <c r="H115" s="169">
        <v>44917</v>
      </c>
      <c r="I115" s="16" t="s">
        <v>44</v>
      </c>
      <c r="J115" s="16"/>
    </row>
    <row r="116" spans="1:10" x14ac:dyDescent="0.25">
      <c r="A116" s="166">
        <v>44870</v>
      </c>
      <c r="B116" s="16" t="s">
        <v>153</v>
      </c>
      <c r="C116" s="16" t="s">
        <v>202</v>
      </c>
      <c r="D116" s="167">
        <v>64422.5</v>
      </c>
      <c r="E116" s="167">
        <f t="shared" si="30"/>
        <v>6442.25</v>
      </c>
      <c r="F116" s="167">
        <f t="shared" si="31"/>
        <v>57980.25</v>
      </c>
      <c r="G116" s="168">
        <v>44867</v>
      </c>
      <c r="H116" s="169">
        <v>44905</v>
      </c>
      <c r="I116" s="16" t="s">
        <v>44</v>
      </c>
      <c r="J116" s="16"/>
    </row>
    <row r="117" spans="1:10" x14ac:dyDescent="0.25">
      <c r="A117" s="166">
        <v>44870</v>
      </c>
      <c r="B117" s="16" t="s">
        <v>203</v>
      </c>
      <c r="C117" s="16" t="s">
        <v>204</v>
      </c>
      <c r="D117" s="167">
        <v>26400</v>
      </c>
      <c r="E117" s="167">
        <f t="shared" si="30"/>
        <v>2640</v>
      </c>
      <c r="F117" s="167">
        <f t="shared" si="31"/>
        <v>23760</v>
      </c>
      <c r="G117" s="168">
        <v>44867</v>
      </c>
      <c r="H117" s="169">
        <v>44900</v>
      </c>
      <c r="I117" s="16" t="s">
        <v>44</v>
      </c>
      <c r="J117" s="16"/>
    </row>
    <row r="118" spans="1:10" x14ac:dyDescent="0.25">
      <c r="A118" s="166">
        <v>44870</v>
      </c>
      <c r="B118" s="16" t="s">
        <v>205</v>
      </c>
      <c r="C118" s="16" t="s">
        <v>206</v>
      </c>
      <c r="D118" s="167">
        <v>4050</v>
      </c>
      <c r="E118" s="167">
        <f t="shared" si="30"/>
        <v>405</v>
      </c>
      <c r="F118" s="167">
        <f t="shared" si="31"/>
        <v>3645</v>
      </c>
      <c r="G118" s="168">
        <v>44867</v>
      </c>
      <c r="H118" s="169">
        <v>44900</v>
      </c>
      <c r="I118" s="16" t="s">
        <v>44</v>
      </c>
      <c r="J118" s="16"/>
    </row>
    <row r="119" spans="1:10" x14ac:dyDescent="0.25">
      <c r="A119" s="166">
        <v>44870</v>
      </c>
      <c r="B119" s="16" t="s">
        <v>207</v>
      </c>
      <c r="C119" s="16" t="s">
        <v>208</v>
      </c>
      <c r="D119" s="167">
        <v>30740</v>
      </c>
      <c r="E119" s="167">
        <f t="shared" si="30"/>
        <v>3074</v>
      </c>
      <c r="F119" s="167">
        <f t="shared" si="31"/>
        <v>27666</v>
      </c>
      <c r="G119" s="168">
        <v>44867</v>
      </c>
      <c r="H119" s="169">
        <v>44900</v>
      </c>
      <c r="I119" s="16" t="s">
        <v>44</v>
      </c>
      <c r="J119" s="16"/>
    </row>
    <row r="120" spans="1:10" x14ac:dyDescent="0.25">
      <c r="A120" s="166">
        <v>44870</v>
      </c>
      <c r="B120" s="16" t="s">
        <v>157</v>
      </c>
      <c r="C120" s="16" t="s">
        <v>209</v>
      </c>
      <c r="D120" s="167">
        <v>2000</v>
      </c>
      <c r="E120" s="167">
        <f t="shared" si="30"/>
        <v>200</v>
      </c>
      <c r="F120" s="167">
        <f t="shared" si="31"/>
        <v>1800</v>
      </c>
      <c r="G120" s="168"/>
      <c r="H120" s="169"/>
      <c r="I120" s="16" t="s">
        <v>44</v>
      </c>
      <c r="J120" s="16"/>
    </row>
    <row r="121" spans="1:10" x14ac:dyDescent="0.25">
      <c r="A121" s="166">
        <v>44900</v>
      </c>
      <c r="B121" s="16" t="s">
        <v>41</v>
      </c>
      <c r="C121" s="16" t="s">
        <v>210</v>
      </c>
      <c r="D121" s="167">
        <v>339840</v>
      </c>
      <c r="E121" s="167">
        <f>+D121*10%</f>
        <v>33984</v>
      </c>
      <c r="F121" s="167">
        <f>+D121-E121</f>
        <v>305856</v>
      </c>
      <c r="G121" s="168">
        <v>44897</v>
      </c>
      <c r="H121" s="169" t="s">
        <v>104</v>
      </c>
      <c r="I121" s="16" t="s">
        <v>44</v>
      </c>
      <c r="J121" s="16"/>
    </row>
    <row r="122" spans="1:10" x14ac:dyDescent="0.25">
      <c r="A122" s="166">
        <v>44900</v>
      </c>
      <c r="B122" s="16" t="s">
        <v>49</v>
      </c>
      <c r="C122" s="16" t="s">
        <v>211</v>
      </c>
      <c r="D122" s="167">
        <v>1384</v>
      </c>
      <c r="E122" s="167">
        <f t="shared" ref="E122:E124" si="32">+D122*10%</f>
        <v>138.4</v>
      </c>
      <c r="F122" s="167">
        <f t="shared" ref="F122:F124" si="33">+D122-E122</f>
        <v>1245.5999999999999</v>
      </c>
      <c r="G122" s="168">
        <v>44897</v>
      </c>
      <c r="H122" s="169">
        <v>44931</v>
      </c>
      <c r="I122" s="16" t="s">
        <v>44</v>
      </c>
      <c r="J122" s="16"/>
    </row>
    <row r="123" spans="1:10" x14ac:dyDescent="0.25">
      <c r="A123" s="166">
        <v>44900</v>
      </c>
      <c r="B123" s="16" t="s">
        <v>47</v>
      </c>
      <c r="C123" s="16" t="s">
        <v>212</v>
      </c>
      <c r="D123" s="167">
        <v>2250</v>
      </c>
      <c r="E123" s="167">
        <f t="shared" si="32"/>
        <v>225</v>
      </c>
      <c r="F123" s="167">
        <f t="shared" si="33"/>
        <v>2025</v>
      </c>
      <c r="G123" s="168">
        <v>44897</v>
      </c>
      <c r="H123" s="169">
        <v>44946</v>
      </c>
      <c r="I123" s="16" t="s">
        <v>44</v>
      </c>
      <c r="J123" s="16"/>
    </row>
    <row r="124" spans="1:10" x14ac:dyDescent="0.25">
      <c r="A124" s="166">
        <v>44900</v>
      </c>
      <c r="B124" s="38" t="s">
        <v>213</v>
      </c>
      <c r="C124" s="38" t="s">
        <v>214</v>
      </c>
      <c r="D124" s="176">
        <v>500</v>
      </c>
      <c r="E124" s="176">
        <f t="shared" si="32"/>
        <v>50</v>
      </c>
      <c r="F124" s="176">
        <f t="shared" si="33"/>
        <v>450</v>
      </c>
      <c r="G124" s="177"/>
      <c r="H124" s="178"/>
      <c r="I124" s="16" t="s">
        <v>44</v>
      </c>
      <c r="J124" s="38"/>
    </row>
    <row r="125" spans="1:10" x14ac:dyDescent="0.25">
      <c r="A125" s="166">
        <v>44931</v>
      </c>
      <c r="B125" s="16" t="s">
        <v>41</v>
      </c>
      <c r="C125" s="16" t="s">
        <v>215</v>
      </c>
      <c r="D125" s="167">
        <v>133830</v>
      </c>
      <c r="E125" s="167">
        <f>+D125*10%</f>
        <v>13383</v>
      </c>
      <c r="F125" s="167">
        <f>+D125-E125</f>
        <v>120447</v>
      </c>
      <c r="G125" s="168">
        <v>44929</v>
      </c>
      <c r="H125" s="169" t="s">
        <v>112</v>
      </c>
      <c r="I125" s="16" t="s">
        <v>44</v>
      </c>
      <c r="J125" s="16"/>
    </row>
    <row r="126" spans="1:10" x14ac:dyDescent="0.25">
      <c r="A126" s="166">
        <v>44931</v>
      </c>
      <c r="B126" s="16" t="s">
        <v>49</v>
      </c>
      <c r="C126" s="16" t="s">
        <v>216</v>
      </c>
      <c r="D126" s="167">
        <v>2518</v>
      </c>
      <c r="E126" s="167">
        <f t="shared" ref="E126:E130" si="34">+D126*10%</f>
        <v>251.8</v>
      </c>
      <c r="F126" s="167">
        <f t="shared" ref="F126:F130" si="35">+D126-E126</f>
        <v>2266.1999999999998</v>
      </c>
      <c r="G126" s="168">
        <v>44929</v>
      </c>
      <c r="H126" s="169">
        <v>44962</v>
      </c>
      <c r="I126" s="16" t="s">
        <v>44</v>
      </c>
      <c r="J126" s="16"/>
    </row>
    <row r="127" spans="1:10" x14ac:dyDescent="0.25">
      <c r="A127" s="166">
        <v>44931</v>
      </c>
      <c r="B127" s="16" t="s">
        <v>45</v>
      </c>
      <c r="C127" s="16" t="s">
        <v>217</v>
      </c>
      <c r="D127" s="167">
        <v>1760</v>
      </c>
      <c r="E127" s="167">
        <f t="shared" si="34"/>
        <v>176</v>
      </c>
      <c r="F127" s="167">
        <f t="shared" si="35"/>
        <v>1584</v>
      </c>
      <c r="G127" s="168">
        <v>44929</v>
      </c>
      <c r="H127" s="169">
        <v>44963</v>
      </c>
      <c r="I127" s="16" t="s">
        <v>44</v>
      </c>
      <c r="J127" s="16"/>
    </row>
    <row r="128" spans="1:10" x14ac:dyDescent="0.25">
      <c r="A128" s="166">
        <v>44931</v>
      </c>
      <c r="B128" s="16" t="s">
        <v>47</v>
      </c>
      <c r="C128" s="16" t="s">
        <v>218</v>
      </c>
      <c r="D128" s="167">
        <v>4779</v>
      </c>
      <c r="E128" s="167">
        <f t="shared" si="34"/>
        <v>477.90000000000003</v>
      </c>
      <c r="F128" s="167">
        <f t="shared" si="35"/>
        <v>4301.1000000000004</v>
      </c>
      <c r="G128" s="168">
        <v>44929</v>
      </c>
      <c r="H128" s="169">
        <v>44977</v>
      </c>
      <c r="I128" s="16" t="s">
        <v>44</v>
      </c>
      <c r="J128" s="16"/>
    </row>
    <row r="129" spans="1:10" x14ac:dyDescent="0.25">
      <c r="A129" s="166">
        <v>44931</v>
      </c>
      <c r="B129" s="16" t="s">
        <v>155</v>
      </c>
      <c r="C129" s="16" t="s">
        <v>219</v>
      </c>
      <c r="D129" s="167">
        <v>35055.81</v>
      </c>
      <c r="E129" s="167">
        <f t="shared" si="34"/>
        <v>3505.5810000000001</v>
      </c>
      <c r="F129" s="167">
        <f t="shared" si="35"/>
        <v>31550.228999999999</v>
      </c>
      <c r="G129" s="168">
        <v>44929</v>
      </c>
      <c r="H129" s="169">
        <v>44977</v>
      </c>
      <c r="I129" s="16" t="s">
        <v>44</v>
      </c>
      <c r="J129" s="16"/>
    </row>
    <row r="130" spans="1:10" x14ac:dyDescent="0.25">
      <c r="A130" s="166">
        <v>44931</v>
      </c>
      <c r="B130" s="16" t="s">
        <v>220</v>
      </c>
      <c r="C130" s="16" t="s">
        <v>221</v>
      </c>
      <c r="D130" s="167">
        <v>1081.8</v>
      </c>
      <c r="E130" s="167">
        <f t="shared" si="34"/>
        <v>108.18</v>
      </c>
      <c r="F130" s="167">
        <f t="shared" si="35"/>
        <v>973.61999999999989</v>
      </c>
      <c r="G130" s="168"/>
      <c r="H130" s="169"/>
      <c r="I130" s="16" t="s">
        <v>44</v>
      </c>
      <c r="J130" s="16"/>
    </row>
    <row r="131" spans="1:10" x14ac:dyDescent="0.25">
      <c r="A131" s="166">
        <v>44962</v>
      </c>
      <c r="B131" s="16" t="s">
        <v>41</v>
      </c>
      <c r="C131" s="16" t="s">
        <v>222</v>
      </c>
      <c r="D131" s="167">
        <v>21540</v>
      </c>
      <c r="E131" s="167">
        <f>+D131*10%</f>
        <v>2154</v>
      </c>
      <c r="F131" s="167">
        <f>+D131-E131</f>
        <v>19386</v>
      </c>
      <c r="G131" s="168">
        <v>44959</v>
      </c>
      <c r="H131" s="169" t="s">
        <v>223</v>
      </c>
      <c r="I131" s="16" t="s">
        <v>44</v>
      </c>
      <c r="J131" s="16"/>
    </row>
    <row r="132" spans="1:10" x14ac:dyDescent="0.25">
      <c r="A132" s="166">
        <v>44962</v>
      </c>
      <c r="B132" s="16" t="s">
        <v>49</v>
      </c>
      <c r="C132" s="16" t="s">
        <v>224</v>
      </c>
      <c r="D132" s="167">
        <v>2768</v>
      </c>
      <c r="E132" s="167">
        <f t="shared" ref="E132:E134" si="36">+D132*10%</f>
        <v>276.8</v>
      </c>
      <c r="F132" s="167">
        <f t="shared" ref="F132:F134" si="37">+D132-E132</f>
        <v>2491.1999999999998</v>
      </c>
      <c r="G132" s="168">
        <v>44959</v>
      </c>
      <c r="H132" s="169">
        <v>44990</v>
      </c>
      <c r="I132" s="16" t="s">
        <v>44</v>
      </c>
      <c r="J132" s="16"/>
    </row>
    <row r="133" spans="1:10" x14ac:dyDescent="0.25">
      <c r="A133" s="166">
        <v>44962</v>
      </c>
      <c r="B133" s="16" t="s">
        <v>45</v>
      </c>
      <c r="C133" s="16" t="s">
        <v>225</v>
      </c>
      <c r="D133" s="167">
        <v>2260</v>
      </c>
      <c r="E133" s="167">
        <f t="shared" si="36"/>
        <v>226</v>
      </c>
      <c r="F133" s="167">
        <f t="shared" si="37"/>
        <v>2034</v>
      </c>
      <c r="G133" s="168">
        <v>44959</v>
      </c>
      <c r="H133" s="169">
        <v>44991</v>
      </c>
      <c r="I133" s="16" t="s">
        <v>44</v>
      </c>
      <c r="J133" s="16"/>
    </row>
    <row r="134" spans="1:10" x14ac:dyDescent="0.25">
      <c r="A134" s="166">
        <v>44962</v>
      </c>
      <c r="B134" s="16" t="s">
        <v>220</v>
      </c>
      <c r="C134" s="16" t="s">
        <v>226</v>
      </c>
      <c r="D134" s="167">
        <v>1653.6</v>
      </c>
      <c r="E134" s="167">
        <f t="shared" si="36"/>
        <v>165.36</v>
      </c>
      <c r="F134" s="167">
        <f t="shared" si="37"/>
        <v>1488.2399999999998</v>
      </c>
      <c r="G134" s="168"/>
      <c r="H134" s="169"/>
      <c r="I134" s="16" t="s">
        <v>44</v>
      </c>
      <c r="J134" s="16"/>
    </row>
    <row r="135" spans="1:10" x14ac:dyDescent="0.25">
      <c r="A135" s="166">
        <v>44990</v>
      </c>
      <c r="B135" s="16" t="s">
        <v>41</v>
      </c>
      <c r="C135" s="16" t="s">
        <v>227</v>
      </c>
      <c r="D135" s="167">
        <v>142376</v>
      </c>
      <c r="E135" s="167">
        <f>+D135*10%</f>
        <v>14237.6</v>
      </c>
      <c r="F135" s="167">
        <f>+D135-E135</f>
        <v>128138.4</v>
      </c>
      <c r="G135" s="168">
        <v>44987</v>
      </c>
      <c r="H135" s="169" t="s">
        <v>228</v>
      </c>
      <c r="I135" s="16" t="s">
        <v>44</v>
      </c>
      <c r="J135" s="16"/>
    </row>
    <row r="136" spans="1:10" x14ac:dyDescent="0.25">
      <c r="A136" s="166">
        <v>44990</v>
      </c>
      <c r="B136" s="16" t="s">
        <v>49</v>
      </c>
      <c r="C136" s="16" t="s">
        <v>229</v>
      </c>
      <c r="D136" s="167">
        <v>79944.28</v>
      </c>
      <c r="E136" s="167">
        <f t="shared" ref="E136:E137" si="38">+D136*10%</f>
        <v>7994.4279999999999</v>
      </c>
      <c r="F136" s="167">
        <f t="shared" ref="F136:F137" si="39">+D136-E136</f>
        <v>71949.851999999999</v>
      </c>
      <c r="G136" s="168">
        <v>44987</v>
      </c>
      <c r="H136" s="169">
        <v>45021</v>
      </c>
      <c r="I136" s="16" t="s">
        <v>44</v>
      </c>
      <c r="J136" s="16"/>
    </row>
    <row r="137" spans="1:10" x14ac:dyDescent="0.25">
      <c r="A137" s="166">
        <v>44990</v>
      </c>
      <c r="B137" s="16" t="s">
        <v>153</v>
      </c>
      <c r="C137" s="16" t="s">
        <v>230</v>
      </c>
      <c r="D137" s="167">
        <v>1052.5</v>
      </c>
      <c r="E137" s="167">
        <f t="shared" si="38"/>
        <v>105.25</v>
      </c>
      <c r="F137" s="167">
        <f t="shared" si="39"/>
        <v>947.25</v>
      </c>
      <c r="G137" s="168">
        <v>44987</v>
      </c>
      <c r="H137" s="169">
        <v>45026</v>
      </c>
      <c r="I137" s="16" t="s">
        <v>44</v>
      </c>
      <c r="J137" s="16"/>
    </row>
    <row r="138" spans="1:10" x14ac:dyDescent="0.25">
      <c r="A138" s="166">
        <v>44990</v>
      </c>
      <c r="B138" s="16" t="s">
        <v>83</v>
      </c>
      <c r="C138" s="16" t="s">
        <v>231</v>
      </c>
      <c r="D138" s="167">
        <v>32726.7</v>
      </c>
      <c r="E138" s="167">
        <f>+D138*10%</f>
        <v>3272.67</v>
      </c>
      <c r="F138" s="167">
        <f>+D138-E138</f>
        <v>29454.03</v>
      </c>
      <c r="G138" s="168">
        <v>44987</v>
      </c>
      <c r="H138" s="169">
        <v>45027</v>
      </c>
      <c r="I138" s="16" t="s">
        <v>44</v>
      </c>
      <c r="J138" s="16"/>
    </row>
    <row r="139" spans="1:10" x14ac:dyDescent="0.25">
      <c r="A139" s="166">
        <v>44990</v>
      </c>
      <c r="B139" s="16" t="s">
        <v>220</v>
      </c>
      <c r="C139" s="16" t="s">
        <v>232</v>
      </c>
      <c r="D139" s="167">
        <v>3463.2</v>
      </c>
      <c r="E139" s="167">
        <f>+D139*10%</f>
        <v>346.32</v>
      </c>
      <c r="F139" s="167">
        <f>+D139-E139</f>
        <v>3116.8799999999997</v>
      </c>
      <c r="G139" s="168"/>
      <c r="H139" s="169"/>
      <c r="I139" s="16" t="s">
        <v>44</v>
      </c>
      <c r="J139" s="16"/>
    </row>
    <row r="140" spans="1:10" x14ac:dyDescent="0.25">
      <c r="A140" s="166">
        <v>44990</v>
      </c>
      <c r="B140" s="16" t="s">
        <v>17</v>
      </c>
      <c r="C140" s="16" t="s">
        <v>233</v>
      </c>
      <c r="D140" s="167">
        <v>5605</v>
      </c>
      <c r="E140" s="167">
        <f>+D140*10%</f>
        <v>560.5</v>
      </c>
      <c r="F140" s="167">
        <f>+D140-E140</f>
        <v>5044.5</v>
      </c>
      <c r="G140" s="168"/>
      <c r="H140" s="169"/>
      <c r="I140" s="16" t="s">
        <v>44</v>
      </c>
      <c r="J140" s="16"/>
    </row>
    <row r="141" spans="1:10" x14ac:dyDescent="0.25">
      <c r="A141" s="166">
        <v>45021</v>
      </c>
      <c r="B141" s="16" t="s">
        <v>41</v>
      </c>
      <c r="C141" s="16" t="s">
        <v>234</v>
      </c>
      <c r="D141" s="167">
        <v>187800</v>
      </c>
      <c r="E141" s="167">
        <f>+D141*10%</f>
        <v>18780</v>
      </c>
      <c r="F141" s="167">
        <f>+D141-E141</f>
        <v>169020</v>
      </c>
      <c r="G141" s="168">
        <v>45019</v>
      </c>
      <c r="H141" s="169" t="s">
        <v>235</v>
      </c>
      <c r="I141" s="16" t="s">
        <v>44</v>
      </c>
      <c r="J141" s="16"/>
    </row>
    <row r="142" spans="1:10" x14ac:dyDescent="0.25">
      <c r="A142" s="166">
        <v>45021</v>
      </c>
      <c r="B142" s="16" t="s">
        <v>49</v>
      </c>
      <c r="C142" s="16" t="s">
        <v>236</v>
      </c>
      <c r="D142" s="167">
        <v>50949.35</v>
      </c>
      <c r="E142" s="167">
        <f t="shared" ref="E142:E144" si="40">+D142*10%</f>
        <v>5094.9350000000004</v>
      </c>
      <c r="F142" s="167">
        <f t="shared" ref="F142:F144" si="41">+D142-E142</f>
        <v>45854.415000000001</v>
      </c>
      <c r="G142" s="168">
        <v>45019</v>
      </c>
      <c r="H142" s="169">
        <v>45051</v>
      </c>
      <c r="I142" s="16" t="s">
        <v>44</v>
      </c>
      <c r="J142" s="16"/>
    </row>
    <row r="143" spans="1:10" x14ac:dyDescent="0.25">
      <c r="A143" s="166">
        <v>45021</v>
      </c>
      <c r="B143" s="16" t="s">
        <v>237</v>
      </c>
      <c r="C143" s="16" t="s">
        <v>238</v>
      </c>
      <c r="D143" s="167">
        <v>12386.4</v>
      </c>
      <c r="E143" s="167">
        <f t="shared" si="40"/>
        <v>1238.6400000000001</v>
      </c>
      <c r="F143" s="167">
        <f t="shared" si="41"/>
        <v>11147.76</v>
      </c>
      <c r="G143" s="168">
        <v>45019</v>
      </c>
      <c r="H143" s="169">
        <v>45051</v>
      </c>
      <c r="I143" s="16" t="s">
        <v>44</v>
      </c>
      <c r="J143" s="16"/>
    </row>
    <row r="144" spans="1:10" x14ac:dyDescent="0.25">
      <c r="A144" s="166">
        <v>45021</v>
      </c>
      <c r="B144" s="16" t="s">
        <v>239</v>
      </c>
      <c r="C144" s="16" t="s">
        <v>240</v>
      </c>
      <c r="D144" s="167">
        <v>35703.1</v>
      </c>
      <c r="E144" s="167">
        <f t="shared" si="40"/>
        <v>3570.31</v>
      </c>
      <c r="F144" s="167">
        <f t="shared" si="41"/>
        <v>32132.789999999997</v>
      </c>
      <c r="G144" s="168">
        <v>45019</v>
      </c>
      <c r="H144" s="169">
        <v>45066</v>
      </c>
      <c r="I144" s="16" t="s">
        <v>44</v>
      </c>
      <c r="J144" s="16"/>
    </row>
    <row r="145" spans="1:10" x14ac:dyDescent="0.25">
      <c r="A145" s="166">
        <v>45021</v>
      </c>
      <c r="B145" s="16" t="s">
        <v>241</v>
      </c>
      <c r="C145" s="16" t="s">
        <v>242</v>
      </c>
      <c r="D145" s="167">
        <v>3110.4</v>
      </c>
      <c r="E145" s="167">
        <f>+D145*10%</f>
        <v>311.04000000000002</v>
      </c>
      <c r="F145" s="167">
        <f>+D145-E145</f>
        <v>2799.36</v>
      </c>
      <c r="G145" s="168">
        <v>45019</v>
      </c>
      <c r="H145" s="169">
        <v>45057</v>
      </c>
      <c r="I145" s="16" t="s">
        <v>44</v>
      </c>
      <c r="J145" s="16"/>
    </row>
    <row r="146" spans="1:10" x14ac:dyDescent="0.25">
      <c r="A146" s="166">
        <v>45021</v>
      </c>
      <c r="B146" s="16" t="s">
        <v>205</v>
      </c>
      <c r="C146" s="16" t="s">
        <v>243</v>
      </c>
      <c r="D146" s="167">
        <v>1890</v>
      </c>
      <c r="E146" s="167">
        <f>+D146*10%</f>
        <v>189</v>
      </c>
      <c r="F146" s="167">
        <f>+D146-E146</f>
        <v>1701</v>
      </c>
      <c r="G146" s="168">
        <v>45019</v>
      </c>
      <c r="H146" s="169">
        <v>45061</v>
      </c>
      <c r="I146" s="16" t="s">
        <v>44</v>
      </c>
      <c r="J146" s="16"/>
    </row>
    <row r="147" spans="1:10" x14ac:dyDescent="0.25">
      <c r="A147" s="166">
        <v>45021</v>
      </c>
      <c r="B147" s="16" t="s">
        <v>220</v>
      </c>
      <c r="C147" s="16" t="s">
        <v>244</v>
      </c>
      <c r="D147" s="167">
        <v>2002.8</v>
      </c>
      <c r="E147" s="167">
        <f>+D147*10%</f>
        <v>200.28</v>
      </c>
      <c r="F147" s="167">
        <f>+D147-E147</f>
        <v>1802.52</v>
      </c>
      <c r="G147" s="168">
        <v>45036</v>
      </c>
      <c r="H147" s="169"/>
      <c r="I147" s="16" t="s">
        <v>44</v>
      </c>
      <c r="J147" s="16"/>
    </row>
    <row r="148" spans="1:10" x14ac:dyDescent="0.25">
      <c r="A148" s="166">
        <v>45051</v>
      </c>
      <c r="B148" s="16" t="s">
        <v>41</v>
      </c>
      <c r="C148" s="16" t="s">
        <v>245</v>
      </c>
      <c r="D148" s="167">
        <v>237616</v>
      </c>
      <c r="E148" s="167">
        <f>+D148*10%</f>
        <v>23761.600000000002</v>
      </c>
      <c r="F148" s="167">
        <f>+D148-E148</f>
        <v>213854.4</v>
      </c>
      <c r="G148" s="168">
        <v>45050</v>
      </c>
      <c r="H148" s="169" t="s">
        <v>246</v>
      </c>
      <c r="I148" s="16" t="s">
        <v>44</v>
      </c>
      <c r="J148" s="16"/>
    </row>
    <row r="149" spans="1:10" x14ac:dyDescent="0.25">
      <c r="A149" s="166">
        <v>45051</v>
      </c>
      <c r="B149" s="16" t="s">
        <v>49</v>
      </c>
      <c r="C149" s="16" t="s">
        <v>247</v>
      </c>
      <c r="D149" s="167">
        <v>3825</v>
      </c>
      <c r="E149" s="167">
        <f t="shared" ref="E149:E150" si="42">+D149*10%</f>
        <v>382.5</v>
      </c>
      <c r="F149" s="167">
        <f t="shared" ref="F149:F150" si="43">+D149-E149</f>
        <v>3442.5</v>
      </c>
      <c r="G149" s="168">
        <v>45050</v>
      </c>
      <c r="H149" s="169">
        <v>45082</v>
      </c>
      <c r="I149" s="16" t="s">
        <v>44</v>
      </c>
      <c r="J149" s="16"/>
    </row>
    <row r="150" spans="1:10" x14ac:dyDescent="0.25">
      <c r="A150" s="166">
        <v>45051</v>
      </c>
      <c r="B150" s="16" t="s">
        <v>239</v>
      </c>
      <c r="C150" s="16" t="s">
        <v>248</v>
      </c>
      <c r="D150" s="167">
        <v>45193.599999999999</v>
      </c>
      <c r="E150" s="167">
        <f t="shared" si="42"/>
        <v>4519.3599999999997</v>
      </c>
      <c r="F150" s="167">
        <f t="shared" si="43"/>
        <v>40674.239999999998</v>
      </c>
      <c r="G150" s="168">
        <v>45050</v>
      </c>
      <c r="H150" s="169">
        <v>45097</v>
      </c>
      <c r="I150" s="16" t="s">
        <v>44</v>
      </c>
      <c r="J150" s="16"/>
    </row>
    <row r="151" spans="1:10" x14ac:dyDescent="0.25">
      <c r="A151" s="166">
        <v>45051</v>
      </c>
      <c r="B151" s="38" t="s">
        <v>205</v>
      </c>
      <c r="C151" s="38" t="s">
        <v>249</v>
      </c>
      <c r="D151" s="176">
        <v>5430</v>
      </c>
      <c r="E151" s="176">
        <f>+D151*10%</f>
        <v>543</v>
      </c>
      <c r="F151" s="176">
        <f>+D151-E151</f>
        <v>4887</v>
      </c>
      <c r="G151" s="177">
        <v>45050</v>
      </c>
      <c r="H151" s="178">
        <v>45057</v>
      </c>
      <c r="I151" s="16" t="s">
        <v>44</v>
      </c>
      <c r="J151" s="38"/>
    </row>
    <row r="152" spans="1:10" x14ac:dyDescent="0.25">
      <c r="A152" s="166">
        <v>45051</v>
      </c>
      <c r="B152" s="16" t="s">
        <v>130</v>
      </c>
      <c r="C152" s="16" t="s">
        <v>250</v>
      </c>
      <c r="D152" s="167">
        <v>17430</v>
      </c>
      <c r="E152" s="167">
        <f>+D152*10%</f>
        <v>1743</v>
      </c>
      <c r="F152" s="167">
        <f>+D152-E152</f>
        <v>15687</v>
      </c>
      <c r="G152" s="168">
        <v>45050</v>
      </c>
      <c r="H152" s="169">
        <v>45051</v>
      </c>
      <c r="I152" s="16" t="s">
        <v>44</v>
      </c>
      <c r="J152" s="16"/>
    </row>
    <row r="153" spans="1:10" x14ac:dyDescent="0.25">
      <c r="A153" s="166">
        <v>45082</v>
      </c>
      <c r="B153" s="16" t="s">
        <v>41</v>
      </c>
      <c r="C153" s="16" t="s">
        <v>251</v>
      </c>
      <c r="D153" s="167">
        <v>200908</v>
      </c>
      <c r="E153" s="167">
        <f>+D153*10%</f>
        <v>20090.800000000003</v>
      </c>
      <c r="F153" s="167">
        <f>+D153-E153</f>
        <v>180817.2</v>
      </c>
      <c r="G153" s="168">
        <v>45081</v>
      </c>
      <c r="H153" s="169" t="s">
        <v>252</v>
      </c>
      <c r="I153" s="16" t="s">
        <v>44</v>
      </c>
      <c r="J153" s="16"/>
    </row>
    <row r="154" spans="1:10" x14ac:dyDescent="0.25">
      <c r="A154" s="166">
        <v>45082</v>
      </c>
      <c r="B154" s="16" t="s">
        <v>49</v>
      </c>
      <c r="C154" s="16" t="s">
        <v>253</v>
      </c>
      <c r="D154" s="167">
        <v>5582.4</v>
      </c>
      <c r="E154" s="167">
        <f t="shared" ref="E154:E163" si="44">+D154*10%</f>
        <v>558.24</v>
      </c>
      <c r="F154" s="167">
        <f t="shared" ref="F154:F163" si="45">+D154-E154</f>
        <v>5024.16</v>
      </c>
      <c r="G154" s="168">
        <v>45081</v>
      </c>
      <c r="H154" s="169">
        <v>45112</v>
      </c>
      <c r="I154" s="16" t="s">
        <v>44</v>
      </c>
      <c r="J154" s="16"/>
    </row>
    <row r="155" spans="1:10" x14ac:dyDescent="0.25">
      <c r="A155" s="166">
        <v>45082</v>
      </c>
      <c r="B155" s="38" t="s">
        <v>237</v>
      </c>
      <c r="C155" s="38" t="s">
        <v>254</v>
      </c>
      <c r="D155" s="176">
        <v>23772.799999999999</v>
      </c>
      <c r="E155" s="176">
        <f t="shared" si="44"/>
        <v>2377.2800000000002</v>
      </c>
      <c r="F155" s="176">
        <f t="shared" si="45"/>
        <v>21395.52</v>
      </c>
      <c r="G155" s="177">
        <v>45081</v>
      </c>
      <c r="H155" s="178">
        <v>45112</v>
      </c>
      <c r="I155" s="16" t="s">
        <v>44</v>
      </c>
      <c r="J155" s="38"/>
    </row>
    <row r="156" spans="1:10" x14ac:dyDescent="0.25">
      <c r="A156" s="166">
        <v>45082</v>
      </c>
      <c r="B156" s="16" t="s">
        <v>239</v>
      </c>
      <c r="C156" s="16" t="s">
        <v>255</v>
      </c>
      <c r="D156" s="167">
        <v>6870</v>
      </c>
      <c r="E156" s="167">
        <f t="shared" si="44"/>
        <v>687</v>
      </c>
      <c r="F156" s="167">
        <f t="shared" si="45"/>
        <v>6183</v>
      </c>
      <c r="G156" s="168">
        <v>45081</v>
      </c>
      <c r="H156" s="169">
        <v>45127</v>
      </c>
      <c r="I156" s="16" t="s">
        <v>44</v>
      </c>
      <c r="J156" s="16"/>
    </row>
    <row r="157" spans="1:10" x14ac:dyDescent="0.25">
      <c r="A157" s="166">
        <v>45082</v>
      </c>
      <c r="B157" s="16" t="s">
        <v>130</v>
      </c>
      <c r="C157" s="16" t="s">
        <v>256</v>
      </c>
      <c r="D157" s="167">
        <v>26002</v>
      </c>
      <c r="E157" s="167">
        <f t="shared" si="44"/>
        <v>2600.2000000000003</v>
      </c>
      <c r="F157" s="167">
        <f t="shared" si="45"/>
        <v>23401.8</v>
      </c>
      <c r="G157" s="168">
        <v>45081</v>
      </c>
      <c r="H157" s="169">
        <v>45112</v>
      </c>
      <c r="I157" s="16" t="s">
        <v>44</v>
      </c>
      <c r="J157" s="16"/>
    </row>
    <row r="158" spans="1:10" x14ac:dyDescent="0.25">
      <c r="A158" s="166">
        <v>45082</v>
      </c>
      <c r="B158" s="38" t="s">
        <v>72</v>
      </c>
      <c r="C158" s="38" t="s">
        <v>257</v>
      </c>
      <c r="D158" s="176">
        <v>2000</v>
      </c>
      <c r="E158" s="176">
        <f t="shared" si="44"/>
        <v>200</v>
      </c>
      <c r="F158" s="176">
        <f t="shared" si="45"/>
        <v>1800</v>
      </c>
      <c r="G158" s="177">
        <v>45081</v>
      </c>
      <c r="H158" s="178">
        <v>45117</v>
      </c>
      <c r="I158" s="16" t="s">
        <v>44</v>
      </c>
      <c r="J158" s="38"/>
    </row>
    <row r="159" spans="1:10" x14ac:dyDescent="0.25">
      <c r="A159" s="166">
        <v>45082</v>
      </c>
      <c r="B159" s="38" t="s">
        <v>258</v>
      </c>
      <c r="C159" s="38" t="s">
        <v>259</v>
      </c>
      <c r="D159" s="176">
        <v>3736.8</v>
      </c>
      <c r="E159" s="176">
        <f t="shared" si="44"/>
        <v>373.68000000000006</v>
      </c>
      <c r="F159" s="176">
        <f t="shared" si="45"/>
        <v>3363.12</v>
      </c>
      <c r="G159" s="177">
        <v>45081</v>
      </c>
      <c r="H159" s="178">
        <v>45117</v>
      </c>
      <c r="I159" s="16" t="s">
        <v>44</v>
      </c>
      <c r="J159" s="38"/>
    </row>
    <row r="160" spans="1:10" x14ac:dyDescent="0.25">
      <c r="A160" s="166">
        <v>45082</v>
      </c>
      <c r="B160" s="38" t="s">
        <v>83</v>
      </c>
      <c r="C160" s="38" t="s">
        <v>260</v>
      </c>
      <c r="D160" s="176">
        <v>1000</v>
      </c>
      <c r="E160" s="176">
        <f t="shared" si="44"/>
        <v>100</v>
      </c>
      <c r="F160" s="176">
        <f t="shared" si="45"/>
        <v>900</v>
      </c>
      <c r="G160" s="177">
        <v>45081</v>
      </c>
      <c r="H160" s="178">
        <v>45117</v>
      </c>
      <c r="I160" s="16" t="s">
        <v>44</v>
      </c>
      <c r="J160" s="38"/>
    </row>
    <row r="161" spans="1:10" x14ac:dyDescent="0.25">
      <c r="A161" s="166">
        <v>45082</v>
      </c>
      <c r="B161" s="16" t="s">
        <v>261</v>
      </c>
      <c r="C161" s="16" t="s">
        <v>262</v>
      </c>
      <c r="D161" s="167">
        <v>29768</v>
      </c>
      <c r="E161" s="167">
        <f t="shared" si="44"/>
        <v>2976.8</v>
      </c>
      <c r="F161" s="167">
        <f t="shared" si="45"/>
        <v>26791.200000000001</v>
      </c>
      <c r="G161" s="168">
        <v>45081</v>
      </c>
      <c r="H161" s="169">
        <v>45112</v>
      </c>
      <c r="I161" s="16" t="s">
        <v>44</v>
      </c>
      <c r="J161" s="16"/>
    </row>
    <row r="162" spans="1:10" x14ac:dyDescent="0.25">
      <c r="A162" s="166">
        <v>45082</v>
      </c>
      <c r="B162" s="16" t="s">
        <v>187</v>
      </c>
      <c r="C162" s="16" t="s">
        <v>263</v>
      </c>
      <c r="D162" s="167">
        <v>3819</v>
      </c>
      <c r="E162" s="167">
        <f t="shared" si="44"/>
        <v>381.90000000000003</v>
      </c>
      <c r="F162" s="167">
        <f t="shared" si="45"/>
        <v>3437.1</v>
      </c>
      <c r="G162" s="168">
        <v>45081</v>
      </c>
      <c r="H162" s="169">
        <v>45112</v>
      </c>
      <c r="I162" s="16" t="s">
        <v>44</v>
      </c>
      <c r="J162" s="16"/>
    </row>
    <row r="163" spans="1:10" x14ac:dyDescent="0.25">
      <c r="A163" s="166">
        <v>45082</v>
      </c>
      <c r="B163" s="16" t="s">
        <v>187</v>
      </c>
      <c r="C163" s="16" t="s">
        <v>264</v>
      </c>
      <c r="D163" s="167">
        <v>15000</v>
      </c>
      <c r="E163" s="167">
        <f t="shared" si="44"/>
        <v>1500</v>
      </c>
      <c r="F163" s="167">
        <f t="shared" si="45"/>
        <v>13500</v>
      </c>
      <c r="G163" s="168">
        <v>45093</v>
      </c>
      <c r="H163" s="169">
        <v>45097</v>
      </c>
      <c r="I163" s="16" t="s">
        <v>44</v>
      </c>
      <c r="J163" s="16"/>
    </row>
    <row r="164" spans="1:10" x14ac:dyDescent="0.25">
      <c r="A164" s="166">
        <v>45112</v>
      </c>
      <c r="B164" s="16" t="s">
        <v>41</v>
      </c>
      <c r="C164" s="16" t="s">
        <v>265</v>
      </c>
      <c r="D164" s="167">
        <v>170532</v>
      </c>
      <c r="E164" s="167">
        <f>+D164*10%</f>
        <v>17053.2</v>
      </c>
      <c r="F164" s="167">
        <f>+D164-E164</f>
        <v>153478.79999999999</v>
      </c>
      <c r="G164" s="168">
        <v>45110</v>
      </c>
      <c r="H164" s="169" t="s">
        <v>266</v>
      </c>
      <c r="I164" s="16" t="s">
        <v>44</v>
      </c>
      <c r="J164" s="16"/>
    </row>
    <row r="165" spans="1:10" x14ac:dyDescent="0.25">
      <c r="A165" s="166">
        <v>45112</v>
      </c>
      <c r="B165" s="16" t="s">
        <v>49</v>
      </c>
      <c r="C165" s="16" t="s">
        <v>267</v>
      </c>
      <c r="D165" s="167">
        <v>2860.8</v>
      </c>
      <c r="E165" s="167">
        <f t="shared" ref="E165:E169" si="46">+D165*10%</f>
        <v>286.08000000000004</v>
      </c>
      <c r="F165" s="167">
        <f t="shared" ref="F165:F168" si="47">+D165-E165</f>
        <v>2574.7200000000003</v>
      </c>
      <c r="G165" s="168">
        <v>45110</v>
      </c>
      <c r="H165" s="169">
        <v>45143</v>
      </c>
      <c r="I165" s="16" t="s">
        <v>44</v>
      </c>
      <c r="J165" s="16"/>
    </row>
    <row r="166" spans="1:10" x14ac:dyDescent="0.25">
      <c r="A166" s="166">
        <v>45112</v>
      </c>
      <c r="B166" s="16" t="s">
        <v>130</v>
      </c>
      <c r="C166" s="16" t="s">
        <v>268</v>
      </c>
      <c r="D166" s="167">
        <v>34769.599999999999</v>
      </c>
      <c r="E166" s="167">
        <f t="shared" si="46"/>
        <v>3476.96</v>
      </c>
      <c r="F166" s="167">
        <f t="shared" si="47"/>
        <v>31292.639999999999</v>
      </c>
      <c r="G166" s="168">
        <v>45110</v>
      </c>
      <c r="H166" s="169">
        <v>45143</v>
      </c>
      <c r="I166" s="16" t="s">
        <v>44</v>
      </c>
      <c r="J166" s="16"/>
    </row>
    <row r="167" spans="1:10" x14ac:dyDescent="0.25">
      <c r="A167" s="166">
        <v>45112</v>
      </c>
      <c r="B167" s="16" t="s">
        <v>72</v>
      </c>
      <c r="C167" s="16" t="s">
        <v>269</v>
      </c>
      <c r="D167" s="167">
        <v>1500</v>
      </c>
      <c r="E167" s="167">
        <f t="shared" si="46"/>
        <v>150</v>
      </c>
      <c r="F167" s="167">
        <f t="shared" si="47"/>
        <v>1350</v>
      </c>
      <c r="G167" s="168">
        <v>45110</v>
      </c>
      <c r="H167" s="169">
        <v>45148</v>
      </c>
      <c r="I167" s="16" t="s">
        <v>44</v>
      </c>
      <c r="J167" s="16"/>
    </row>
    <row r="168" spans="1:10" x14ac:dyDescent="0.25">
      <c r="A168" s="166">
        <v>45112</v>
      </c>
      <c r="B168" s="16" t="s">
        <v>258</v>
      </c>
      <c r="C168" s="16" t="s">
        <v>270</v>
      </c>
      <c r="D168" s="167">
        <v>1000</v>
      </c>
      <c r="E168" s="167">
        <f t="shared" si="46"/>
        <v>100</v>
      </c>
      <c r="F168" s="167">
        <f t="shared" si="47"/>
        <v>900</v>
      </c>
      <c r="G168" s="168">
        <v>45110</v>
      </c>
      <c r="H168" s="169">
        <v>45148</v>
      </c>
      <c r="I168" s="16" t="s">
        <v>44</v>
      </c>
      <c r="J168" s="16"/>
    </row>
    <row r="169" spans="1:10" x14ac:dyDescent="0.25">
      <c r="A169" s="166">
        <v>45112</v>
      </c>
      <c r="B169" s="16" t="s">
        <v>271</v>
      </c>
      <c r="C169" s="16" t="s">
        <v>272</v>
      </c>
      <c r="D169" s="167">
        <v>11935.2</v>
      </c>
      <c r="E169" s="167">
        <f t="shared" si="46"/>
        <v>1193.5200000000002</v>
      </c>
      <c r="F169" s="167">
        <f>+D169-E169-3580.56</f>
        <v>7161.1200000000008</v>
      </c>
      <c r="G169" s="168">
        <v>45110</v>
      </c>
      <c r="H169" s="169">
        <v>45148</v>
      </c>
      <c r="I169" s="16" t="s">
        <v>44</v>
      </c>
      <c r="J169" s="16"/>
    </row>
    <row r="170" spans="1:10" x14ac:dyDescent="0.25">
      <c r="A170" s="166">
        <v>45143</v>
      </c>
      <c r="B170" s="16" t="s">
        <v>41</v>
      </c>
      <c r="C170" s="16" t="s">
        <v>273</v>
      </c>
      <c r="D170" s="167">
        <v>278058</v>
      </c>
      <c r="E170" s="167">
        <f>+D170*10%</f>
        <v>27805.800000000003</v>
      </c>
      <c r="F170" s="167">
        <f>+D170-E170</f>
        <v>250252.2</v>
      </c>
      <c r="G170" s="168">
        <v>45141</v>
      </c>
      <c r="H170" s="169" t="s">
        <v>274</v>
      </c>
      <c r="I170" s="16" t="s">
        <v>44</v>
      </c>
      <c r="J170" s="16"/>
    </row>
    <row r="171" spans="1:10" x14ac:dyDescent="0.25">
      <c r="A171" s="166">
        <v>45143</v>
      </c>
      <c r="B171" s="16" t="s">
        <v>49</v>
      </c>
      <c r="C171" s="16" t="s">
        <v>275</v>
      </c>
      <c r="D171" s="167">
        <v>17429.349999999999</v>
      </c>
      <c r="E171" s="167">
        <f t="shared" ref="E171:E176" si="48">+D171*10%</f>
        <v>1742.9349999999999</v>
      </c>
      <c r="F171" s="167">
        <f t="shared" ref="F171:F176" si="49">+D171-E171</f>
        <v>15686.414999999999</v>
      </c>
      <c r="G171" s="168">
        <v>45141</v>
      </c>
      <c r="H171" s="169">
        <v>45174</v>
      </c>
      <c r="I171" s="16" t="s">
        <v>44</v>
      </c>
      <c r="J171" s="16"/>
    </row>
    <row r="172" spans="1:10" x14ac:dyDescent="0.25">
      <c r="A172" s="166">
        <v>45143</v>
      </c>
      <c r="B172" s="16" t="s">
        <v>45</v>
      </c>
      <c r="C172" s="16" t="s">
        <v>276</v>
      </c>
      <c r="D172" s="167">
        <v>8803.15</v>
      </c>
      <c r="E172" s="167">
        <f t="shared" si="48"/>
        <v>880.31500000000005</v>
      </c>
      <c r="F172" s="167">
        <f t="shared" si="49"/>
        <v>7922.8349999999991</v>
      </c>
      <c r="G172" s="168">
        <v>45141</v>
      </c>
      <c r="H172" s="169">
        <v>45174</v>
      </c>
      <c r="I172" s="16" t="s">
        <v>44</v>
      </c>
      <c r="J172" s="16"/>
    </row>
    <row r="173" spans="1:10" x14ac:dyDescent="0.25">
      <c r="A173" s="166">
        <v>45143</v>
      </c>
      <c r="B173" s="16" t="s">
        <v>130</v>
      </c>
      <c r="C173" s="16" t="s">
        <v>277</v>
      </c>
      <c r="D173" s="167">
        <v>21884</v>
      </c>
      <c r="E173" s="167">
        <f t="shared" si="48"/>
        <v>2188.4</v>
      </c>
      <c r="F173" s="167">
        <f t="shared" si="49"/>
        <v>19695.599999999999</v>
      </c>
      <c r="G173" s="168">
        <v>45141</v>
      </c>
      <c r="H173" s="169">
        <v>45174</v>
      </c>
      <c r="I173" s="16" t="s">
        <v>44</v>
      </c>
      <c r="J173" s="16"/>
    </row>
    <row r="174" spans="1:10" x14ac:dyDescent="0.25">
      <c r="A174" s="166">
        <v>45143</v>
      </c>
      <c r="B174" s="16" t="s">
        <v>258</v>
      </c>
      <c r="C174" s="16" t="s">
        <v>278</v>
      </c>
      <c r="D174" s="167">
        <v>70092</v>
      </c>
      <c r="E174" s="167">
        <f t="shared" si="48"/>
        <v>7009.2000000000007</v>
      </c>
      <c r="F174" s="167">
        <f t="shared" si="49"/>
        <v>63082.8</v>
      </c>
      <c r="G174" s="168">
        <v>45141</v>
      </c>
      <c r="H174" s="169">
        <v>45179</v>
      </c>
      <c r="I174" s="16" t="s">
        <v>44</v>
      </c>
      <c r="J174" s="16"/>
    </row>
    <row r="175" spans="1:10" x14ac:dyDescent="0.25">
      <c r="A175" s="166">
        <v>45143</v>
      </c>
      <c r="B175" s="16" t="s">
        <v>47</v>
      </c>
      <c r="C175" s="16" t="s">
        <v>279</v>
      </c>
      <c r="D175" s="167">
        <v>51748</v>
      </c>
      <c r="E175" s="167">
        <f t="shared" si="48"/>
        <v>5174.8</v>
      </c>
      <c r="F175" s="167">
        <f t="shared" si="49"/>
        <v>46573.2</v>
      </c>
      <c r="G175" s="168">
        <v>45141</v>
      </c>
      <c r="H175" s="169">
        <v>45189</v>
      </c>
      <c r="I175" s="16" t="s">
        <v>44</v>
      </c>
      <c r="J175" s="16"/>
    </row>
    <row r="176" spans="1:10" x14ac:dyDescent="0.25">
      <c r="A176" s="166">
        <v>45143</v>
      </c>
      <c r="B176" s="16" t="s">
        <v>68</v>
      </c>
      <c r="C176" s="16" t="s">
        <v>280</v>
      </c>
      <c r="D176" s="167">
        <v>1500</v>
      </c>
      <c r="E176" s="167">
        <f t="shared" si="48"/>
        <v>150</v>
      </c>
      <c r="F176" s="167">
        <f t="shared" si="49"/>
        <v>1350</v>
      </c>
      <c r="G176" s="168">
        <v>45141</v>
      </c>
      <c r="H176" s="169">
        <v>45179</v>
      </c>
      <c r="I176" s="16" t="s">
        <v>44</v>
      </c>
      <c r="J176" s="16"/>
    </row>
    <row r="177" spans="1:10" x14ac:dyDescent="0.25">
      <c r="A177" s="166">
        <v>45174</v>
      </c>
      <c r="B177" s="16" t="s">
        <v>41</v>
      </c>
      <c r="C177" s="16" t="s">
        <v>281</v>
      </c>
      <c r="D177" s="167">
        <v>279172</v>
      </c>
      <c r="E177" s="167">
        <f>+D177*10%</f>
        <v>27917.200000000001</v>
      </c>
      <c r="F177" s="167">
        <f>+D177-E177</f>
        <v>251254.8</v>
      </c>
      <c r="G177" s="168">
        <v>45172</v>
      </c>
      <c r="H177" s="169" t="s">
        <v>282</v>
      </c>
      <c r="I177" s="16" t="s">
        <v>44</v>
      </c>
      <c r="J177" s="16"/>
    </row>
    <row r="178" spans="1:10" x14ac:dyDescent="0.25">
      <c r="A178" s="166">
        <v>45174</v>
      </c>
      <c r="B178" s="16" t="s">
        <v>49</v>
      </c>
      <c r="C178" s="16" t="s">
        <v>283</v>
      </c>
      <c r="D178" s="167">
        <v>52564.6</v>
      </c>
      <c r="E178" s="167">
        <f t="shared" ref="E178:E183" si="50">+D178*10%</f>
        <v>5256.46</v>
      </c>
      <c r="F178" s="167">
        <f t="shared" ref="F178:F183" si="51">+D178-E178</f>
        <v>47308.14</v>
      </c>
      <c r="G178" s="168">
        <v>45172</v>
      </c>
      <c r="H178" s="169">
        <v>45204</v>
      </c>
      <c r="I178" s="16" t="s">
        <v>44</v>
      </c>
      <c r="J178" s="16"/>
    </row>
    <row r="179" spans="1:10" x14ac:dyDescent="0.25">
      <c r="A179" s="166">
        <v>45174</v>
      </c>
      <c r="B179" s="16" t="s">
        <v>45</v>
      </c>
      <c r="C179" s="16" t="s">
        <v>284</v>
      </c>
      <c r="D179" s="167">
        <v>3780</v>
      </c>
      <c r="E179" s="167">
        <f t="shared" si="50"/>
        <v>378</v>
      </c>
      <c r="F179" s="167">
        <f t="shared" si="51"/>
        <v>3402</v>
      </c>
      <c r="G179" s="168">
        <v>45172</v>
      </c>
      <c r="H179" s="169">
        <v>45204</v>
      </c>
      <c r="I179" s="16" t="s">
        <v>44</v>
      </c>
      <c r="J179" s="16"/>
    </row>
    <row r="180" spans="1:10" x14ac:dyDescent="0.25">
      <c r="A180" s="166">
        <v>45174</v>
      </c>
      <c r="B180" s="16" t="s">
        <v>47</v>
      </c>
      <c r="C180" s="16" t="s">
        <v>285</v>
      </c>
      <c r="D180" s="167">
        <v>54679.6</v>
      </c>
      <c r="E180" s="167">
        <f t="shared" si="50"/>
        <v>5467.96</v>
      </c>
      <c r="F180" s="167">
        <f t="shared" si="51"/>
        <v>49211.64</v>
      </c>
      <c r="G180" s="168">
        <v>45172</v>
      </c>
      <c r="H180" s="169">
        <v>45219</v>
      </c>
      <c r="I180" s="16" t="s">
        <v>44</v>
      </c>
      <c r="J180" s="16"/>
    </row>
    <row r="181" spans="1:10" x14ac:dyDescent="0.25">
      <c r="A181" s="166">
        <v>45174</v>
      </c>
      <c r="B181" s="16" t="s">
        <v>72</v>
      </c>
      <c r="C181" s="16" t="s">
        <v>286</v>
      </c>
      <c r="D181" s="167">
        <v>7696</v>
      </c>
      <c r="E181" s="167">
        <f t="shared" si="50"/>
        <v>769.6</v>
      </c>
      <c r="F181" s="167">
        <f t="shared" si="51"/>
        <v>6926.4</v>
      </c>
      <c r="G181" s="168">
        <v>45172</v>
      </c>
      <c r="H181" s="169">
        <v>45209</v>
      </c>
      <c r="I181" s="16" t="s">
        <v>44</v>
      </c>
      <c r="J181" s="16"/>
    </row>
    <row r="182" spans="1:10" x14ac:dyDescent="0.25">
      <c r="A182" s="166">
        <v>45174</v>
      </c>
      <c r="B182" s="16" t="s">
        <v>287</v>
      </c>
      <c r="C182" s="16" t="s">
        <v>288</v>
      </c>
      <c r="D182" s="167">
        <v>9234</v>
      </c>
      <c r="E182" s="167">
        <f t="shared" si="50"/>
        <v>923.40000000000009</v>
      </c>
      <c r="F182" s="167">
        <f t="shared" si="51"/>
        <v>8310.6</v>
      </c>
      <c r="G182" s="168">
        <v>45172</v>
      </c>
      <c r="H182" s="169">
        <v>45209</v>
      </c>
      <c r="I182" s="16" t="s">
        <v>44</v>
      </c>
      <c r="J182" s="16"/>
    </row>
    <row r="183" spans="1:10" x14ac:dyDescent="0.25">
      <c r="A183" s="166">
        <v>45174</v>
      </c>
      <c r="B183" s="16" t="s">
        <v>187</v>
      </c>
      <c r="C183" s="16" t="s">
        <v>289</v>
      </c>
      <c r="D183" s="167">
        <v>6818</v>
      </c>
      <c r="E183" s="167">
        <f t="shared" si="50"/>
        <v>681.80000000000007</v>
      </c>
      <c r="F183" s="167">
        <f t="shared" si="51"/>
        <v>6136.2</v>
      </c>
      <c r="G183" s="168"/>
      <c r="H183" s="169"/>
      <c r="I183" s="16" t="s">
        <v>44</v>
      </c>
      <c r="J183" s="16"/>
    </row>
    <row r="184" spans="1:10" x14ac:dyDescent="0.25">
      <c r="A184" s="166">
        <v>45204</v>
      </c>
      <c r="B184" s="16" t="s">
        <v>41</v>
      </c>
      <c r="C184" s="16" t="s">
        <v>290</v>
      </c>
      <c r="D184" s="167">
        <v>71702</v>
      </c>
      <c r="E184" s="167">
        <f>+D184*10%</f>
        <v>7170.2000000000007</v>
      </c>
      <c r="F184" s="167">
        <f>+D184-E184</f>
        <v>64531.8</v>
      </c>
      <c r="G184" s="168">
        <v>45202</v>
      </c>
      <c r="H184" s="169" t="s">
        <v>291</v>
      </c>
      <c r="I184" s="16" t="s">
        <v>44</v>
      </c>
      <c r="J184" s="16"/>
    </row>
    <row r="185" spans="1:10" x14ac:dyDescent="0.25">
      <c r="A185" s="166">
        <v>45204</v>
      </c>
      <c r="B185" s="16" t="s">
        <v>49</v>
      </c>
      <c r="C185" s="16" t="s">
        <v>292</v>
      </c>
      <c r="D185" s="167">
        <v>4150</v>
      </c>
      <c r="E185" s="167">
        <f t="shared" ref="E185:E190" si="52">+D185*10%</f>
        <v>415</v>
      </c>
      <c r="F185" s="167">
        <f t="shared" ref="F185:F190" si="53">+D185-E185</f>
        <v>3735</v>
      </c>
      <c r="G185" s="168">
        <v>45202</v>
      </c>
      <c r="H185" s="169">
        <v>45235</v>
      </c>
      <c r="I185" s="16" t="s">
        <v>44</v>
      </c>
      <c r="J185" s="16"/>
    </row>
    <row r="186" spans="1:10" x14ac:dyDescent="0.25">
      <c r="A186" s="166">
        <v>45204</v>
      </c>
      <c r="B186" s="16" t="s">
        <v>47</v>
      </c>
      <c r="C186" s="16" t="s">
        <v>293</v>
      </c>
      <c r="D186" s="167">
        <v>69308.800000000003</v>
      </c>
      <c r="E186" s="167">
        <f t="shared" si="52"/>
        <v>6930.880000000001</v>
      </c>
      <c r="F186" s="167">
        <f>+D186-E186</f>
        <v>62377.919999999998</v>
      </c>
      <c r="G186" s="168">
        <v>45202</v>
      </c>
      <c r="H186" s="169">
        <v>45250</v>
      </c>
      <c r="I186" s="16" t="s">
        <v>44</v>
      </c>
      <c r="J186" s="16"/>
    </row>
    <row r="187" spans="1:10" x14ac:dyDescent="0.25">
      <c r="A187" s="166">
        <v>45204</v>
      </c>
      <c r="B187" s="16" t="s">
        <v>130</v>
      </c>
      <c r="C187" s="16" t="s">
        <v>294</v>
      </c>
      <c r="D187" s="167">
        <v>44268</v>
      </c>
      <c r="E187" s="167">
        <f t="shared" si="52"/>
        <v>4426.8</v>
      </c>
      <c r="F187" s="167">
        <f>+D187-E187</f>
        <v>39841.199999999997</v>
      </c>
      <c r="G187" s="168">
        <v>45202</v>
      </c>
      <c r="H187" s="169"/>
      <c r="I187" s="16" t="s">
        <v>44</v>
      </c>
      <c r="J187" s="16"/>
    </row>
    <row r="188" spans="1:10" x14ac:dyDescent="0.25">
      <c r="A188" s="166">
        <v>45204</v>
      </c>
      <c r="B188" s="16" t="s">
        <v>72</v>
      </c>
      <c r="C188" s="16" t="s">
        <v>295</v>
      </c>
      <c r="D188" s="167">
        <v>16550</v>
      </c>
      <c r="E188" s="167">
        <f t="shared" si="52"/>
        <v>1655</v>
      </c>
      <c r="F188" s="167">
        <f t="shared" si="53"/>
        <v>14895</v>
      </c>
      <c r="G188" s="168">
        <v>45202</v>
      </c>
      <c r="H188" s="169">
        <v>45240</v>
      </c>
      <c r="I188" s="16" t="s">
        <v>44</v>
      </c>
      <c r="J188" s="16"/>
    </row>
    <row r="189" spans="1:10" x14ac:dyDescent="0.25">
      <c r="A189" s="166">
        <v>45204</v>
      </c>
      <c r="B189" s="16" t="s">
        <v>155</v>
      </c>
      <c r="C189" s="16" t="s">
        <v>296</v>
      </c>
      <c r="D189" s="167">
        <v>20700</v>
      </c>
      <c r="E189" s="167">
        <f t="shared" si="52"/>
        <v>2070</v>
      </c>
      <c r="F189" s="167">
        <f t="shared" si="53"/>
        <v>18630</v>
      </c>
      <c r="G189" s="168">
        <v>45202</v>
      </c>
      <c r="H189" s="169">
        <v>45240</v>
      </c>
      <c r="I189" s="16" t="s">
        <v>44</v>
      </c>
      <c r="J189" s="16"/>
    </row>
    <row r="190" spans="1:10" x14ac:dyDescent="0.25">
      <c r="A190" s="166">
        <v>45204</v>
      </c>
      <c r="B190" s="16" t="s">
        <v>258</v>
      </c>
      <c r="C190" s="16" t="s">
        <v>297</v>
      </c>
      <c r="D190" s="167">
        <v>4617</v>
      </c>
      <c r="E190" s="167">
        <f t="shared" si="52"/>
        <v>461.70000000000005</v>
      </c>
      <c r="F190" s="167">
        <f t="shared" si="53"/>
        <v>4155.3</v>
      </c>
      <c r="G190" s="168"/>
      <c r="H190" s="169"/>
      <c r="I190" s="16" t="s">
        <v>44</v>
      </c>
      <c r="J190" s="16"/>
    </row>
    <row r="191" spans="1:10" x14ac:dyDescent="0.25">
      <c r="A191" s="166">
        <v>45235</v>
      </c>
      <c r="B191" s="16" t="s">
        <v>298</v>
      </c>
      <c r="C191" s="16" t="s">
        <v>299</v>
      </c>
      <c r="D191" s="167">
        <v>317692.83</v>
      </c>
      <c r="E191" s="167">
        <f t="shared" ref="E191:E192" si="54">+D191*10%</f>
        <v>31769.283000000003</v>
      </c>
      <c r="F191" s="167">
        <f t="shared" ref="F191:F192" si="55">+D191-E191</f>
        <v>285923.54700000002</v>
      </c>
      <c r="G191" s="168">
        <v>45233</v>
      </c>
      <c r="H191" s="169">
        <v>45280</v>
      </c>
      <c r="I191" s="16" t="s">
        <v>44</v>
      </c>
      <c r="J191" s="16"/>
    </row>
    <row r="192" spans="1:10" x14ac:dyDescent="0.25">
      <c r="A192" s="166">
        <v>45235</v>
      </c>
      <c r="B192" s="16" t="s">
        <v>300</v>
      </c>
      <c r="C192" s="16" t="s">
        <v>301</v>
      </c>
      <c r="D192" s="167">
        <v>63000</v>
      </c>
      <c r="E192" s="167">
        <f t="shared" si="54"/>
        <v>6300</v>
      </c>
      <c r="F192" s="167">
        <f t="shared" si="55"/>
        <v>56700</v>
      </c>
      <c r="G192" s="168">
        <v>45233</v>
      </c>
      <c r="H192" s="169">
        <v>45280</v>
      </c>
      <c r="I192" s="16" t="s">
        <v>44</v>
      </c>
      <c r="J192" s="16"/>
    </row>
    <row r="193" spans="1:10" x14ac:dyDescent="0.25">
      <c r="A193" s="166">
        <v>45265</v>
      </c>
      <c r="B193" s="38" t="s">
        <v>302</v>
      </c>
      <c r="C193" s="38" t="s">
        <v>303</v>
      </c>
      <c r="D193" s="176">
        <v>3219</v>
      </c>
      <c r="E193" s="176">
        <f>+D193*10%</f>
        <v>321.90000000000003</v>
      </c>
      <c r="F193" s="176">
        <f>+D193-E193</f>
        <v>2897.1</v>
      </c>
      <c r="G193" s="177">
        <v>45233</v>
      </c>
      <c r="H193" s="178" t="s">
        <v>304</v>
      </c>
      <c r="I193" s="16" t="s">
        <v>44</v>
      </c>
      <c r="J193" s="38"/>
    </row>
    <row r="194" spans="1:10" x14ac:dyDescent="0.25">
      <c r="A194" s="166">
        <v>45265</v>
      </c>
      <c r="B194" s="16" t="s">
        <v>298</v>
      </c>
      <c r="C194" s="16" t="s">
        <v>305</v>
      </c>
      <c r="D194" s="167">
        <v>211456</v>
      </c>
      <c r="E194" s="167">
        <f t="shared" ref="E194:E195" si="56">+D194*10%</f>
        <v>21145.600000000002</v>
      </c>
      <c r="F194" s="167">
        <f t="shared" ref="F194:F195" si="57">+D194-E194</f>
        <v>190310.39999999999</v>
      </c>
      <c r="G194" s="168">
        <v>45233</v>
      </c>
      <c r="H194" s="169">
        <v>45280</v>
      </c>
      <c r="I194" s="16" t="s">
        <v>44</v>
      </c>
      <c r="J194" s="16"/>
    </row>
    <row r="195" spans="1:10" x14ac:dyDescent="0.25">
      <c r="A195" s="166">
        <v>45265</v>
      </c>
      <c r="B195" s="16" t="s">
        <v>306</v>
      </c>
      <c r="C195" s="16" t="s">
        <v>307</v>
      </c>
      <c r="D195" s="167">
        <v>2360.8000000000002</v>
      </c>
      <c r="E195" s="167">
        <f t="shared" si="56"/>
        <v>236.08000000000004</v>
      </c>
      <c r="F195" s="167">
        <f t="shared" si="57"/>
        <v>2124.7200000000003</v>
      </c>
      <c r="G195" s="168">
        <v>45233</v>
      </c>
      <c r="H195" s="169">
        <v>45280</v>
      </c>
      <c r="I195" s="16" t="s">
        <v>44</v>
      </c>
      <c r="J195" s="16"/>
    </row>
    <row r="196" spans="1:10" x14ac:dyDescent="0.25">
      <c r="A196" s="166">
        <v>45296</v>
      </c>
      <c r="B196" s="16" t="s">
        <v>298</v>
      </c>
      <c r="C196" s="16" t="s">
        <v>308</v>
      </c>
      <c r="D196" s="167">
        <v>403920</v>
      </c>
      <c r="E196" s="167">
        <f t="shared" ref="E196:E197" si="58">+D196*10%</f>
        <v>40392</v>
      </c>
      <c r="F196" s="167">
        <f t="shared" ref="F196:F197" si="59">+D196-E196</f>
        <v>363528</v>
      </c>
      <c r="G196" s="168">
        <v>45265</v>
      </c>
      <c r="H196" s="169">
        <v>45342</v>
      </c>
      <c r="I196" s="16" t="s">
        <v>44</v>
      </c>
      <c r="J196" s="16"/>
    </row>
    <row r="197" spans="1:10" x14ac:dyDescent="0.25">
      <c r="A197" s="166">
        <v>45296</v>
      </c>
      <c r="B197" s="16" t="s">
        <v>309</v>
      </c>
      <c r="C197" s="16" t="s">
        <v>310</v>
      </c>
      <c r="D197" s="167">
        <v>6438</v>
      </c>
      <c r="E197" s="167">
        <f t="shared" si="58"/>
        <v>643.80000000000007</v>
      </c>
      <c r="F197" s="167">
        <f t="shared" si="59"/>
        <v>5794.2</v>
      </c>
      <c r="G197" s="168">
        <v>45265</v>
      </c>
      <c r="H197" s="169">
        <v>45342</v>
      </c>
      <c r="I197" s="16" t="s">
        <v>44</v>
      </c>
      <c r="J197" s="16"/>
    </row>
    <row r="198" spans="1:10" x14ac:dyDescent="0.25">
      <c r="A198" s="166">
        <v>45327</v>
      </c>
      <c r="B198" s="16" t="s">
        <v>298</v>
      </c>
      <c r="C198" s="16" t="s">
        <v>311</v>
      </c>
      <c r="D198" s="167">
        <v>228724</v>
      </c>
      <c r="E198" s="167">
        <f t="shared" ref="E198:E199" si="60">+D198*10%</f>
        <v>22872.400000000001</v>
      </c>
      <c r="F198" s="167">
        <f t="shared" ref="F198:F199" si="61">+D198-E198</f>
        <v>205851.6</v>
      </c>
      <c r="G198" s="168">
        <v>45265</v>
      </c>
      <c r="H198" s="169">
        <v>45342</v>
      </c>
      <c r="I198" s="16" t="s">
        <v>44</v>
      </c>
      <c r="J198" s="16"/>
    </row>
    <row r="199" spans="1:10" x14ac:dyDescent="0.25">
      <c r="A199" s="166">
        <v>45327</v>
      </c>
      <c r="B199" s="16" t="s">
        <v>309</v>
      </c>
      <c r="C199" s="16" t="s">
        <v>312</v>
      </c>
      <c r="D199" s="167">
        <v>54660</v>
      </c>
      <c r="E199" s="167">
        <f t="shared" si="60"/>
        <v>5466</v>
      </c>
      <c r="F199" s="167">
        <f t="shared" si="61"/>
        <v>49194</v>
      </c>
      <c r="G199" s="168">
        <v>45265</v>
      </c>
      <c r="H199" s="169">
        <v>45342</v>
      </c>
      <c r="I199" s="16" t="s">
        <v>44</v>
      </c>
      <c r="J199" s="16"/>
    </row>
    <row r="200" spans="1:10" x14ac:dyDescent="0.25">
      <c r="A200" s="166">
        <v>45387</v>
      </c>
      <c r="B200" s="16" t="s">
        <v>298</v>
      </c>
      <c r="C200" s="16" t="s">
        <v>313</v>
      </c>
      <c r="D200" s="167">
        <v>196908</v>
      </c>
      <c r="E200" s="167">
        <f t="shared" ref="E200:E206" si="62">+D200*10%</f>
        <v>19690.800000000003</v>
      </c>
      <c r="F200" s="167">
        <f t="shared" ref="F200:F206" si="63">+D200-E200</f>
        <v>177217.2</v>
      </c>
      <c r="G200" s="168">
        <v>45386</v>
      </c>
      <c r="H200" s="169">
        <v>45424</v>
      </c>
      <c r="I200" s="16" t="s">
        <v>44</v>
      </c>
      <c r="J200" s="16"/>
    </row>
    <row r="201" spans="1:10" x14ac:dyDescent="0.25">
      <c r="A201" s="166">
        <v>45387</v>
      </c>
      <c r="B201" s="16" t="s">
        <v>309</v>
      </c>
      <c r="C201" s="16" t="s">
        <v>314</v>
      </c>
      <c r="D201" s="167">
        <v>35169.300000000003</v>
      </c>
      <c r="E201" s="167">
        <f t="shared" si="62"/>
        <v>3516.9300000000003</v>
      </c>
      <c r="F201" s="167">
        <f t="shared" si="63"/>
        <v>31652.370000000003</v>
      </c>
      <c r="G201" s="168">
        <v>45386</v>
      </c>
      <c r="H201" s="169">
        <v>45432</v>
      </c>
      <c r="I201" s="16" t="s">
        <v>44</v>
      </c>
      <c r="J201" s="16"/>
    </row>
    <row r="202" spans="1:10" x14ac:dyDescent="0.25">
      <c r="A202" s="166">
        <v>45387</v>
      </c>
      <c r="B202" s="16" t="s">
        <v>315</v>
      </c>
      <c r="C202" s="16" t="s">
        <v>316</v>
      </c>
      <c r="D202" s="167">
        <v>15120</v>
      </c>
      <c r="E202" s="167">
        <f t="shared" si="62"/>
        <v>1512</v>
      </c>
      <c r="F202" s="167">
        <f t="shared" si="63"/>
        <v>13608</v>
      </c>
      <c r="G202" s="168">
        <v>45386</v>
      </c>
      <c r="H202" s="169">
        <v>45432</v>
      </c>
      <c r="I202" s="16" t="s">
        <v>44</v>
      </c>
      <c r="J202" s="16"/>
    </row>
    <row r="203" spans="1:10" x14ac:dyDescent="0.25">
      <c r="A203" s="166">
        <v>45387</v>
      </c>
      <c r="B203" s="16" t="s">
        <v>317</v>
      </c>
      <c r="C203" s="16" t="s">
        <v>318</v>
      </c>
      <c r="D203" s="167">
        <v>15620</v>
      </c>
      <c r="E203" s="167">
        <f t="shared" si="62"/>
        <v>1562</v>
      </c>
      <c r="F203" s="167">
        <f t="shared" si="63"/>
        <v>14058</v>
      </c>
      <c r="G203" s="168">
        <v>45386</v>
      </c>
      <c r="H203" s="169">
        <v>45417</v>
      </c>
      <c r="I203" s="16" t="s">
        <v>44</v>
      </c>
      <c r="J203" s="16"/>
    </row>
    <row r="204" spans="1:10" x14ac:dyDescent="0.25">
      <c r="A204" s="166">
        <v>45387</v>
      </c>
      <c r="B204" s="16" t="s">
        <v>237</v>
      </c>
      <c r="C204" s="16" t="s">
        <v>319</v>
      </c>
      <c r="D204" s="167">
        <v>19853.599999999999</v>
      </c>
      <c r="E204" s="167">
        <f t="shared" si="62"/>
        <v>1985.36</v>
      </c>
      <c r="F204" s="167">
        <f t="shared" si="63"/>
        <v>17868.239999999998</v>
      </c>
      <c r="G204" s="168">
        <v>45386</v>
      </c>
      <c r="H204" s="169"/>
      <c r="I204" s="16" t="s">
        <v>44</v>
      </c>
      <c r="J204" s="16"/>
    </row>
    <row r="205" spans="1:10" x14ac:dyDescent="0.25">
      <c r="A205" s="166">
        <v>45387</v>
      </c>
      <c r="B205" s="16" t="s">
        <v>320</v>
      </c>
      <c r="C205" s="16" t="s">
        <v>321</v>
      </c>
      <c r="D205" s="167">
        <v>18644</v>
      </c>
      <c r="E205" s="167">
        <f t="shared" si="62"/>
        <v>1864.4</v>
      </c>
      <c r="F205" s="167">
        <f t="shared" si="63"/>
        <v>16779.599999999999</v>
      </c>
      <c r="G205" s="168">
        <v>45386</v>
      </c>
      <c r="H205" s="169"/>
      <c r="I205" s="16" t="s">
        <v>44</v>
      </c>
      <c r="J205" s="16"/>
    </row>
    <row r="206" spans="1:10" x14ac:dyDescent="0.25">
      <c r="A206" s="166">
        <v>45387</v>
      </c>
      <c r="B206" s="16" t="s">
        <v>157</v>
      </c>
      <c r="C206" s="16" t="s">
        <v>322</v>
      </c>
      <c r="D206" s="167">
        <v>11302.1</v>
      </c>
      <c r="E206" s="167">
        <f t="shared" si="62"/>
        <v>1130.21</v>
      </c>
      <c r="F206" s="167">
        <f t="shared" si="63"/>
        <v>10171.89</v>
      </c>
      <c r="G206" s="168">
        <v>45386</v>
      </c>
      <c r="H206" s="169"/>
      <c r="I206" s="16" t="s">
        <v>44</v>
      </c>
      <c r="J206" s="16"/>
    </row>
    <row r="207" spans="1:10" x14ac:dyDescent="0.25">
      <c r="A207" s="166">
        <v>45417</v>
      </c>
      <c r="B207" s="16" t="s">
        <v>298</v>
      </c>
      <c r="C207" s="16" t="s">
        <v>323</v>
      </c>
      <c r="D207" s="167">
        <v>123814</v>
      </c>
      <c r="E207" s="167">
        <f t="shared" ref="E207:E211" si="64">+D207*10%</f>
        <v>12381.400000000001</v>
      </c>
      <c r="F207" s="167">
        <f t="shared" ref="F207:F211" si="65">+D207-E207</f>
        <v>111432.6</v>
      </c>
      <c r="G207" s="168">
        <v>45417</v>
      </c>
      <c r="H207" s="169">
        <v>45455</v>
      </c>
      <c r="I207" s="16" t="s">
        <v>44</v>
      </c>
      <c r="J207" s="16"/>
    </row>
    <row r="208" spans="1:10" x14ac:dyDescent="0.25">
      <c r="A208" s="166">
        <v>45417</v>
      </c>
      <c r="B208" s="16" t="s">
        <v>309</v>
      </c>
      <c r="C208" s="16" t="s">
        <v>324</v>
      </c>
      <c r="D208" s="167">
        <v>3550</v>
      </c>
      <c r="E208" s="167">
        <f t="shared" si="64"/>
        <v>355</v>
      </c>
      <c r="F208" s="167">
        <f t="shared" si="65"/>
        <v>3195</v>
      </c>
      <c r="G208" s="168">
        <v>45417</v>
      </c>
      <c r="H208" s="169">
        <v>45463</v>
      </c>
      <c r="I208" s="16" t="s">
        <v>44</v>
      </c>
      <c r="J208" s="16"/>
    </row>
    <row r="209" spans="1:10" x14ac:dyDescent="0.25">
      <c r="A209" s="166">
        <v>45417</v>
      </c>
      <c r="B209" s="16" t="s">
        <v>77</v>
      </c>
      <c r="C209" s="16" t="s">
        <v>325</v>
      </c>
      <c r="D209" s="167">
        <v>27920</v>
      </c>
      <c r="E209" s="167">
        <f t="shared" si="64"/>
        <v>2792</v>
      </c>
      <c r="F209" s="167">
        <f t="shared" si="65"/>
        <v>25128</v>
      </c>
      <c r="G209" s="168">
        <v>45417</v>
      </c>
      <c r="H209" s="169">
        <v>45463</v>
      </c>
      <c r="I209" s="16" t="s">
        <v>44</v>
      </c>
      <c r="J209" s="16"/>
    </row>
    <row r="210" spans="1:10" x14ac:dyDescent="0.25">
      <c r="A210" s="166">
        <v>45417</v>
      </c>
      <c r="B210" s="16" t="s">
        <v>70</v>
      </c>
      <c r="C210" s="16" t="s">
        <v>326</v>
      </c>
      <c r="D210" s="167">
        <v>3050</v>
      </c>
      <c r="E210" s="167">
        <f t="shared" si="64"/>
        <v>305</v>
      </c>
      <c r="F210" s="167">
        <f t="shared" si="65"/>
        <v>2745</v>
      </c>
      <c r="G210" s="168">
        <v>45417</v>
      </c>
      <c r="H210" s="169">
        <v>45448</v>
      </c>
      <c r="I210" s="16" t="s">
        <v>44</v>
      </c>
      <c r="J210" s="16"/>
    </row>
    <row r="211" spans="1:10" x14ac:dyDescent="0.25">
      <c r="A211" s="166">
        <v>45417</v>
      </c>
      <c r="B211" s="16" t="s">
        <v>51</v>
      </c>
      <c r="C211" s="16" t="s">
        <v>327</v>
      </c>
      <c r="D211" s="167">
        <v>1500</v>
      </c>
      <c r="E211" s="167">
        <f t="shared" si="64"/>
        <v>150</v>
      </c>
      <c r="F211" s="167">
        <f t="shared" si="65"/>
        <v>1350</v>
      </c>
      <c r="G211" s="168">
        <v>45417</v>
      </c>
      <c r="H211" s="169">
        <v>45449</v>
      </c>
      <c r="I211" s="16" t="s">
        <v>44</v>
      </c>
      <c r="J211" s="16"/>
    </row>
    <row r="212" spans="1:10" x14ac:dyDescent="0.25">
      <c r="A212" s="166">
        <v>45448</v>
      </c>
      <c r="B212" s="16" t="s">
        <v>298</v>
      </c>
      <c r="C212" s="16" t="s">
        <v>328</v>
      </c>
      <c r="D212" s="167">
        <v>122252</v>
      </c>
      <c r="E212" s="167">
        <f t="shared" ref="E212:E219" si="66">+D212*10%</f>
        <v>12225.2</v>
      </c>
      <c r="F212" s="167">
        <f t="shared" ref="F212:F219" si="67">+D212-E212</f>
        <v>110026.8</v>
      </c>
      <c r="G212" s="168" t="s">
        <v>329</v>
      </c>
      <c r="H212" s="169">
        <v>45485</v>
      </c>
      <c r="I212" s="16" t="s">
        <v>44</v>
      </c>
      <c r="J212" s="16"/>
    </row>
    <row r="213" spans="1:10" x14ac:dyDescent="0.25">
      <c r="A213" s="166">
        <v>45448</v>
      </c>
      <c r="B213" s="16" t="s">
        <v>309</v>
      </c>
      <c r="C213" s="16" t="s">
        <v>330</v>
      </c>
      <c r="D213" s="167">
        <v>23439.200000000001</v>
      </c>
      <c r="E213" s="167">
        <f t="shared" si="66"/>
        <v>2343.92</v>
      </c>
      <c r="F213" s="167">
        <f t="shared" si="67"/>
        <v>21095.279999999999</v>
      </c>
      <c r="G213" s="168">
        <v>45448</v>
      </c>
      <c r="H213" s="169">
        <v>45493</v>
      </c>
      <c r="I213" s="16" t="s">
        <v>44</v>
      </c>
      <c r="J213" s="16"/>
    </row>
    <row r="214" spans="1:10" x14ac:dyDescent="0.25">
      <c r="A214" s="166">
        <v>45448</v>
      </c>
      <c r="B214" s="16" t="s">
        <v>77</v>
      </c>
      <c r="C214" s="16" t="s">
        <v>331</v>
      </c>
      <c r="D214" s="167">
        <v>13500</v>
      </c>
      <c r="E214" s="167">
        <f t="shared" si="66"/>
        <v>1350</v>
      </c>
      <c r="F214" s="167">
        <f t="shared" si="67"/>
        <v>12150</v>
      </c>
      <c r="G214" s="168">
        <v>45448</v>
      </c>
      <c r="H214" s="169">
        <v>45493</v>
      </c>
      <c r="I214" s="16" t="s">
        <v>44</v>
      </c>
      <c r="J214" s="16"/>
    </row>
    <row r="215" spans="1:10" x14ac:dyDescent="0.25">
      <c r="A215" s="166">
        <v>45448</v>
      </c>
      <c r="B215" s="16" t="s">
        <v>70</v>
      </c>
      <c r="C215" s="16" t="s">
        <v>332</v>
      </c>
      <c r="D215" s="167">
        <v>5130</v>
      </c>
      <c r="E215" s="167">
        <f t="shared" si="66"/>
        <v>513</v>
      </c>
      <c r="F215" s="167">
        <f t="shared" si="67"/>
        <v>4617</v>
      </c>
      <c r="G215" s="168">
        <v>45448</v>
      </c>
      <c r="H215" s="169">
        <v>45478</v>
      </c>
      <c r="I215" s="16" t="s">
        <v>44</v>
      </c>
      <c r="J215" s="16"/>
    </row>
    <row r="216" spans="1:10" x14ac:dyDescent="0.25">
      <c r="A216" s="166">
        <v>45448</v>
      </c>
      <c r="B216" s="12" t="s">
        <v>51</v>
      </c>
      <c r="C216" s="12" t="s">
        <v>333</v>
      </c>
      <c r="D216" s="179">
        <v>17280</v>
      </c>
      <c r="E216" s="179">
        <f t="shared" si="66"/>
        <v>1728</v>
      </c>
      <c r="F216" s="179">
        <f t="shared" si="67"/>
        <v>15552</v>
      </c>
      <c r="G216" s="180">
        <v>45448</v>
      </c>
      <c r="H216" s="181">
        <v>45479</v>
      </c>
      <c r="I216" s="12" t="s">
        <v>334</v>
      </c>
      <c r="J216" s="12" t="s">
        <v>335</v>
      </c>
    </row>
    <row r="217" spans="1:10" x14ac:dyDescent="0.25">
      <c r="A217" s="166">
        <v>45448</v>
      </c>
      <c r="B217" s="16" t="s">
        <v>336</v>
      </c>
      <c r="C217" s="153" t="s">
        <v>337</v>
      </c>
      <c r="D217" s="167">
        <v>29740.03</v>
      </c>
      <c r="E217" s="167">
        <f t="shared" si="66"/>
        <v>2974.0030000000002</v>
      </c>
      <c r="F217" s="167">
        <f t="shared" si="67"/>
        <v>26766.026999999998</v>
      </c>
      <c r="G217" s="168">
        <v>45448</v>
      </c>
      <c r="H217" s="169">
        <v>45478</v>
      </c>
      <c r="I217" s="16" t="s">
        <v>44</v>
      </c>
      <c r="J217" s="16"/>
    </row>
    <row r="218" spans="1:10" x14ac:dyDescent="0.25">
      <c r="A218" s="166">
        <v>45448</v>
      </c>
      <c r="B218" s="16" t="s">
        <v>237</v>
      </c>
      <c r="C218" s="153" t="s">
        <v>338</v>
      </c>
      <c r="D218" s="167">
        <v>1512</v>
      </c>
      <c r="E218" s="167">
        <f t="shared" si="66"/>
        <v>151.20000000000002</v>
      </c>
      <c r="F218" s="167">
        <f t="shared" si="67"/>
        <v>1360.8</v>
      </c>
      <c r="G218" s="168">
        <v>45448</v>
      </c>
      <c r="H218" s="169">
        <v>45478</v>
      </c>
      <c r="I218" s="16" t="s">
        <v>44</v>
      </c>
      <c r="J218" s="16"/>
    </row>
    <row r="219" spans="1:10" x14ac:dyDescent="0.25">
      <c r="A219" s="166">
        <v>45448</v>
      </c>
      <c r="B219" s="16" t="s">
        <v>339</v>
      </c>
      <c r="C219" s="153" t="s">
        <v>340</v>
      </c>
      <c r="D219" s="167">
        <v>6282</v>
      </c>
      <c r="E219" s="167">
        <f t="shared" si="66"/>
        <v>628.20000000000005</v>
      </c>
      <c r="F219" s="167">
        <f t="shared" si="67"/>
        <v>5653.8</v>
      </c>
      <c r="G219" s="168"/>
      <c r="H219" s="169"/>
      <c r="I219" s="16" t="s">
        <v>44</v>
      </c>
      <c r="J219" s="16"/>
    </row>
    <row r="220" spans="1:10" x14ac:dyDescent="0.25">
      <c r="A220" s="166">
        <v>45478</v>
      </c>
      <c r="B220" s="16" t="s">
        <v>298</v>
      </c>
      <c r="C220" s="16" t="s">
        <v>341</v>
      </c>
      <c r="D220" s="167">
        <v>122252</v>
      </c>
      <c r="E220" s="167">
        <f t="shared" ref="E220" si="68">+D220*10%</f>
        <v>12225.2</v>
      </c>
      <c r="F220" s="167">
        <v>106668</v>
      </c>
      <c r="G220" s="168" t="s">
        <v>329</v>
      </c>
      <c r="H220" s="169">
        <v>45485</v>
      </c>
      <c r="I220" s="16" t="s">
        <v>44</v>
      </c>
      <c r="J220" s="16"/>
    </row>
    <row r="221" spans="1:10" x14ac:dyDescent="0.25">
      <c r="A221" s="166">
        <v>45509</v>
      </c>
      <c r="B221" s="16" t="s">
        <v>298</v>
      </c>
      <c r="C221" s="16" t="s">
        <v>342</v>
      </c>
      <c r="D221" s="167">
        <v>200741.52</v>
      </c>
      <c r="E221" s="167">
        <f t="shared" ref="E221:E227" si="69">+D221*10%</f>
        <v>20074.152000000002</v>
      </c>
      <c r="F221" s="167">
        <f t="shared" ref="F221:F227" si="70">+D221-E221</f>
        <v>180667.36799999999</v>
      </c>
      <c r="G221" s="168" t="s">
        <v>329</v>
      </c>
      <c r="H221" s="169">
        <v>45485</v>
      </c>
      <c r="I221" s="16" t="s">
        <v>44</v>
      </c>
      <c r="J221" s="16"/>
    </row>
    <row r="222" spans="1:10" x14ac:dyDescent="0.25">
      <c r="A222" s="166">
        <v>45509</v>
      </c>
      <c r="B222" s="16" t="s">
        <v>53</v>
      </c>
      <c r="C222" s="16" t="s">
        <v>343</v>
      </c>
      <c r="D222" s="167">
        <v>7250</v>
      </c>
      <c r="E222" s="167">
        <f t="shared" si="69"/>
        <v>725</v>
      </c>
      <c r="F222" s="167">
        <f t="shared" si="70"/>
        <v>6525</v>
      </c>
      <c r="G222" s="168">
        <v>45448</v>
      </c>
      <c r="H222" s="169">
        <v>45493</v>
      </c>
      <c r="I222" s="16" t="s">
        <v>44</v>
      </c>
      <c r="J222" s="16"/>
    </row>
    <row r="223" spans="1:10" x14ac:dyDescent="0.25">
      <c r="A223" s="166">
        <v>45509</v>
      </c>
      <c r="B223" s="16" t="s">
        <v>336</v>
      </c>
      <c r="C223" s="153" t="s">
        <v>344</v>
      </c>
      <c r="D223" s="167">
        <v>5372.8</v>
      </c>
      <c r="E223" s="167">
        <f t="shared" si="69"/>
        <v>537.28000000000009</v>
      </c>
      <c r="F223" s="167">
        <f t="shared" si="70"/>
        <v>4835.5200000000004</v>
      </c>
      <c r="G223" s="168">
        <v>45448</v>
      </c>
      <c r="H223" s="169">
        <v>45478</v>
      </c>
      <c r="I223" s="16" t="s">
        <v>44</v>
      </c>
      <c r="J223" s="16"/>
    </row>
    <row r="224" spans="1:10" x14ac:dyDescent="0.25">
      <c r="A224" s="166">
        <v>45509</v>
      </c>
      <c r="B224" s="16" t="s">
        <v>47</v>
      </c>
      <c r="C224" s="153" t="s">
        <v>345</v>
      </c>
      <c r="D224" s="167">
        <v>26648</v>
      </c>
      <c r="E224" s="167">
        <f t="shared" si="69"/>
        <v>2664.8</v>
      </c>
      <c r="F224" s="167">
        <f t="shared" si="70"/>
        <v>23983.200000000001</v>
      </c>
      <c r="G224" s="168">
        <v>45448</v>
      </c>
      <c r="H224" s="169">
        <v>45478</v>
      </c>
      <c r="I224" s="16" t="s">
        <v>44</v>
      </c>
      <c r="J224" s="16"/>
    </row>
    <row r="225" spans="1:13" x14ac:dyDescent="0.25">
      <c r="A225" s="166">
        <v>45509</v>
      </c>
      <c r="B225" s="16" t="s">
        <v>77</v>
      </c>
      <c r="C225" s="153" t="s">
        <v>346</v>
      </c>
      <c r="D225" s="167">
        <v>2500</v>
      </c>
      <c r="E225" s="167">
        <f t="shared" si="69"/>
        <v>250</v>
      </c>
      <c r="F225" s="167">
        <f t="shared" si="70"/>
        <v>2250</v>
      </c>
      <c r="G225" s="168"/>
      <c r="H225" s="169"/>
      <c r="I225" s="16" t="s">
        <v>44</v>
      </c>
      <c r="J225" s="16"/>
    </row>
    <row r="226" spans="1:13" x14ac:dyDescent="0.25">
      <c r="A226" s="166">
        <v>45509</v>
      </c>
      <c r="B226" s="16" t="s">
        <v>70</v>
      </c>
      <c r="C226" s="153" t="s">
        <v>347</v>
      </c>
      <c r="D226" s="167">
        <v>2430</v>
      </c>
      <c r="E226" s="167">
        <f t="shared" si="69"/>
        <v>243</v>
      </c>
      <c r="F226" s="167">
        <f t="shared" si="70"/>
        <v>2187</v>
      </c>
      <c r="G226" s="168"/>
      <c r="H226" s="169"/>
      <c r="I226" s="16" t="s">
        <v>44</v>
      </c>
      <c r="J226" s="16"/>
    </row>
    <row r="227" spans="1:13" x14ac:dyDescent="0.25">
      <c r="A227" s="166">
        <v>45509</v>
      </c>
      <c r="B227" s="16" t="s">
        <v>93</v>
      </c>
      <c r="C227" s="153" t="s">
        <v>348</v>
      </c>
      <c r="D227" s="167">
        <v>32325</v>
      </c>
      <c r="E227" s="167">
        <f t="shared" si="69"/>
        <v>3232.5</v>
      </c>
      <c r="F227" s="167">
        <f t="shared" si="70"/>
        <v>29092.5</v>
      </c>
      <c r="G227" s="168"/>
      <c r="H227" s="169"/>
      <c r="I227" s="16" t="s">
        <v>44</v>
      </c>
      <c r="J227" s="16"/>
    </row>
    <row r="228" spans="1:13" x14ac:dyDescent="0.25">
      <c r="A228" s="166">
        <v>45540</v>
      </c>
      <c r="B228" s="16" t="s">
        <v>298</v>
      </c>
      <c r="C228" s="16" t="s">
        <v>349</v>
      </c>
      <c r="D228" s="167">
        <v>32060</v>
      </c>
      <c r="E228" s="167">
        <f t="shared" ref="E228:E234" si="71">+D228*10%</f>
        <v>3206</v>
      </c>
      <c r="F228" s="167">
        <f t="shared" ref="F228:F233" si="72">+D228-E228</f>
        <v>28854</v>
      </c>
      <c r="G228" s="168">
        <v>45539</v>
      </c>
      <c r="H228" s="169" t="s">
        <v>350</v>
      </c>
      <c r="I228" s="16" t="s">
        <v>44</v>
      </c>
      <c r="J228" s="16"/>
    </row>
    <row r="229" spans="1:13" x14ac:dyDescent="0.25">
      <c r="A229" s="166">
        <v>45540</v>
      </c>
      <c r="B229" s="16" t="s">
        <v>53</v>
      </c>
      <c r="C229" s="16" t="s">
        <v>351</v>
      </c>
      <c r="D229" s="167">
        <v>56124</v>
      </c>
      <c r="E229" s="167">
        <f t="shared" si="71"/>
        <v>5612.4000000000005</v>
      </c>
      <c r="F229" s="167">
        <f t="shared" si="72"/>
        <v>50511.6</v>
      </c>
      <c r="G229" s="168">
        <v>45540</v>
      </c>
      <c r="H229" s="169">
        <v>45570</v>
      </c>
      <c r="I229" s="16" t="s">
        <v>44</v>
      </c>
      <c r="J229" s="16"/>
    </row>
    <row r="230" spans="1:13" x14ac:dyDescent="0.25">
      <c r="A230" s="166">
        <v>45540</v>
      </c>
      <c r="B230" s="16" t="s">
        <v>336</v>
      </c>
      <c r="C230" s="153" t="s">
        <v>352</v>
      </c>
      <c r="D230" s="167">
        <v>33501.089999999997</v>
      </c>
      <c r="E230" s="167">
        <f t="shared" si="71"/>
        <v>3350.1089999999999</v>
      </c>
      <c r="F230" s="167">
        <f t="shared" si="72"/>
        <v>30150.980999999996</v>
      </c>
      <c r="G230" s="168">
        <v>45540</v>
      </c>
      <c r="H230" s="169">
        <v>45570</v>
      </c>
      <c r="I230" s="16" t="s">
        <v>44</v>
      </c>
      <c r="J230" s="16"/>
    </row>
    <row r="231" spans="1:13" x14ac:dyDescent="0.25">
      <c r="A231" s="166">
        <v>45540</v>
      </c>
      <c r="B231" s="16" t="s">
        <v>47</v>
      </c>
      <c r="C231" s="153" t="s">
        <v>353</v>
      </c>
      <c r="D231" s="167">
        <v>102411.5</v>
      </c>
      <c r="E231" s="167">
        <f t="shared" si="71"/>
        <v>10241.150000000001</v>
      </c>
      <c r="F231" s="167">
        <f t="shared" si="72"/>
        <v>92170.35</v>
      </c>
      <c r="G231" s="168">
        <v>45540</v>
      </c>
      <c r="H231" s="169">
        <v>45585</v>
      </c>
      <c r="I231" s="16" t="s">
        <v>44</v>
      </c>
      <c r="J231" s="16"/>
    </row>
    <row r="232" spans="1:13" x14ac:dyDescent="0.25">
      <c r="A232" s="166">
        <v>45540</v>
      </c>
      <c r="B232" s="16" t="s">
        <v>83</v>
      </c>
      <c r="C232" s="153" t="s">
        <v>354</v>
      </c>
      <c r="D232" s="167">
        <v>34300</v>
      </c>
      <c r="E232" s="167">
        <f t="shared" si="71"/>
        <v>3430</v>
      </c>
      <c r="F232" s="167">
        <f t="shared" si="72"/>
        <v>30870</v>
      </c>
      <c r="G232" s="168">
        <v>45540</v>
      </c>
      <c r="H232" s="169">
        <v>45586</v>
      </c>
      <c r="I232" s="16" t="s">
        <v>44</v>
      </c>
      <c r="J232" s="16"/>
    </row>
    <row r="233" spans="1:13" x14ac:dyDescent="0.25">
      <c r="A233" s="166">
        <v>45540</v>
      </c>
      <c r="B233" s="16" t="s">
        <v>237</v>
      </c>
      <c r="C233" s="153" t="s">
        <v>355</v>
      </c>
      <c r="D233" s="167">
        <v>21468.7</v>
      </c>
      <c r="E233" s="167">
        <f t="shared" si="71"/>
        <v>2146.8700000000003</v>
      </c>
      <c r="F233" s="167">
        <f t="shared" si="72"/>
        <v>19321.830000000002</v>
      </c>
      <c r="G233" s="168">
        <v>45540</v>
      </c>
      <c r="H233" s="169">
        <v>45570</v>
      </c>
      <c r="I233" s="16" t="s">
        <v>44</v>
      </c>
      <c r="J233" s="16"/>
    </row>
    <row r="234" spans="1:13" x14ac:dyDescent="0.25">
      <c r="A234" s="166">
        <v>45540</v>
      </c>
      <c r="B234" s="16" t="s">
        <v>187</v>
      </c>
      <c r="C234" s="153" t="s">
        <v>356</v>
      </c>
      <c r="D234" s="167">
        <v>6760.38</v>
      </c>
      <c r="E234" s="167">
        <f t="shared" si="71"/>
        <v>676.03800000000001</v>
      </c>
      <c r="F234" s="167">
        <v>4056.24</v>
      </c>
      <c r="G234" s="168"/>
      <c r="H234" s="169"/>
      <c r="I234" s="16" t="s">
        <v>44</v>
      </c>
      <c r="J234" s="16"/>
    </row>
    <row r="235" spans="1:13" x14ac:dyDescent="0.25">
      <c r="A235" s="166">
        <v>45570</v>
      </c>
      <c r="B235" s="16" t="s">
        <v>298</v>
      </c>
      <c r="C235" s="16" t="s">
        <v>357</v>
      </c>
      <c r="D235" s="167">
        <v>191243</v>
      </c>
      <c r="E235" s="167">
        <f t="shared" ref="E235:E238" si="73">+D235*10%</f>
        <v>19124.3</v>
      </c>
      <c r="F235" s="167">
        <f t="shared" ref="F235:F238" si="74">+D235-E235</f>
        <v>172118.7</v>
      </c>
      <c r="G235" s="168">
        <v>45569</v>
      </c>
      <c r="H235" s="169">
        <v>45608</v>
      </c>
      <c r="I235" s="16" t="s">
        <v>44</v>
      </c>
      <c r="J235" s="16"/>
    </row>
    <row r="236" spans="1:13" x14ac:dyDescent="0.25">
      <c r="A236" s="166">
        <v>45570</v>
      </c>
      <c r="B236" s="16" t="s">
        <v>336</v>
      </c>
      <c r="C236" s="153" t="s">
        <v>358</v>
      </c>
      <c r="D236" s="167">
        <v>18753</v>
      </c>
      <c r="E236" s="167">
        <f t="shared" si="73"/>
        <v>1875.3000000000002</v>
      </c>
      <c r="F236" s="167">
        <f t="shared" si="74"/>
        <v>16877.7</v>
      </c>
      <c r="G236" s="168">
        <v>45569</v>
      </c>
      <c r="H236" s="169">
        <v>45601</v>
      </c>
      <c r="I236" s="16" t="s">
        <v>44</v>
      </c>
      <c r="J236" s="16"/>
    </row>
    <row r="237" spans="1:13" x14ac:dyDescent="0.25">
      <c r="A237" s="166">
        <v>45570</v>
      </c>
      <c r="B237" s="16" t="s">
        <v>68</v>
      </c>
      <c r="C237" s="153" t="s">
        <v>359</v>
      </c>
      <c r="D237" s="167">
        <v>136000</v>
      </c>
      <c r="E237" s="167">
        <f t="shared" si="73"/>
        <v>13600</v>
      </c>
      <c r="F237" s="167">
        <f t="shared" si="74"/>
        <v>122400</v>
      </c>
      <c r="G237" s="168">
        <v>45569</v>
      </c>
      <c r="H237" s="169">
        <v>45606</v>
      </c>
      <c r="I237" s="16" t="s">
        <v>44</v>
      </c>
      <c r="J237" s="16"/>
      <c r="L237" s="183" t="s">
        <v>32</v>
      </c>
      <c r="M237" t="s">
        <v>360</v>
      </c>
    </row>
    <row r="238" spans="1:13" x14ac:dyDescent="0.25">
      <c r="A238" s="166">
        <v>45570</v>
      </c>
      <c r="B238" s="16" t="s">
        <v>287</v>
      </c>
      <c r="C238" s="153" t="s">
        <v>361</v>
      </c>
      <c r="D238" s="167">
        <v>31125</v>
      </c>
      <c r="E238" s="167">
        <f t="shared" si="73"/>
        <v>3112.5</v>
      </c>
      <c r="F238" s="167">
        <f t="shared" si="74"/>
        <v>28012.5</v>
      </c>
      <c r="G238" s="168">
        <v>45569</v>
      </c>
      <c r="H238" s="169">
        <v>45608</v>
      </c>
      <c r="I238" s="16" t="s">
        <v>44</v>
      </c>
      <c r="J238" s="16"/>
      <c r="L238" s="183" t="s">
        <v>39</v>
      </c>
      <c r="M238" t="s">
        <v>44</v>
      </c>
    </row>
    <row r="239" spans="1:13" x14ac:dyDescent="0.25">
      <c r="A239" s="166">
        <v>45601</v>
      </c>
      <c r="B239" s="16" t="s">
        <v>298</v>
      </c>
      <c r="C239" s="16" t="s">
        <v>362</v>
      </c>
      <c r="D239" s="167">
        <v>97200</v>
      </c>
      <c r="E239" s="167">
        <f t="shared" ref="E239:E242" si="75">+D239*10%</f>
        <v>9720</v>
      </c>
      <c r="F239" s="167">
        <f t="shared" ref="F239:F242" si="76">+D239-E239</f>
        <v>87480</v>
      </c>
      <c r="G239" s="168">
        <v>45601</v>
      </c>
      <c r="H239" s="169">
        <v>45638</v>
      </c>
      <c r="I239" s="16" t="s">
        <v>44</v>
      </c>
      <c r="J239" s="16"/>
    </row>
    <row r="240" spans="1:13" x14ac:dyDescent="0.25">
      <c r="A240" s="166">
        <v>45601</v>
      </c>
      <c r="B240" s="16" t="s">
        <v>363</v>
      </c>
      <c r="C240" s="16" t="s">
        <v>364</v>
      </c>
      <c r="D240" s="167">
        <v>2275</v>
      </c>
      <c r="E240" s="167">
        <f t="shared" si="75"/>
        <v>227.5</v>
      </c>
      <c r="F240" s="167">
        <f t="shared" si="76"/>
        <v>2047.5</v>
      </c>
      <c r="G240" s="168">
        <v>45631</v>
      </c>
      <c r="H240" s="169">
        <v>45631</v>
      </c>
      <c r="I240" s="16" t="s">
        <v>44</v>
      </c>
      <c r="J240" s="16"/>
      <c r="L240" s="183" t="s">
        <v>365</v>
      </c>
      <c r="M240" t="s">
        <v>366</v>
      </c>
    </row>
    <row r="241" spans="1:13" x14ac:dyDescent="0.25">
      <c r="A241" s="166">
        <v>45601</v>
      </c>
      <c r="B241" s="16" t="s">
        <v>239</v>
      </c>
      <c r="C241" s="153" t="s">
        <v>367</v>
      </c>
      <c r="D241" s="167">
        <v>3638.4</v>
      </c>
      <c r="E241" s="167">
        <f t="shared" si="75"/>
        <v>363.84000000000003</v>
      </c>
      <c r="F241" s="167">
        <f t="shared" si="76"/>
        <v>3274.56</v>
      </c>
      <c r="G241" s="168">
        <v>45601</v>
      </c>
      <c r="H241" s="169">
        <v>45647</v>
      </c>
      <c r="I241" s="16" t="s">
        <v>44</v>
      </c>
      <c r="J241" s="16"/>
      <c r="L241" s="148" t="s">
        <v>368</v>
      </c>
      <c r="M241" s="184">
        <v>994713.04</v>
      </c>
    </row>
    <row r="242" spans="1:13" x14ac:dyDescent="0.25">
      <c r="A242" s="166">
        <v>45601</v>
      </c>
      <c r="B242" s="16" t="s">
        <v>336</v>
      </c>
      <c r="C242" s="153" t="s">
        <v>369</v>
      </c>
      <c r="D242" s="167">
        <v>31140.29</v>
      </c>
      <c r="E242" s="167">
        <f t="shared" si="75"/>
        <v>3114.0290000000005</v>
      </c>
      <c r="F242" s="167">
        <f t="shared" si="76"/>
        <v>28026.260999999999</v>
      </c>
      <c r="G242" s="168">
        <v>45601</v>
      </c>
      <c r="H242" s="169">
        <v>45631</v>
      </c>
      <c r="I242" s="16" t="s">
        <v>44</v>
      </c>
      <c r="J242" s="16"/>
      <c r="L242" s="148" t="s">
        <v>370</v>
      </c>
      <c r="M242" s="184">
        <v>2883902.42</v>
      </c>
    </row>
    <row r="243" spans="1:13" x14ac:dyDescent="0.25">
      <c r="A243" s="166">
        <v>45631</v>
      </c>
      <c r="B243" s="16" t="s">
        <v>298</v>
      </c>
      <c r="C243" s="16" t="s">
        <v>371</v>
      </c>
      <c r="D243" s="167">
        <v>23056</v>
      </c>
      <c r="E243" s="167">
        <f t="shared" ref="E243:E245" si="77">+D243*10%</f>
        <v>2305.6</v>
      </c>
      <c r="F243" s="167">
        <f t="shared" ref="F243:F245" si="78">+D243-E243</f>
        <v>20750.400000000001</v>
      </c>
      <c r="G243" s="168">
        <v>45629</v>
      </c>
      <c r="H243" s="169">
        <v>45669</v>
      </c>
      <c r="I243" s="16" t="s">
        <v>44</v>
      </c>
      <c r="J243" s="16"/>
      <c r="L243" s="148" t="s">
        <v>372</v>
      </c>
      <c r="M243" s="184">
        <v>3309290.27</v>
      </c>
    </row>
    <row r="244" spans="1:13" x14ac:dyDescent="0.25">
      <c r="A244" s="166">
        <v>45631</v>
      </c>
      <c r="B244" s="16" t="s">
        <v>239</v>
      </c>
      <c r="C244" s="153" t="s">
        <v>373</v>
      </c>
      <c r="D244" s="167">
        <v>23857</v>
      </c>
      <c r="E244" s="167">
        <f t="shared" si="77"/>
        <v>2385.7000000000003</v>
      </c>
      <c r="F244" s="167">
        <f t="shared" si="78"/>
        <v>21471.3</v>
      </c>
      <c r="G244" s="168">
        <v>45629</v>
      </c>
      <c r="H244" s="169">
        <v>45678</v>
      </c>
      <c r="I244" s="16" t="s">
        <v>44</v>
      </c>
      <c r="J244" s="16"/>
      <c r="L244" s="148" t="s">
        <v>374</v>
      </c>
      <c r="M244" s="184">
        <v>2645060.9099999997</v>
      </c>
    </row>
    <row r="245" spans="1:13" x14ac:dyDescent="0.25">
      <c r="A245" s="166">
        <v>45631</v>
      </c>
      <c r="B245" s="16" t="s">
        <v>336</v>
      </c>
      <c r="C245" s="153" t="s">
        <v>375</v>
      </c>
      <c r="D245" s="167">
        <v>1500</v>
      </c>
      <c r="E245" s="167">
        <f t="shared" si="77"/>
        <v>150</v>
      </c>
      <c r="F245" s="167">
        <f t="shared" si="78"/>
        <v>1350</v>
      </c>
      <c r="G245" s="168">
        <v>45629</v>
      </c>
      <c r="H245" s="169">
        <v>45662</v>
      </c>
      <c r="I245" s="16" t="s">
        <v>44</v>
      </c>
      <c r="J245" s="16"/>
      <c r="L245" s="148" t="s">
        <v>376</v>
      </c>
      <c r="M245" s="184">
        <v>184259.44</v>
      </c>
    </row>
    <row r="246" spans="1:13" x14ac:dyDescent="0.25">
      <c r="A246" s="166">
        <v>45631</v>
      </c>
      <c r="B246" s="16" t="s">
        <v>155</v>
      </c>
      <c r="C246" s="153" t="s">
        <v>377</v>
      </c>
      <c r="D246" s="167">
        <v>16200</v>
      </c>
      <c r="E246" s="167">
        <f>+D246*10%</f>
        <v>1620</v>
      </c>
      <c r="F246" s="167">
        <f>+D246-E246</f>
        <v>14580</v>
      </c>
      <c r="G246" s="168">
        <v>45629</v>
      </c>
      <c r="H246" s="169">
        <v>45662</v>
      </c>
      <c r="I246" s="16" t="s">
        <v>44</v>
      </c>
      <c r="J246" s="16"/>
    </row>
    <row r="247" spans="1:13" x14ac:dyDescent="0.25">
      <c r="A247" s="166">
        <v>45631</v>
      </c>
      <c r="B247" s="16" t="s">
        <v>378</v>
      </c>
      <c r="C247" s="153" t="s">
        <v>379</v>
      </c>
      <c r="D247" s="167">
        <v>14880</v>
      </c>
      <c r="E247" s="167">
        <f>+D247*10%</f>
        <v>1488</v>
      </c>
      <c r="F247" s="167">
        <f>+D247-E247</f>
        <v>13392</v>
      </c>
      <c r="G247" s="168"/>
      <c r="H247" s="169"/>
      <c r="I247" s="16" t="s">
        <v>44</v>
      </c>
      <c r="J247" s="16"/>
    </row>
    <row r="248" spans="1:13" x14ac:dyDescent="0.25">
      <c r="A248" s="166">
        <v>45693</v>
      </c>
      <c r="B248" s="38" t="s">
        <v>298</v>
      </c>
      <c r="C248" s="38" t="s">
        <v>380</v>
      </c>
      <c r="D248" s="182">
        <v>59884</v>
      </c>
      <c r="E248" s="176">
        <f t="shared" ref="E248:E249" si="79">+D248*10%</f>
        <v>5988.4000000000005</v>
      </c>
      <c r="F248" s="176">
        <f t="shared" ref="F248:F249" si="80">+D248-E248</f>
        <v>53895.6</v>
      </c>
      <c r="G248" s="177">
        <v>45693</v>
      </c>
      <c r="H248" s="178">
        <v>45728</v>
      </c>
      <c r="I248" s="38" t="s">
        <v>381</v>
      </c>
      <c r="J248" s="38"/>
    </row>
    <row r="249" spans="1:13" x14ac:dyDescent="0.25">
      <c r="A249" s="166">
        <v>45693</v>
      </c>
      <c r="B249" s="38" t="s">
        <v>336</v>
      </c>
      <c r="C249" s="148" t="s">
        <v>382</v>
      </c>
      <c r="D249" s="176">
        <v>1275</v>
      </c>
      <c r="E249" s="176">
        <f t="shared" si="79"/>
        <v>127.5</v>
      </c>
      <c r="F249" s="176">
        <f t="shared" si="80"/>
        <v>1147.5</v>
      </c>
      <c r="G249" s="177">
        <v>45693</v>
      </c>
      <c r="H249" s="178">
        <v>45721</v>
      </c>
      <c r="I249" s="38" t="s">
        <v>381</v>
      </c>
      <c r="J249" s="38"/>
    </row>
    <row r="250" spans="1:13" x14ac:dyDescent="0.25">
      <c r="A250" s="166">
        <v>45693</v>
      </c>
      <c r="B250" s="38" t="s">
        <v>153</v>
      </c>
      <c r="C250" s="148" t="s">
        <v>383</v>
      </c>
      <c r="D250" s="176">
        <v>6291</v>
      </c>
      <c r="E250" s="176">
        <f>+D250*10%</f>
        <v>629.1</v>
      </c>
      <c r="F250" s="176">
        <f>+D250-E250</f>
        <v>5661.9</v>
      </c>
      <c r="G250" s="177">
        <v>45693</v>
      </c>
      <c r="H250" s="178">
        <v>45721</v>
      </c>
      <c r="I250" s="38" t="s">
        <v>44</v>
      </c>
      <c r="J250" s="38"/>
    </row>
    <row r="251" spans="1:13" x14ac:dyDescent="0.25">
      <c r="A251" s="166">
        <v>45693</v>
      </c>
      <c r="B251" s="38" t="s">
        <v>51</v>
      </c>
      <c r="C251" s="38" t="s">
        <v>385</v>
      </c>
      <c r="D251" s="176">
        <v>17280</v>
      </c>
      <c r="E251" s="176">
        <f t="shared" ref="E251" si="81">+D251*10%</f>
        <v>1728</v>
      </c>
      <c r="F251" s="176">
        <f t="shared" ref="F251" si="82">+D251-E251</f>
        <v>15552</v>
      </c>
      <c r="G251" s="177">
        <v>45693</v>
      </c>
      <c r="H251" s="178">
        <v>45722</v>
      </c>
      <c r="I251" s="38" t="s">
        <v>44</v>
      </c>
      <c r="J251" s="38"/>
      <c r="L251" s="148" t="s">
        <v>386</v>
      </c>
    </row>
    <row r="252" spans="1:13" x14ac:dyDescent="0.25">
      <c r="A252" s="166">
        <v>45721</v>
      </c>
      <c r="B252" s="38" t="s">
        <v>298</v>
      </c>
      <c r="C252" s="38" t="s">
        <v>387</v>
      </c>
      <c r="D252" s="165">
        <v>103680</v>
      </c>
      <c r="E252" s="176">
        <f t="shared" ref="E252:E253" si="83">+D252*10%</f>
        <v>10368</v>
      </c>
      <c r="F252" s="176">
        <f t="shared" ref="F252:F253" si="84">+D252-E252</f>
        <v>93312</v>
      </c>
      <c r="G252" s="177">
        <v>45693</v>
      </c>
      <c r="H252" s="178">
        <v>45728</v>
      </c>
      <c r="I252" s="38" t="s">
        <v>44</v>
      </c>
      <c r="J252" s="38"/>
      <c r="L252" s="148"/>
    </row>
    <row r="253" spans="1:13" x14ac:dyDescent="0.25">
      <c r="A253" s="166">
        <v>45721</v>
      </c>
      <c r="B253" s="38" t="s">
        <v>239</v>
      </c>
      <c r="C253" s="148" t="s">
        <v>388</v>
      </c>
      <c r="D253" s="176">
        <v>4752</v>
      </c>
      <c r="E253" s="176">
        <f t="shared" si="83"/>
        <v>475.20000000000005</v>
      </c>
      <c r="F253" s="176">
        <f t="shared" si="84"/>
        <v>4276.8</v>
      </c>
      <c r="G253" s="177">
        <v>45693</v>
      </c>
      <c r="H253" s="178">
        <v>45721</v>
      </c>
      <c r="I253" s="38" t="s">
        <v>44</v>
      </c>
      <c r="J253" s="38"/>
      <c r="L253" s="183" t="s">
        <v>32</v>
      </c>
      <c r="M253" t="s">
        <v>360</v>
      </c>
    </row>
    <row r="254" spans="1:13" x14ac:dyDescent="0.25">
      <c r="A254" s="166">
        <v>45721</v>
      </c>
      <c r="B254" s="38" t="s">
        <v>130</v>
      </c>
      <c r="C254" s="148" t="s">
        <v>389</v>
      </c>
      <c r="D254" s="176">
        <v>8925</v>
      </c>
      <c r="E254" s="176">
        <f>+D254*10%</f>
        <v>892.5</v>
      </c>
      <c r="F254" s="176">
        <f>+D254-E254</f>
        <v>8032.5</v>
      </c>
      <c r="G254" s="177">
        <v>45693</v>
      </c>
      <c r="H254" s="178">
        <v>45721</v>
      </c>
      <c r="I254" s="38" t="s">
        <v>381</v>
      </c>
      <c r="J254" s="38"/>
    </row>
    <row r="255" spans="1:13" x14ac:dyDescent="0.25">
      <c r="A255" s="177">
        <v>45752</v>
      </c>
      <c r="B255" s="38" t="s">
        <v>298</v>
      </c>
      <c r="C255" s="38" t="s">
        <v>390</v>
      </c>
      <c r="D255" s="189">
        <v>17496</v>
      </c>
      <c r="E255" s="189">
        <f t="shared" ref="E255:E257" si="85">+D255*10%</f>
        <v>1749.6000000000001</v>
      </c>
      <c r="F255" s="189">
        <f t="shared" ref="F255:F257" si="86">+D255-E255</f>
        <v>15746.4</v>
      </c>
      <c r="G255" s="177">
        <v>45752</v>
      </c>
      <c r="H255" s="178">
        <v>45789</v>
      </c>
      <c r="I255" s="38" t="s">
        <v>44</v>
      </c>
      <c r="J255" s="38"/>
      <c r="L255" s="183" t="s">
        <v>365</v>
      </c>
      <c r="M255" t="s">
        <v>391</v>
      </c>
    </row>
    <row r="256" spans="1:13" x14ac:dyDescent="0.25">
      <c r="A256" s="177">
        <v>45752</v>
      </c>
      <c r="B256" s="38" t="s">
        <v>239</v>
      </c>
      <c r="C256" s="38" t="s">
        <v>389</v>
      </c>
      <c r="D256" s="189">
        <v>2138.4</v>
      </c>
      <c r="E256" s="189">
        <f t="shared" si="85"/>
        <v>213.84000000000003</v>
      </c>
      <c r="F256" s="189">
        <f t="shared" si="86"/>
        <v>1924.56</v>
      </c>
      <c r="G256" s="177">
        <v>45752</v>
      </c>
      <c r="H256" s="178">
        <v>45782</v>
      </c>
      <c r="I256" s="38" t="s">
        <v>44</v>
      </c>
      <c r="J256" s="38"/>
      <c r="L256" s="148" t="s">
        <v>368</v>
      </c>
      <c r="M256" s="184">
        <v>99471.304000000004</v>
      </c>
    </row>
    <row r="257" spans="1:13" x14ac:dyDescent="0.25">
      <c r="A257" s="177">
        <v>45752</v>
      </c>
      <c r="B257" s="38" t="s">
        <v>155</v>
      </c>
      <c r="C257" s="38" t="s">
        <v>392</v>
      </c>
      <c r="D257" s="189">
        <v>4204.4399999999996</v>
      </c>
      <c r="E257" s="189">
        <f t="shared" si="85"/>
        <v>420.44399999999996</v>
      </c>
      <c r="F257" s="189">
        <f t="shared" si="86"/>
        <v>3783.9959999999996</v>
      </c>
      <c r="G257" s="177">
        <v>45752</v>
      </c>
      <c r="H257" s="178">
        <v>45783</v>
      </c>
      <c r="I257" s="38" t="s">
        <v>44</v>
      </c>
      <c r="J257" s="38"/>
      <c r="L257" s="148" t="s">
        <v>370</v>
      </c>
      <c r="M257" s="184">
        <v>287969.913</v>
      </c>
    </row>
    <row r="258" spans="1:13" x14ac:dyDescent="0.25">
      <c r="L258" s="148" t="s">
        <v>372</v>
      </c>
      <c r="M258" s="184">
        <v>330929.02699999994</v>
      </c>
    </row>
    <row r="259" spans="1:13" x14ac:dyDescent="0.25">
      <c r="L259" s="148" t="s">
        <v>374</v>
      </c>
      <c r="M259" s="184">
        <v>266234.09100000001</v>
      </c>
    </row>
    <row r="260" spans="1:13" x14ac:dyDescent="0.25">
      <c r="L260" s="148" t="s">
        <v>376</v>
      </c>
      <c r="M260" s="184">
        <v>22592.583999999999</v>
      </c>
    </row>
  </sheetData>
  <conditionalFormatting sqref="A1:J254 J255:J256 A255:I257">
    <cfRule type="expression" dxfId="1" priority="1">
      <formula>$I1="Nulo"</formula>
    </cfRule>
    <cfRule type="expression" dxfId="0" priority="2">
      <formula>$I1="pagada"</formula>
    </cfRule>
  </conditionalFormatting>
  <pageMargins left="0.7" right="0.7" top="0.75" bottom="0.75" header="0.3" footer="0.3"/>
  <drawing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02"/>
  <sheetViews>
    <sheetView tabSelected="1" topLeftCell="A572" workbookViewId="0">
      <selection activeCell="F602" sqref="F602"/>
    </sheetView>
  </sheetViews>
  <sheetFormatPr baseColWidth="10" defaultColWidth="11.42578125" defaultRowHeight="15" x14ac:dyDescent="0.25"/>
  <cols>
    <col min="1" max="1" width="16.7109375" customWidth="1"/>
    <col min="2" max="2" width="15" customWidth="1"/>
    <col min="3" max="3" width="21.28515625" customWidth="1"/>
    <col min="4" max="4" width="24.5703125" customWidth="1"/>
    <col min="5" max="5" width="19" customWidth="1"/>
    <col min="6" max="6" width="22.140625" customWidth="1"/>
    <col min="7" max="7" width="16.140625" customWidth="1"/>
    <col min="8" max="9" width="17.28515625" customWidth="1"/>
  </cols>
  <sheetData>
    <row r="1" spans="1:13" ht="60" customHeight="1" thickBot="1" x14ac:dyDescent="0.3">
      <c r="A1" s="416" t="s">
        <v>393</v>
      </c>
      <c r="B1" s="417"/>
      <c r="C1" s="417"/>
      <c r="D1" s="417"/>
      <c r="E1" s="417"/>
      <c r="F1" s="417"/>
      <c r="G1" s="417"/>
      <c r="H1" s="417"/>
      <c r="I1" s="417"/>
      <c r="J1" s="417"/>
      <c r="K1" s="417"/>
    </row>
    <row r="2" spans="1:13" ht="15.75" thickBot="1" x14ac:dyDescent="0.3">
      <c r="A2" s="10" t="s">
        <v>32</v>
      </c>
      <c r="B2" s="10" t="s">
        <v>33</v>
      </c>
      <c r="C2" s="10" t="s">
        <v>34</v>
      </c>
      <c r="D2" s="10" t="s">
        <v>35</v>
      </c>
      <c r="E2" s="10" t="s">
        <v>36</v>
      </c>
      <c r="F2" s="10" t="s">
        <v>37</v>
      </c>
      <c r="G2" s="10" t="s">
        <v>38</v>
      </c>
      <c r="H2" s="10" t="s">
        <v>40</v>
      </c>
      <c r="I2" s="11"/>
    </row>
    <row r="3" spans="1:13" x14ac:dyDescent="0.25">
      <c r="A3" s="57" t="s">
        <v>41</v>
      </c>
      <c r="B3" s="58" t="s">
        <v>42</v>
      </c>
      <c r="C3" s="79">
        <v>12300</v>
      </c>
      <c r="D3" s="79">
        <v>1230</v>
      </c>
      <c r="E3" s="79">
        <v>11070</v>
      </c>
      <c r="F3" s="59">
        <v>44383</v>
      </c>
      <c r="G3" s="80" t="s">
        <v>43</v>
      </c>
      <c r="H3" s="81"/>
      <c r="I3" s="16"/>
    </row>
    <row r="4" spans="1:13" x14ac:dyDescent="0.25">
      <c r="A4" s="54" t="s">
        <v>45</v>
      </c>
      <c r="B4" s="47" t="s">
        <v>46</v>
      </c>
      <c r="C4" s="82">
        <v>8640</v>
      </c>
      <c r="D4" s="82">
        <v>864</v>
      </c>
      <c r="E4" s="82">
        <v>7776</v>
      </c>
      <c r="F4" s="55">
        <v>44382</v>
      </c>
      <c r="G4" s="83">
        <v>44413</v>
      </c>
      <c r="H4" s="77"/>
      <c r="I4" s="16"/>
      <c r="K4" s="46"/>
      <c r="L4" s="1" t="s">
        <v>394</v>
      </c>
      <c r="M4" s="1"/>
    </row>
    <row r="5" spans="1:13" x14ac:dyDescent="0.25">
      <c r="A5" s="54" t="s">
        <v>47</v>
      </c>
      <c r="B5" s="47" t="s">
        <v>48</v>
      </c>
      <c r="C5" s="82">
        <v>31170</v>
      </c>
      <c r="D5" s="82">
        <v>3117</v>
      </c>
      <c r="E5" s="82">
        <f>+C5-D5</f>
        <v>28053</v>
      </c>
      <c r="F5" s="55">
        <v>44384</v>
      </c>
      <c r="G5" s="83">
        <v>44428</v>
      </c>
      <c r="H5" s="77"/>
      <c r="I5" s="16"/>
      <c r="K5" s="45"/>
      <c r="L5" s="1" t="s">
        <v>395</v>
      </c>
      <c r="M5" s="1"/>
    </row>
    <row r="6" spans="1:13" x14ac:dyDescent="0.25">
      <c r="A6" s="54" t="s">
        <v>49</v>
      </c>
      <c r="B6" s="47" t="s">
        <v>50</v>
      </c>
      <c r="C6" s="82">
        <v>1445</v>
      </c>
      <c r="D6" s="82">
        <v>144.5</v>
      </c>
      <c r="E6" s="82">
        <f>+C6-D6</f>
        <v>1300.5</v>
      </c>
      <c r="F6" s="55">
        <v>44382</v>
      </c>
      <c r="G6" s="83">
        <v>44413</v>
      </c>
      <c r="H6" s="77"/>
      <c r="I6" s="16"/>
      <c r="K6" s="18"/>
      <c r="L6" s="1" t="s">
        <v>396</v>
      </c>
      <c r="M6" s="1"/>
    </row>
    <row r="7" spans="1:13" x14ac:dyDescent="0.25">
      <c r="A7" s="54" t="s">
        <v>51</v>
      </c>
      <c r="B7" s="47" t="s">
        <v>52</v>
      </c>
      <c r="C7" s="82">
        <v>10000</v>
      </c>
      <c r="D7" s="82">
        <v>1000</v>
      </c>
      <c r="E7" s="82">
        <v>9000</v>
      </c>
      <c r="F7" s="55">
        <v>44384</v>
      </c>
      <c r="G7" s="83">
        <v>44440</v>
      </c>
      <c r="H7" s="77"/>
      <c r="I7" s="16"/>
      <c r="K7" s="47"/>
      <c r="L7" s="1" t="s">
        <v>397</v>
      </c>
      <c r="M7" s="1"/>
    </row>
    <row r="8" spans="1:13" x14ac:dyDescent="0.25">
      <c r="A8" s="54" t="s">
        <v>53</v>
      </c>
      <c r="B8" s="47" t="s">
        <v>54</v>
      </c>
      <c r="C8" s="82">
        <v>4717.5</v>
      </c>
      <c r="D8" s="82">
        <v>471.75</v>
      </c>
      <c r="E8" s="82">
        <f>+C8-D8</f>
        <v>4245.75</v>
      </c>
      <c r="F8" s="55">
        <v>44382</v>
      </c>
      <c r="G8" s="83">
        <v>44413</v>
      </c>
      <c r="H8" s="77"/>
      <c r="I8" s="16"/>
      <c r="K8" s="45"/>
      <c r="L8" s="1"/>
      <c r="M8" s="1"/>
    </row>
    <row r="9" spans="1:13" ht="19.5" thickBot="1" x14ac:dyDescent="0.35">
      <c r="A9" s="65" t="s">
        <v>398</v>
      </c>
      <c r="B9" s="66"/>
      <c r="C9" s="67">
        <f>SUM(C3:C8)</f>
        <v>68272.5</v>
      </c>
      <c r="D9" s="67">
        <f>SUM(D3:D8)</f>
        <v>6827.25</v>
      </c>
      <c r="E9" s="68">
        <f>SUM(E3:E8)</f>
        <v>61445.25</v>
      </c>
      <c r="F9" s="4"/>
      <c r="G9" s="4"/>
      <c r="H9" s="5"/>
    </row>
    <row r="11" spans="1:13" ht="27" thickBot="1" x14ac:dyDescent="0.45">
      <c r="C11" s="78" t="s">
        <v>399</v>
      </c>
      <c r="G11">
        <v>2</v>
      </c>
    </row>
    <row r="12" spans="1:13" ht="15.75" thickBot="1" x14ac:dyDescent="0.3">
      <c r="A12" s="10" t="s">
        <v>32</v>
      </c>
      <c r="B12" s="10" t="s">
        <v>33</v>
      </c>
      <c r="C12" s="10" t="s">
        <v>34</v>
      </c>
      <c r="D12" s="10" t="s">
        <v>35</v>
      </c>
      <c r="E12" s="10" t="s">
        <v>36</v>
      </c>
      <c r="F12" s="10" t="s">
        <v>37</v>
      </c>
      <c r="G12" s="10" t="s">
        <v>38</v>
      </c>
      <c r="H12" s="10" t="s">
        <v>40</v>
      </c>
      <c r="I12" s="11"/>
    </row>
    <row r="13" spans="1:13" ht="15.75" thickBot="1" x14ac:dyDescent="0.3">
      <c r="A13" s="57" t="s">
        <v>41</v>
      </c>
      <c r="B13" s="58" t="s">
        <v>55</v>
      </c>
      <c r="C13" s="79">
        <v>224460</v>
      </c>
      <c r="D13" s="79">
        <f>+C13*10%</f>
        <v>22446</v>
      </c>
      <c r="E13" s="79">
        <f>+C13-D13</f>
        <v>202014</v>
      </c>
      <c r="F13" s="59">
        <v>44412</v>
      </c>
      <c r="G13" s="80" t="s">
        <v>56</v>
      </c>
      <c r="H13" s="81"/>
      <c r="I13" s="16"/>
    </row>
    <row r="14" spans="1:13" ht="15.75" thickBot="1" x14ac:dyDescent="0.3">
      <c r="A14" s="54" t="s">
        <v>45</v>
      </c>
      <c r="B14" s="47" t="s">
        <v>57</v>
      </c>
      <c r="C14" s="82">
        <v>14208.75</v>
      </c>
      <c r="D14" s="79">
        <f t="shared" ref="D14:D18" si="0">+C14*10%</f>
        <v>1420.875</v>
      </c>
      <c r="E14" s="79">
        <f t="shared" ref="E14:E18" si="1">+C14-D14</f>
        <v>12787.875</v>
      </c>
      <c r="F14" s="55">
        <v>44412</v>
      </c>
      <c r="G14" s="83">
        <v>44444</v>
      </c>
      <c r="H14" s="77"/>
      <c r="I14" s="16"/>
    </row>
    <row r="15" spans="1:13" ht="15.75" thickBot="1" x14ac:dyDescent="0.3">
      <c r="A15" s="54" t="s">
        <v>47</v>
      </c>
      <c r="B15" s="47" t="s">
        <v>58</v>
      </c>
      <c r="C15" s="82">
        <v>47449.48</v>
      </c>
      <c r="D15" s="79">
        <f t="shared" si="0"/>
        <v>4744.9480000000003</v>
      </c>
      <c r="E15" s="79">
        <f t="shared" si="1"/>
        <v>42704.532000000007</v>
      </c>
      <c r="F15" s="55">
        <v>44412</v>
      </c>
      <c r="G15" s="83">
        <v>44459</v>
      </c>
      <c r="H15" s="77"/>
      <c r="I15" s="16"/>
    </row>
    <row r="16" spans="1:13" ht="15.75" thickBot="1" x14ac:dyDescent="0.3">
      <c r="A16" s="54" t="s">
        <v>49</v>
      </c>
      <c r="B16" s="47" t="s">
        <v>59</v>
      </c>
      <c r="C16" s="82">
        <v>30220</v>
      </c>
      <c r="D16" s="79">
        <f t="shared" si="0"/>
        <v>3022</v>
      </c>
      <c r="E16" s="79">
        <f t="shared" si="1"/>
        <v>27198</v>
      </c>
      <c r="F16" s="55">
        <v>44320</v>
      </c>
      <c r="G16" s="83">
        <v>44444</v>
      </c>
      <c r="H16" s="77"/>
      <c r="I16" s="16"/>
    </row>
    <row r="17" spans="1:13" ht="15.75" thickBot="1" x14ac:dyDescent="0.3">
      <c r="A17" s="54" t="s">
        <v>51</v>
      </c>
      <c r="B17" s="47" t="s">
        <v>60</v>
      </c>
      <c r="C17" s="82">
        <v>9100</v>
      </c>
      <c r="D17" s="79">
        <f t="shared" si="0"/>
        <v>910</v>
      </c>
      <c r="E17" s="79">
        <f t="shared" si="1"/>
        <v>8190</v>
      </c>
      <c r="F17" s="55">
        <v>44412</v>
      </c>
      <c r="G17" s="83" t="s">
        <v>56</v>
      </c>
      <c r="H17" s="77"/>
      <c r="I17" s="16"/>
    </row>
    <row r="18" spans="1:13" x14ac:dyDescent="0.25">
      <c r="A18" s="54" t="s">
        <v>53</v>
      </c>
      <c r="B18" s="47" t="s">
        <v>61</v>
      </c>
      <c r="C18" s="82">
        <v>43354</v>
      </c>
      <c r="D18" s="79">
        <f t="shared" si="0"/>
        <v>4335.4000000000005</v>
      </c>
      <c r="E18" s="79">
        <f t="shared" si="1"/>
        <v>39018.6</v>
      </c>
      <c r="F18" s="55">
        <v>44412</v>
      </c>
      <c r="G18" s="83">
        <v>44444</v>
      </c>
      <c r="H18" s="77"/>
      <c r="I18" s="16"/>
    </row>
    <row r="19" spans="1:13" ht="19.5" thickBot="1" x14ac:dyDescent="0.35">
      <c r="A19" s="65" t="s">
        <v>398</v>
      </c>
      <c r="B19" s="66"/>
      <c r="C19" s="67">
        <f>SUM(C13:C18)</f>
        <v>368792.23</v>
      </c>
      <c r="D19" s="67">
        <f>SUM(D13:D18)</f>
        <v>36879.222999999998</v>
      </c>
      <c r="E19" s="68">
        <f>SUM(E13:E18)</f>
        <v>331913.00699999998</v>
      </c>
      <c r="F19" s="4"/>
      <c r="G19" s="4"/>
      <c r="H19" s="5"/>
    </row>
    <row r="20" spans="1:13" x14ac:dyDescent="0.25">
      <c r="M20" s="76"/>
    </row>
    <row r="21" spans="1:13" ht="23.25" x14ac:dyDescent="0.35">
      <c r="C21" s="84" t="s">
        <v>400</v>
      </c>
    </row>
    <row r="22" spans="1:13" ht="15.75" thickBot="1" x14ac:dyDescent="0.3"/>
    <row r="23" spans="1:13" ht="15.75" thickBot="1" x14ac:dyDescent="0.3">
      <c r="A23" s="10" t="s">
        <v>32</v>
      </c>
      <c r="B23" s="10" t="s">
        <v>33</v>
      </c>
      <c r="C23" s="10" t="s">
        <v>34</v>
      </c>
      <c r="D23" s="10" t="s">
        <v>35</v>
      </c>
      <c r="E23" s="10" t="s">
        <v>36</v>
      </c>
      <c r="F23" s="10" t="s">
        <v>37</v>
      </c>
      <c r="G23" s="10" t="s">
        <v>38</v>
      </c>
      <c r="H23" s="10" t="s">
        <v>40</v>
      </c>
      <c r="I23" s="11"/>
    </row>
    <row r="24" spans="1:13" ht="15.75" thickBot="1" x14ac:dyDescent="0.3">
      <c r="A24" s="57" t="s">
        <v>41</v>
      </c>
      <c r="B24" s="58" t="s">
        <v>62</v>
      </c>
      <c r="C24" s="79">
        <v>25780</v>
      </c>
      <c r="D24" s="79">
        <f>+C24*10%</f>
        <v>2578</v>
      </c>
      <c r="E24" s="79">
        <f>+C24-D24</f>
        <v>23202</v>
      </c>
      <c r="F24" s="59">
        <v>44442</v>
      </c>
      <c r="G24" s="80" t="s">
        <v>63</v>
      </c>
      <c r="H24" s="81"/>
      <c r="I24" s="16"/>
    </row>
    <row r="25" spans="1:13" ht="15.75" thickBot="1" x14ac:dyDescent="0.3">
      <c r="A25" s="54" t="s">
        <v>47</v>
      </c>
      <c r="B25" s="47" t="s">
        <v>64</v>
      </c>
      <c r="C25" s="82">
        <v>8835</v>
      </c>
      <c r="D25" s="79">
        <f t="shared" ref="D25:D33" si="2">+C25*10%</f>
        <v>883.5</v>
      </c>
      <c r="E25" s="79">
        <f t="shared" ref="E25:E33" si="3">+C25-D25</f>
        <v>7951.5</v>
      </c>
      <c r="F25" s="55">
        <v>44442</v>
      </c>
      <c r="G25" s="83">
        <v>44489</v>
      </c>
      <c r="H25" s="77"/>
      <c r="I25" s="16"/>
    </row>
    <row r="26" spans="1:13" ht="15.75" thickBot="1" x14ac:dyDescent="0.3">
      <c r="A26" s="54" t="s">
        <v>49</v>
      </c>
      <c r="B26" s="47" t="s">
        <v>65</v>
      </c>
      <c r="C26" s="82">
        <v>11790</v>
      </c>
      <c r="D26" s="79">
        <f t="shared" si="2"/>
        <v>1179</v>
      </c>
      <c r="E26" s="79">
        <f t="shared" si="3"/>
        <v>10611</v>
      </c>
      <c r="F26" s="55">
        <v>44442</v>
      </c>
      <c r="G26" s="83">
        <v>44474</v>
      </c>
      <c r="H26" s="77"/>
      <c r="I26" s="16"/>
    </row>
    <row r="27" spans="1:13" ht="15.75" thickBot="1" x14ac:dyDescent="0.3">
      <c r="A27" s="54" t="s">
        <v>51</v>
      </c>
      <c r="B27" s="47" t="s">
        <v>66</v>
      </c>
      <c r="C27" s="82">
        <v>17500</v>
      </c>
      <c r="D27" s="79">
        <f t="shared" si="2"/>
        <v>1750</v>
      </c>
      <c r="E27" s="79">
        <f t="shared" si="3"/>
        <v>15750</v>
      </c>
      <c r="F27" s="55">
        <v>44442</v>
      </c>
      <c r="G27" s="83" t="s">
        <v>63</v>
      </c>
      <c r="H27" s="77"/>
      <c r="I27" s="16"/>
    </row>
    <row r="28" spans="1:13" ht="15.75" thickBot="1" x14ac:dyDescent="0.3">
      <c r="A28" s="54" t="s">
        <v>53</v>
      </c>
      <c r="B28" s="47" t="s">
        <v>67</v>
      </c>
      <c r="C28" s="82">
        <v>87730.16</v>
      </c>
      <c r="D28" s="79">
        <f t="shared" si="2"/>
        <v>8773.0160000000014</v>
      </c>
      <c r="E28" s="79">
        <f t="shared" si="3"/>
        <v>78957.144</v>
      </c>
      <c r="F28" s="55">
        <v>44442</v>
      </c>
      <c r="G28" s="83">
        <v>44474</v>
      </c>
      <c r="H28" s="77"/>
      <c r="I28" s="16"/>
    </row>
    <row r="29" spans="1:13" x14ac:dyDescent="0.25">
      <c r="A29" s="54" t="s">
        <v>68</v>
      </c>
      <c r="B29" s="47" t="s">
        <v>69</v>
      </c>
      <c r="C29" s="82">
        <v>10464</v>
      </c>
      <c r="D29" s="79">
        <f t="shared" si="2"/>
        <v>1046.4000000000001</v>
      </c>
      <c r="E29" s="79">
        <f t="shared" si="3"/>
        <v>9417.6</v>
      </c>
      <c r="F29" s="55">
        <v>44442</v>
      </c>
      <c r="G29" s="83">
        <v>44479</v>
      </c>
      <c r="H29" s="77"/>
      <c r="I29" s="16"/>
    </row>
    <row r="30" spans="1:13" x14ac:dyDescent="0.25">
      <c r="A30" s="89" t="s">
        <v>70</v>
      </c>
      <c r="B30" s="73" t="s">
        <v>71</v>
      </c>
      <c r="C30" s="90">
        <v>4037</v>
      </c>
      <c r="D30" s="86">
        <f t="shared" si="2"/>
        <v>403.70000000000005</v>
      </c>
      <c r="E30" s="86">
        <f t="shared" si="3"/>
        <v>3633.3</v>
      </c>
      <c r="F30" s="74">
        <v>44442</v>
      </c>
      <c r="G30" s="87">
        <v>44479</v>
      </c>
      <c r="H30" s="88"/>
      <c r="I30" s="16"/>
    </row>
    <row r="31" spans="1:13" x14ac:dyDescent="0.25">
      <c r="A31" s="89" t="s">
        <v>72</v>
      </c>
      <c r="B31" s="73" t="s">
        <v>73</v>
      </c>
      <c r="C31" s="90">
        <v>8230</v>
      </c>
      <c r="D31" s="86">
        <f t="shared" si="2"/>
        <v>823</v>
      </c>
      <c r="E31" s="86">
        <f t="shared" si="3"/>
        <v>7407</v>
      </c>
      <c r="F31" s="74">
        <v>44442</v>
      </c>
      <c r="G31" s="87">
        <v>44479</v>
      </c>
      <c r="H31" s="88"/>
      <c r="I31" s="16"/>
    </row>
    <row r="32" spans="1:13" x14ac:dyDescent="0.25">
      <c r="A32" s="89" t="s">
        <v>74</v>
      </c>
      <c r="B32" s="73" t="s">
        <v>75</v>
      </c>
      <c r="C32" s="90">
        <v>9500</v>
      </c>
      <c r="D32" s="86">
        <f t="shared" si="2"/>
        <v>950</v>
      </c>
      <c r="E32" s="86">
        <f t="shared" si="3"/>
        <v>8550</v>
      </c>
      <c r="F32" s="74">
        <v>44442</v>
      </c>
      <c r="G32" s="87">
        <v>44479</v>
      </c>
      <c r="H32" s="88" t="s">
        <v>76</v>
      </c>
      <c r="I32" s="16"/>
    </row>
    <row r="33" spans="1:9" x14ac:dyDescent="0.25">
      <c r="A33" s="54" t="s">
        <v>77</v>
      </c>
      <c r="B33" s="47" t="s">
        <v>78</v>
      </c>
      <c r="C33" s="82">
        <v>32815</v>
      </c>
      <c r="D33" s="86">
        <f t="shared" si="2"/>
        <v>3281.5</v>
      </c>
      <c r="E33" s="86">
        <f t="shared" si="3"/>
        <v>29533.5</v>
      </c>
      <c r="F33" s="74">
        <v>44383</v>
      </c>
      <c r="G33" s="87">
        <v>44479</v>
      </c>
      <c r="H33" s="88"/>
      <c r="I33" s="16"/>
    </row>
    <row r="34" spans="1:9" ht="19.5" thickBot="1" x14ac:dyDescent="0.35">
      <c r="A34" s="65" t="s">
        <v>398</v>
      </c>
      <c r="B34" s="66"/>
      <c r="C34" s="67">
        <f>SUM(C24:C33)</f>
        <v>216681.16</v>
      </c>
      <c r="D34" s="67">
        <f t="shared" ref="D34:E34" si="4">SUM(D24:D33)</f>
        <v>21668.116000000002</v>
      </c>
      <c r="E34" s="85">
        <f t="shared" si="4"/>
        <v>195013.04399999999</v>
      </c>
      <c r="F34" s="4"/>
      <c r="G34" s="4"/>
      <c r="H34" s="5"/>
    </row>
    <row r="40" spans="1:9" ht="23.25" x14ac:dyDescent="0.35">
      <c r="C40" s="84" t="s">
        <v>401</v>
      </c>
    </row>
    <row r="41" spans="1:9" ht="15.75" thickBot="1" x14ac:dyDescent="0.3"/>
    <row r="42" spans="1:9" ht="15.75" thickBot="1" x14ac:dyDescent="0.3">
      <c r="A42" s="10" t="s">
        <v>32</v>
      </c>
      <c r="B42" s="10" t="s">
        <v>33</v>
      </c>
      <c r="C42" s="10" t="s">
        <v>34</v>
      </c>
      <c r="D42" s="10" t="s">
        <v>35</v>
      </c>
      <c r="E42" s="10" t="s">
        <v>36</v>
      </c>
      <c r="F42" s="10" t="s">
        <v>37</v>
      </c>
      <c r="G42" s="10" t="s">
        <v>38</v>
      </c>
      <c r="H42" s="10" t="s">
        <v>40</v>
      </c>
      <c r="I42" s="11"/>
    </row>
    <row r="43" spans="1:9" ht="15.75" thickBot="1" x14ac:dyDescent="0.3">
      <c r="A43" s="57" t="s">
        <v>41</v>
      </c>
      <c r="B43" s="58" t="s">
        <v>79</v>
      </c>
      <c r="C43" s="79">
        <v>54765</v>
      </c>
      <c r="D43" s="79">
        <f>+C43*10%</f>
        <v>5476.5</v>
      </c>
      <c r="E43" s="79">
        <f>+C43-D43</f>
        <v>49288.5</v>
      </c>
      <c r="F43" s="59">
        <v>44473</v>
      </c>
      <c r="G43" s="80" t="s">
        <v>80</v>
      </c>
      <c r="H43" s="81"/>
      <c r="I43" s="16"/>
    </row>
    <row r="44" spans="1:9" ht="15.75" thickBot="1" x14ac:dyDescent="0.3">
      <c r="A44" s="91" t="s">
        <v>74</v>
      </c>
      <c r="B44" s="92" t="s">
        <v>81</v>
      </c>
      <c r="C44" s="93">
        <v>2025</v>
      </c>
      <c r="D44" s="79">
        <f>+C44*10%</f>
        <v>202.5</v>
      </c>
      <c r="E44" s="79">
        <f>+C44-D44</f>
        <v>1822.5</v>
      </c>
      <c r="F44" s="94" t="s">
        <v>82</v>
      </c>
      <c r="G44" s="95">
        <v>44510</v>
      </c>
      <c r="H44" s="81"/>
      <c r="I44" s="16"/>
    </row>
    <row r="45" spans="1:9" ht="15.75" thickBot="1" x14ac:dyDescent="0.3">
      <c r="A45" s="54" t="s">
        <v>83</v>
      </c>
      <c r="B45" s="47" t="s">
        <v>84</v>
      </c>
      <c r="C45" s="82">
        <v>5500</v>
      </c>
      <c r="D45" s="79">
        <f>+C45*10%</f>
        <v>550</v>
      </c>
      <c r="E45" s="79">
        <f>+C45-D45</f>
        <v>4950</v>
      </c>
      <c r="F45" s="55">
        <v>44473</v>
      </c>
      <c r="G45" s="83">
        <v>44520</v>
      </c>
      <c r="H45" s="77"/>
      <c r="I45" s="16"/>
    </row>
    <row r="46" spans="1:9" ht="15.75" thickBot="1" x14ac:dyDescent="0.3">
      <c r="A46" s="54" t="s">
        <v>49</v>
      </c>
      <c r="B46" s="47" t="s">
        <v>85</v>
      </c>
      <c r="C46" s="82">
        <v>9532.5</v>
      </c>
      <c r="D46" s="79">
        <f t="shared" ref="D46:D53" si="5">+C46*10%</f>
        <v>953.25</v>
      </c>
      <c r="E46" s="79">
        <f t="shared" ref="E46:E53" si="6">+C46-D46</f>
        <v>8579.25</v>
      </c>
      <c r="F46" s="55">
        <v>44473</v>
      </c>
      <c r="G46" s="83">
        <v>44505</v>
      </c>
      <c r="H46" s="77"/>
      <c r="I46" s="16"/>
    </row>
    <row r="47" spans="1:9" ht="15.75" thickBot="1" x14ac:dyDescent="0.3">
      <c r="A47" s="54" t="s">
        <v>45</v>
      </c>
      <c r="B47" s="47" t="s">
        <v>86</v>
      </c>
      <c r="C47" s="82">
        <v>1000</v>
      </c>
      <c r="D47" s="79">
        <f t="shared" si="5"/>
        <v>100</v>
      </c>
      <c r="E47" s="79">
        <f t="shared" si="6"/>
        <v>900</v>
      </c>
      <c r="F47" s="55">
        <v>44473</v>
      </c>
      <c r="G47" s="83">
        <v>44505</v>
      </c>
      <c r="H47" s="77"/>
      <c r="I47" s="16"/>
    </row>
    <row r="48" spans="1:9" ht="15.75" thickBot="1" x14ac:dyDescent="0.3">
      <c r="A48" s="54" t="s">
        <v>87</v>
      </c>
      <c r="B48" s="47" t="s">
        <v>88</v>
      </c>
      <c r="C48" s="82">
        <v>15500</v>
      </c>
      <c r="D48" s="79">
        <f t="shared" si="5"/>
        <v>1550</v>
      </c>
      <c r="E48" s="79">
        <f t="shared" si="6"/>
        <v>13950</v>
      </c>
      <c r="F48" s="55">
        <v>44473</v>
      </c>
      <c r="G48" s="83">
        <v>44505</v>
      </c>
      <c r="H48" s="77"/>
      <c r="I48" s="16"/>
    </row>
    <row r="49" spans="1:9" x14ac:dyDescent="0.25">
      <c r="A49" s="54" t="s">
        <v>47</v>
      </c>
      <c r="B49" s="47" t="s">
        <v>89</v>
      </c>
      <c r="C49" s="82">
        <v>7667.5</v>
      </c>
      <c r="D49" s="79">
        <f t="shared" si="5"/>
        <v>766.75</v>
      </c>
      <c r="E49" s="79">
        <f t="shared" si="6"/>
        <v>6900.75</v>
      </c>
      <c r="F49" s="55">
        <v>44473</v>
      </c>
      <c r="G49" s="83">
        <v>44520</v>
      </c>
      <c r="H49" s="77"/>
      <c r="I49" s="16"/>
    </row>
    <row r="50" spans="1:9" x14ac:dyDescent="0.25">
      <c r="A50" s="89" t="s">
        <v>70</v>
      </c>
      <c r="B50" s="73" t="s">
        <v>90</v>
      </c>
      <c r="C50" s="82">
        <v>32697.5</v>
      </c>
      <c r="D50" s="82">
        <f t="shared" si="5"/>
        <v>3269.75</v>
      </c>
      <c r="E50" s="82">
        <f t="shared" si="6"/>
        <v>29427.75</v>
      </c>
      <c r="F50" s="74">
        <v>44473</v>
      </c>
      <c r="G50" s="87">
        <v>44510</v>
      </c>
      <c r="H50" s="88"/>
      <c r="I50" s="16"/>
    </row>
    <row r="51" spans="1:9" x14ac:dyDescent="0.25">
      <c r="A51" s="89" t="s">
        <v>72</v>
      </c>
      <c r="B51" s="73" t="s">
        <v>91</v>
      </c>
      <c r="C51" s="82">
        <v>2000</v>
      </c>
      <c r="D51" s="82">
        <f t="shared" si="5"/>
        <v>200</v>
      </c>
      <c r="E51" s="82">
        <f t="shared" si="6"/>
        <v>1800</v>
      </c>
      <c r="F51" s="74">
        <v>44473</v>
      </c>
      <c r="G51" s="87">
        <v>44510</v>
      </c>
      <c r="H51" s="88"/>
      <c r="I51" s="16"/>
    </row>
    <row r="52" spans="1:9" x14ac:dyDescent="0.25">
      <c r="A52" s="89" t="s">
        <v>53</v>
      </c>
      <c r="B52" s="73" t="s">
        <v>92</v>
      </c>
      <c r="C52" s="82">
        <v>2892.46</v>
      </c>
      <c r="D52" s="82">
        <f t="shared" si="5"/>
        <v>289.24600000000004</v>
      </c>
      <c r="E52" s="82">
        <f t="shared" si="6"/>
        <v>2603.2139999999999</v>
      </c>
      <c r="F52" s="74">
        <v>44473</v>
      </c>
      <c r="G52" s="87">
        <v>44505</v>
      </c>
      <c r="H52" s="88"/>
      <c r="I52" s="16"/>
    </row>
    <row r="53" spans="1:9" x14ac:dyDescent="0.25">
      <c r="A53" s="54" t="s">
        <v>93</v>
      </c>
      <c r="B53" s="47" t="s">
        <v>94</v>
      </c>
      <c r="C53" s="82">
        <v>3650</v>
      </c>
      <c r="D53" s="82">
        <f t="shared" si="5"/>
        <v>365</v>
      </c>
      <c r="E53" s="82">
        <f t="shared" si="6"/>
        <v>3285</v>
      </c>
      <c r="F53" s="74">
        <v>44473</v>
      </c>
      <c r="G53" s="87">
        <v>44510</v>
      </c>
      <c r="H53" s="88"/>
      <c r="I53" s="16"/>
    </row>
    <row r="54" spans="1:9" ht="19.5" thickBot="1" x14ac:dyDescent="0.35">
      <c r="A54" s="65" t="s">
        <v>398</v>
      </c>
      <c r="B54" s="66"/>
      <c r="C54" s="67">
        <f>SUM(C43:C53)</f>
        <v>137229.96</v>
      </c>
      <c r="D54" s="67">
        <f>SUM(D43:D53)</f>
        <v>13722.995999999999</v>
      </c>
      <c r="E54" s="85">
        <f>SUM(E43:E53)</f>
        <v>123506.96400000001</v>
      </c>
      <c r="F54" s="4"/>
      <c r="G54" s="4"/>
      <c r="H54" s="5"/>
    </row>
    <row r="58" spans="1:9" ht="23.25" x14ac:dyDescent="0.35">
      <c r="C58" s="84" t="s">
        <v>402</v>
      </c>
    </row>
    <row r="59" spans="1:9" ht="15.75" thickBot="1" x14ac:dyDescent="0.3"/>
    <row r="60" spans="1:9" ht="15.75" thickBot="1" x14ac:dyDescent="0.3">
      <c r="A60" s="10" t="s">
        <v>32</v>
      </c>
      <c r="B60" s="10" t="s">
        <v>33</v>
      </c>
      <c r="C60" s="10" t="s">
        <v>34</v>
      </c>
      <c r="D60" s="10" t="s">
        <v>35</v>
      </c>
      <c r="E60" s="10" t="s">
        <v>36</v>
      </c>
      <c r="F60" s="10" t="s">
        <v>37</v>
      </c>
      <c r="G60" s="10" t="s">
        <v>38</v>
      </c>
      <c r="H60" s="10" t="s">
        <v>40</v>
      </c>
      <c r="I60" s="11"/>
    </row>
    <row r="61" spans="1:9" ht="15.75" thickBot="1" x14ac:dyDescent="0.3">
      <c r="A61" s="57" t="s">
        <v>41</v>
      </c>
      <c r="B61" s="58" t="s">
        <v>95</v>
      </c>
      <c r="C61" s="79">
        <v>72975</v>
      </c>
      <c r="D61" s="79">
        <f>+C61*10%</f>
        <v>7297.5</v>
      </c>
      <c r="E61" s="79">
        <f>+C61-D61</f>
        <v>65677.5</v>
      </c>
      <c r="F61" s="59">
        <v>44503</v>
      </c>
      <c r="G61" s="80" t="s">
        <v>96</v>
      </c>
      <c r="H61" s="81"/>
      <c r="I61" s="16"/>
    </row>
    <row r="62" spans="1:9" ht="15.75" thickBot="1" x14ac:dyDescent="0.3">
      <c r="A62" s="54" t="s">
        <v>49</v>
      </c>
      <c r="B62" s="47" t="s">
        <v>97</v>
      </c>
      <c r="C62" s="82">
        <v>5930</v>
      </c>
      <c r="D62" s="79">
        <f t="shared" ref="D62:D65" si="7">+C62*10%</f>
        <v>593</v>
      </c>
      <c r="E62" s="79">
        <f t="shared" ref="E62:E65" si="8">+C62-D62</f>
        <v>5337</v>
      </c>
      <c r="F62" s="55">
        <v>44503</v>
      </c>
      <c r="G62" s="83">
        <v>44535</v>
      </c>
      <c r="H62" s="77"/>
      <c r="I62" s="16"/>
    </row>
    <row r="63" spans="1:9" ht="15.75" thickBot="1" x14ac:dyDescent="0.3">
      <c r="A63" s="54" t="s">
        <v>47</v>
      </c>
      <c r="B63" s="47" t="s">
        <v>98</v>
      </c>
      <c r="C63" s="82">
        <v>30550</v>
      </c>
      <c r="D63" s="79">
        <f t="shared" si="7"/>
        <v>3055</v>
      </c>
      <c r="E63" s="79">
        <f t="shared" si="8"/>
        <v>27495</v>
      </c>
      <c r="F63" s="55">
        <v>44503</v>
      </c>
      <c r="G63" s="83">
        <v>44550</v>
      </c>
      <c r="H63" s="77"/>
      <c r="I63" s="16"/>
    </row>
    <row r="64" spans="1:9" x14ac:dyDescent="0.25">
      <c r="A64" s="91" t="s">
        <v>74</v>
      </c>
      <c r="B64" s="92" t="s">
        <v>99</v>
      </c>
      <c r="C64" s="93">
        <v>2430</v>
      </c>
      <c r="D64" s="79">
        <f>+C64*10%</f>
        <v>243</v>
      </c>
      <c r="E64" s="79">
        <f>+C64-D64</f>
        <v>2187</v>
      </c>
      <c r="F64" s="94" t="s">
        <v>100</v>
      </c>
      <c r="G64" s="95">
        <v>44540</v>
      </c>
      <c r="H64" s="81"/>
      <c r="I64" s="16"/>
    </row>
    <row r="65" spans="1:9" x14ac:dyDescent="0.25">
      <c r="A65" s="54" t="s">
        <v>101</v>
      </c>
      <c r="B65" s="47" t="s">
        <v>102</v>
      </c>
      <c r="C65" s="82">
        <v>1900</v>
      </c>
      <c r="D65" s="86">
        <f t="shared" si="7"/>
        <v>190</v>
      </c>
      <c r="E65" s="86">
        <f t="shared" si="8"/>
        <v>1710</v>
      </c>
      <c r="F65" s="74">
        <v>44503</v>
      </c>
      <c r="G65" s="87">
        <v>44540</v>
      </c>
      <c r="H65" s="88"/>
      <c r="I65" s="16"/>
    </row>
    <row r="66" spans="1:9" ht="19.5" thickBot="1" x14ac:dyDescent="0.35">
      <c r="A66" s="65" t="s">
        <v>398</v>
      </c>
      <c r="B66" s="66"/>
      <c r="C66" s="67">
        <f>SUM(C61:C65)</f>
        <v>113785</v>
      </c>
      <c r="D66" s="67">
        <f>SUM(D61:D65)</f>
        <v>11378.5</v>
      </c>
      <c r="E66" s="85">
        <f>SUM(E61:E65)</f>
        <v>102406.5</v>
      </c>
      <c r="F66" s="4"/>
      <c r="G66" s="4"/>
      <c r="H66" s="5"/>
    </row>
    <row r="70" spans="1:9" ht="26.25" x14ac:dyDescent="0.4">
      <c r="C70" s="78" t="s">
        <v>403</v>
      </c>
      <c r="D70" s="78"/>
    </row>
    <row r="71" spans="1:9" ht="15.75" thickBot="1" x14ac:dyDescent="0.3"/>
    <row r="72" spans="1:9" ht="15.75" thickBot="1" x14ac:dyDescent="0.3">
      <c r="A72" s="10" t="s">
        <v>32</v>
      </c>
      <c r="B72" s="10" t="s">
        <v>33</v>
      </c>
      <c r="C72" s="10" t="s">
        <v>34</v>
      </c>
      <c r="D72" s="10" t="s">
        <v>35</v>
      </c>
      <c r="E72" s="10" t="s">
        <v>36</v>
      </c>
      <c r="F72" s="10" t="s">
        <v>37</v>
      </c>
      <c r="G72" s="10" t="s">
        <v>38</v>
      </c>
      <c r="H72" s="10" t="s">
        <v>40</v>
      </c>
      <c r="I72" s="11"/>
    </row>
    <row r="73" spans="1:9" ht="15.75" thickBot="1" x14ac:dyDescent="0.3">
      <c r="A73" s="57" t="s">
        <v>41</v>
      </c>
      <c r="B73" s="58" t="s">
        <v>103</v>
      </c>
      <c r="C73" s="79">
        <v>7533.39</v>
      </c>
      <c r="D73" s="79">
        <f>+C73*10%</f>
        <v>753.33900000000006</v>
      </c>
      <c r="E73" s="79">
        <f>+C73-D73</f>
        <v>6780.0510000000004</v>
      </c>
      <c r="F73" s="59">
        <v>44532</v>
      </c>
      <c r="G73" s="80" t="s">
        <v>104</v>
      </c>
      <c r="H73" s="81"/>
      <c r="I73" s="16"/>
    </row>
    <row r="74" spans="1:9" ht="15.75" thickBot="1" x14ac:dyDescent="0.3">
      <c r="A74" s="91" t="s">
        <v>105</v>
      </c>
      <c r="B74" s="47" t="s">
        <v>106</v>
      </c>
      <c r="C74" s="93">
        <v>2216.5</v>
      </c>
      <c r="D74" s="79">
        <f>+C74*10%</f>
        <v>221.65</v>
      </c>
      <c r="E74" s="79">
        <f>+C74-D74</f>
        <v>1994.85</v>
      </c>
      <c r="F74" s="101"/>
      <c r="G74" s="95"/>
      <c r="H74" s="81"/>
      <c r="I74" s="16"/>
    </row>
    <row r="75" spans="1:9" ht="15.75" thickBot="1" x14ac:dyDescent="0.3">
      <c r="A75" s="54" t="s">
        <v>49</v>
      </c>
      <c r="B75" s="47" t="s">
        <v>107</v>
      </c>
      <c r="C75" s="82">
        <v>12179</v>
      </c>
      <c r="D75" s="79">
        <f t="shared" ref="D75:D77" si="9">+C75*10%</f>
        <v>1217.9000000000001</v>
      </c>
      <c r="E75" s="79">
        <f t="shared" ref="E75:E77" si="10">+C75-D75</f>
        <v>10961.1</v>
      </c>
      <c r="F75" s="55">
        <v>44532</v>
      </c>
      <c r="G75" s="83">
        <v>44566</v>
      </c>
      <c r="H75" s="77"/>
      <c r="I75" s="16"/>
    </row>
    <row r="76" spans="1:9" ht="15.75" thickBot="1" x14ac:dyDescent="0.3">
      <c r="A76" s="54" t="s">
        <v>45</v>
      </c>
      <c r="B76" s="47" t="s">
        <v>108</v>
      </c>
      <c r="C76" s="82">
        <v>20310</v>
      </c>
      <c r="D76" s="79">
        <f t="shared" si="9"/>
        <v>2031</v>
      </c>
      <c r="E76" s="79">
        <f t="shared" si="10"/>
        <v>18279</v>
      </c>
      <c r="F76" s="55">
        <v>44532</v>
      </c>
      <c r="G76" s="83">
        <v>44566</v>
      </c>
      <c r="H76" s="77"/>
      <c r="I76" s="16"/>
    </row>
    <row r="77" spans="1:9" ht="15.75" thickBot="1" x14ac:dyDescent="0.3">
      <c r="A77" s="54" t="s">
        <v>47</v>
      </c>
      <c r="B77" s="47" t="s">
        <v>109</v>
      </c>
      <c r="C77" s="82">
        <v>30692.3</v>
      </c>
      <c r="D77" s="79">
        <f t="shared" si="9"/>
        <v>3069.23</v>
      </c>
      <c r="E77" s="79">
        <f t="shared" si="10"/>
        <v>27623.07</v>
      </c>
      <c r="F77" s="55">
        <v>44532</v>
      </c>
      <c r="G77" s="83">
        <v>44581</v>
      </c>
      <c r="H77" s="77"/>
      <c r="I77" s="16"/>
    </row>
    <row r="78" spans="1:9" x14ac:dyDescent="0.25">
      <c r="A78" s="91" t="s">
        <v>77</v>
      </c>
      <c r="B78" s="92" t="s">
        <v>110</v>
      </c>
      <c r="C78" s="93">
        <v>17021</v>
      </c>
      <c r="D78" s="79">
        <f>+C78*10%</f>
        <v>1702.1000000000001</v>
      </c>
      <c r="E78" s="79">
        <f>+C78-D78</f>
        <v>15318.9</v>
      </c>
      <c r="F78" s="94">
        <v>44532</v>
      </c>
      <c r="G78" s="95">
        <v>44571</v>
      </c>
      <c r="H78" s="81"/>
      <c r="I78" s="16"/>
    </row>
    <row r="79" spans="1:9" ht="19.5" thickBot="1" x14ac:dyDescent="0.35">
      <c r="A79" s="65" t="s">
        <v>398</v>
      </c>
      <c r="B79" s="66"/>
      <c r="C79" s="67">
        <f>SUM(C73:C78)</f>
        <v>89952.19</v>
      </c>
      <c r="D79" s="67">
        <f>SUM(D73:D78)</f>
        <v>8995.219000000001</v>
      </c>
      <c r="E79" s="85">
        <f>SUM(E73:E78)</f>
        <v>80956.97099999999</v>
      </c>
      <c r="F79" s="4"/>
      <c r="G79" s="4"/>
      <c r="H79" s="5"/>
    </row>
    <row r="84" spans="1:9" ht="36" x14ac:dyDescent="0.25">
      <c r="B84" s="96" t="s">
        <v>404</v>
      </c>
    </row>
    <row r="86" spans="1:9" ht="26.25" x14ac:dyDescent="0.4">
      <c r="C86" s="78" t="s">
        <v>405</v>
      </c>
      <c r="D86" s="78"/>
    </row>
    <row r="87" spans="1:9" ht="15.75" thickBot="1" x14ac:dyDescent="0.3"/>
    <row r="88" spans="1:9" ht="15.75" thickBot="1" x14ac:dyDescent="0.3">
      <c r="A88" s="10" t="s">
        <v>32</v>
      </c>
      <c r="B88" s="10" t="s">
        <v>33</v>
      </c>
      <c r="C88" s="10" t="s">
        <v>34</v>
      </c>
      <c r="D88" s="10" t="s">
        <v>35</v>
      </c>
      <c r="E88" s="10" t="s">
        <v>36</v>
      </c>
      <c r="F88" s="10" t="s">
        <v>37</v>
      </c>
      <c r="G88" s="10" t="s">
        <v>38</v>
      </c>
      <c r="H88" s="10" t="s">
        <v>40</v>
      </c>
      <c r="I88" s="11"/>
    </row>
    <row r="89" spans="1:9" ht="15.75" thickBot="1" x14ac:dyDescent="0.3">
      <c r="A89" s="57" t="s">
        <v>41</v>
      </c>
      <c r="B89" s="58" t="s">
        <v>111</v>
      </c>
      <c r="C89" s="79">
        <v>61052.5</v>
      </c>
      <c r="D89" s="79">
        <f>+C89*10%</f>
        <v>6105.25</v>
      </c>
      <c r="E89" s="79">
        <f>+C89-D89</f>
        <v>54947.25</v>
      </c>
      <c r="F89" s="59">
        <v>44564</v>
      </c>
      <c r="G89" s="80" t="s">
        <v>112</v>
      </c>
      <c r="H89" s="22"/>
    </row>
    <row r="90" spans="1:9" ht="15.75" thickBot="1" x14ac:dyDescent="0.3">
      <c r="A90" s="54" t="s">
        <v>49</v>
      </c>
      <c r="B90" s="47" t="s">
        <v>113</v>
      </c>
      <c r="C90" s="82">
        <v>19778</v>
      </c>
      <c r="D90" s="79">
        <f t="shared" ref="D90:D92" si="11">+C90*10%</f>
        <v>1977.8000000000002</v>
      </c>
      <c r="E90" s="79">
        <f t="shared" ref="E90:E92" si="12">+C90-D90</f>
        <v>17800.2</v>
      </c>
      <c r="F90" s="55">
        <v>44564</v>
      </c>
      <c r="G90" s="83">
        <v>44597</v>
      </c>
      <c r="H90" s="3"/>
    </row>
    <row r="91" spans="1:9" ht="15.75" thickBot="1" x14ac:dyDescent="0.3">
      <c r="A91" s="54" t="s">
        <v>45</v>
      </c>
      <c r="B91" s="47" t="s">
        <v>114</v>
      </c>
      <c r="C91" s="82">
        <v>1000</v>
      </c>
      <c r="D91" s="79">
        <f t="shared" si="11"/>
        <v>100</v>
      </c>
      <c r="E91" s="79">
        <f t="shared" si="12"/>
        <v>900</v>
      </c>
      <c r="F91" s="55">
        <v>44564</v>
      </c>
      <c r="G91" s="83">
        <v>44597</v>
      </c>
      <c r="H91" s="3"/>
    </row>
    <row r="92" spans="1:9" x14ac:dyDescent="0.25">
      <c r="A92" s="54" t="s">
        <v>47</v>
      </c>
      <c r="B92" s="47" t="s">
        <v>115</v>
      </c>
      <c r="C92" s="82">
        <v>1958</v>
      </c>
      <c r="D92" s="79">
        <f t="shared" si="11"/>
        <v>195.8</v>
      </c>
      <c r="E92" s="79">
        <f t="shared" si="12"/>
        <v>1762.2</v>
      </c>
      <c r="F92" s="55">
        <v>44564</v>
      </c>
      <c r="G92" s="83">
        <v>44612</v>
      </c>
      <c r="H92" s="3"/>
    </row>
    <row r="93" spans="1:9" ht="19.5" thickBot="1" x14ac:dyDescent="0.35">
      <c r="A93" s="102" t="s">
        <v>398</v>
      </c>
      <c r="B93" s="103"/>
      <c r="C93" s="104">
        <f>SUM(C89:C92)</f>
        <v>83788.5</v>
      </c>
      <c r="D93" s="104">
        <f>SUM(D89:D92)</f>
        <v>8378.85</v>
      </c>
      <c r="E93" s="105">
        <f>SUM(E89:E92)</f>
        <v>75409.649999999994</v>
      </c>
      <c r="F93" s="106"/>
      <c r="G93" s="106"/>
      <c r="H93" s="5"/>
    </row>
    <row r="96" spans="1:9" ht="33.75" x14ac:dyDescent="0.5">
      <c r="C96" s="98" t="s">
        <v>406</v>
      </c>
    </row>
    <row r="97" spans="1:9" ht="15.75" thickBot="1" x14ac:dyDescent="0.3"/>
    <row r="98" spans="1:9" ht="15.75" thickBot="1" x14ac:dyDescent="0.3">
      <c r="A98" s="10" t="s">
        <v>32</v>
      </c>
      <c r="B98" s="10" t="s">
        <v>33</v>
      </c>
      <c r="C98" s="10" t="s">
        <v>34</v>
      </c>
      <c r="D98" s="10" t="s">
        <v>35</v>
      </c>
      <c r="E98" s="10" t="s">
        <v>36</v>
      </c>
      <c r="F98" s="10" t="s">
        <v>37</v>
      </c>
      <c r="G98" s="10" t="s">
        <v>38</v>
      </c>
      <c r="H98" s="10" t="s">
        <v>40</v>
      </c>
      <c r="I98" s="11"/>
    </row>
    <row r="99" spans="1:9" ht="15.75" thickBot="1" x14ac:dyDescent="0.3">
      <c r="A99" s="57" t="s">
        <v>41</v>
      </c>
      <c r="B99" s="58" t="s">
        <v>116</v>
      </c>
      <c r="C99" s="79">
        <v>80658</v>
      </c>
      <c r="D99" s="79">
        <f>+C99*10%</f>
        <v>8065.8</v>
      </c>
      <c r="E99" s="79">
        <f>+C99-D99</f>
        <v>72592.2</v>
      </c>
      <c r="F99" s="59">
        <v>44596</v>
      </c>
      <c r="G99" s="80" t="s">
        <v>117</v>
      </c>
      <c r="H99" s="81"/>
      <c r="I99" s="16"/>
    </row>
    <row r="100" spans="1:9" ht="15.75" thickBot="1" x14ac:dyDescent="0.3">
      <c r="A100" s="54" t="s">
        <v>49</v>
      </c>
      <c r="B100" s="47" t="s">
        <v>118</v>
      </c>
      <c r="C100" s="82">
        <v>1634</v>
      </c>
      <c r="D100" s="79">
        <f t="shared" ref="D100:D105" si="13">+C100*10%</f>
        <v>163.4</v>
      </c>
      <c r="E100" s="79">
        <f t="shared" ref="E100:E105" si="14">+C100-D100</f>
        <v>1470.6</v>
      </c>
      <c r="F100" s="59">
        <v>44596</v>
      </c>
      <c r="G100" s="83">
        <v>44625</v>
      </c>
      <c r="H100" s="77"/>
      <c r="I100" s="16"/>
    </row>
    <row r="101" spans="1:9" ht="15.75" thickBot="1" x14ac:dyDescent="0.3">
      <c r="A101" s="54" t="s">
        <v>45</v>
      </c>
      <c r="B101" s="47" t="s">
        <v>119</v>
      </c>
      <c r="C101" s="82">
        <v>20778</v>
      </c>
      <c r="D101" s="79">
        <f t="shared" si="13"/>
        <v>2077.8000000000002</v>
      </c>
      <c r="E101" s="79">
        <f t="shared" si="14"/>
        <v>18700.2</v>
      </c>
      <c r="F101" s="59">
        <v>44596</v>
      </c>
      <c r="G101" s="83">
        <v>44625</v>
      </c>
      <c r="H101" s="77"/>
      <c r="I101" s="16"/>
    </row>
    <row r="102" spans="1:9" ht="15.75" thickBot="1" x14ac:dyDescent="0.3">
      <c r="A102" s="54" t="s">
        <v>47</v>
      </c>
      <c r="B102" s="47" t="s">
        <v>120</v>
      </c>
      <c r="C102" s="82">
        <v>4780</v>
      </c>
      <c r="D102" s="79">
        <f t="shared" si="13"/>
        <v>478</v>
      </c>
      <c r="E102" s="79">
        <f t="shared" si="14"/>
        <v>4302</v>
      </c>
      <c r="F102" s="59">
        <v>44596</v>
      </c>
      <c r="G102" s="83">
        <v>44640</v>
      </c>
      <c r="H102" s="77"/>
      <c r="I102" s="16"/>
    </row>
    <row r="103" spans="1:9" ht="15.75" thickBot="1" x14ac:dyDescent="0.3">
      <c r="A103" s="89" t="s">
        <v>77</v>
      </c>
      <c r="B103" s="47" t="s">
        <v>121</v>
      </c>
      <c r="C103" s="82">
        <v>28100</v>
      </c>
      <c r="D103" s="79">
        <f t="shared" si="13"/>
        <v>2810</v>
      </c>
      <c r="E103" s="79">
        <f t="shared" si="14"/>
        <v>25290</v>
      </c>
      <c r="F103" s="59">
        <v>44596</v>
      </c>
      <c r="G103" s="83">
        <v>44641</v>
      </c>
      <c r="H103" s="88"/>
      <c r="I103" s="16"/>
    </row>
    <row r="104" spans="1:9" ht="15.75" thickBot="1" x14ac:dyDescent="0.3">
      <c r="A104" s="89" t="s">
        <v>70</v>
      </c>
      <c r="B104" s="47" t="s">
        <v>122</v>
      </c>
      <c r="C104" s="82">
        <v>4500</v>
      </c>
      <c r="D104" s="79">
        <f t="shared" si="13"/>
        <v>450</v>
      </c>
      <c r="E104" s="79">
        <f t="shared" si="14"/>
        <v>4050</v>
      </c>
      <c r="F104" s="59">
        <v>44596</v>
      </c>
      <c r="G104" s="83">
        <v>44642</v>
      </c>
      <c r="H104" s="88"/>
      <c r="I104" s="16"/>
    </row>
    <row r="105" spans="1:9" x14ac:dyDescent="0.25">
      <c r="A105" s="89" t="s">
        <v>123</v>
      </c>
      <c r="B105" s="47" t="s">
        <v>124</v>
      </c>
      <c r="C105" s="82">
        <v>3240</v>
      </c>
      <c r="D105" s="79">
        <f t="shared" si="13"/>
        <v>324</v>
      </c>
      <c r="E105" s="79">
        <f t="shared" si="14"/>
        <v>2916</v>
      </c>
      <c r="F105" s="59">
        <v>44596</v>
      </c>
      <c r="G105" s="83">
        <v>44643</v>
      </c>
      <c r="H105" s="88"/>
      <c r="I105" s="16"/>
    </row>
    <row r="106" spans="1:9" ht="19.5" thickBot="1" x14ac:dyDescent="0.35">
      <c r="A106" s="65" t="s">
        <v>398</v>
      </c>
      <c r="B106" s="66"/>
      <c r="C106" s="67">
        <f>SUM(C99:C105)</f>
        <v>143690</v>
      </c>
      <c r="D106" s="67">
        <f>SUM(D99:D105)</f>
        <v>14369</v>
      </c>
      <c r="E106" s="85">
        <f>SUM(E99:E105)</f>
        <v>129321</v>
      </c>
      <c r="F106" s="4"/>
      <c r="G106" s="4"/>
      <c r="H106" s="5"/>
    </row>
    <row r="110" spans="1:9" ht="31.5" x14ac:dyDescent="0.5">
      <c r="C110" s="107" t="s">
        <v>407</v>
      </c>
    </row>
    <row r="111" spans="1:9" ht="15.75" thickBot="1" x14ac:dyDescent="0.3"/>
    <row r="112" spans="1:9" ht="15.75" thickBot="1" x14ac:dyDescent="0.3">
      <c r="A112" s="10" t="s">
        <v>32</v>
      </c>
      <c r="B112" s="10" t="s">
        <v>33</v>
      </c>
      <c r="C112" s="10" t="s">
        <v>34</v>
      </c>
      <c r="D112" s="10" t="s">
        <v>35</v>
      </c>
      <c r="E112" s="10" t="s">
        <v>36</v>
      </c>
      <c r="F112" s="10" t="s">
        <v>37</v>
      </c>
      <c r="G112" s="10" t="s">
        <v>38</v>
      </c>
      <c r="H112" s="10" t="s">
        <v>40</v>
      </c>
      <c r="I112" s="11"/>
    </row>
    <row r="113" spans="1:10" ht="15.75" thickBot="1" x14ac:dyDescent="0.3">
      <c r="A113" s="57" t="s">
        <v>41</v>
      </c>
      <c r="B113" s="58" t="s">
        <v>125</v>
      </c>
      <c r="C113" s="79">
        <v>9390</v>
      </c>
      <c r="D113" s="79">
        <f>+C113*10%</f>
        <v>939</v>
      </c>
      <c r="E113" s="79">
        <f>+C113-D113</f>
        <v>8451</v>
      </c>
      <c r="F113" s="59">
        <v>44596</v>
      </c>
      <c r="G113" s="80" t="s">
        <v>117</v>
      </c>
      <c r="H113" s="81"/>
      <c r="I113" s="16"/>
    </row>
    <row r="114" spans="1:10" ht="15.75" thickBot="1" x14ac:dyDescent="0.3">
      <c r="A114" s="54" t="s">
        <v>49</v>
      </c>
      <c r="B114" s="47" t="s">
        <v>126</v>
      </c>
      <c r="C114" s="82">
        <v>27015</v>
      </c>
      <c r="D114" s="79">
        <f t="shared" ref="D114:D118" si="15">+C114*10%</f>
        <v>2701.5</v>
      </c>
      <c r="E114" s="79">
        <f t="shared" ref="E114:E118" si="16">+C114-D114</f>
        <v>24313.5</v>
      </c>
      <c r="F114" s="59">
        <v>44596</v>
      </c>
      <c r="G114" s="83">
        <v>44625</v>
      </c>
      <c r="H114" s="77"/>
      <c r="I114" s="16"/>
    </row>
    <row r="115" spans="1:10" ht="15.75" thickBot="1" x14ac:dyDescent="0.3">
      <c r="A115" s="54" t="s">
        <v>45</v>
      </c>
      <c r="B115" s="47" t="s">
        <v>127</v>
      </c>
      <c r="C115" s="82">
        <v>3340</v>
      </c>
      <c r="D115" s="79">
        <f t="shared" si="15"/>
        <v>334</v>
      </c>
      <c r="E115" s="79">
        <f t="shared" si="16"/>
        <v>3006</v>
      </c>
      <c r="F115" s="59">
        <v>44596</v>
      </c>
      <c r="G115" s="83">
        <v>44625</v>
      </c>
      <c r="H115" s="77"/>
      <c r="I115" s="16"/>
    </row>
    <row r="116" spans="1:10" ht="15.75" thickBot="1" x14ac:dyDescent="0.3">
      <c r="A116" s="54" t="s">
        <v>47</v>
      </c>
      <c r="B116" s="47" t="s">
        <v>128</v>
      </c>
      <c r="C116" s="82">
        <f>13475.35+28281.96</f>
        <v>41757.31</v>
      </c>
      <c r="D116" s="79">
        <f t="shared" si="15"/>
        <v>4175.7309999999998</v>
      </c>
      <c r="E116" s="79">
        <f t="shared" si="16"/>
        <v>37581.578999999998</v>
      </c>
      <c r="F116" s="59">
        <v>44596</v>
      </c>
      <c r="G116" s="83">
        <v>44640</v>
      </c>
      <c r="H116" s="77"/>
      <c r="I116" s="16"/>
    </row>
    <row r="117" spans="1:10" ht="15.75" thickBot="1" x14ac:dyDescent="0.3">
      <c r="A117" s="89" t="s">
        <v>77</v>
      </c>
      <c r="B117" s="47" t="s">
        <v>129</v>
      </c>
      <c r="C117" s="82">
        <v>2950</v>
      </c>
      <c r="D117" s="79">
        <f t="shared" si="15"/>
        <v>295</v>
      </c>
      <c r="E117" s="79">
        <f t="shared" si="16"/>
        <v>2655</v>
      </c>
      <c r="F117" s="59">
        <v>44596</v>
      </c>
      <c r="G117" s="83">
        <v>44641</v>
      </c>
      <c r="H117" s="88"/>
      <c r="I117" s="16"/>
    </row>
    <row r="118" spans="1:10" x14ac:dyDescent="0.25">
      <c r="A118" s="89" t="s">
        <v>130</v>
      </c>
      <c r="B118" s="47" t="s">
        <v>131</v>
      </c>
      <c r="C118" s="82">
        <v>10450</v>
      </c>
      <c r="D118" s="79">
        <f t="shared" si="15"/>
        <v>1045</v>
      </c>
      <c r="E118" s="79">
        <f t="shared" si="16"/>
        <v>9405</v>
      </c>
      <c r="F118" s="59">
        <v>44596</v>
      </c>
      <c r="G118" s="83">
        <v>44642</v>
      </c>
      <c r="H118" s="88"/>
      <c r="I118" s="16"/>
    </row>
    <row r="119" spans="1:10" x14ac:dyDescent="0.25">
      <c r="A119" s="99" t="s">
        <v>132</v>
      </c>
      <c r="B119" s="110" t="s">
        <v>133</v>
      </c>
      <c r="C119" s="111"/>
      <c r="D119" s="112"/>
      <c r="E119" s="112"/>
      <c r="F119" s="113"/>
      <c r="G119" s="114"/>
      <c r="H119" s="100"/>
      <c r="J119" t="s">
        <v>408</v>
      </c>
    </row>
    <row r="120" spans="1:10" ht="19.5" thickBot="1" x14ac:dyDescent="0.35">
      <c r="A120" s="65" t="s">
        <v>398</v>
      </c>
      <c r="B120" s="66"/>
      <c r="C120" s="67">
        <f>SUM(C113:C118)</f>
        <v>94902.31</v>
      </c>
      <c r="D120" s="67">
        <f>SUM(D113:D118)</f>
        <v>9490.2309999999998</v>
      </c>
      <c r="E120" s="85">
        <f>SUM(E113:E118)</f>
        <v>85412.078999999998</v>
      </c>
      <c r="F120" s="4"/>
      <c r="G120" s="4"/>
      <c r="H120" s="5"/>
    </row>
    <row r="125" spans="1:10" ht="31.5" x14ac:dyDescent="0.5">
      <c r="C125" s="107" t="s">
        <v>409</v>
      </c>
    </row>
    <row r="126" spans="1:10" ht="15.75" thickBot="1" x14ac:dyDescent="0.3"/>
    <row r="127" spans="1:10" ht="15.75" thickBot="1" x14ac:dyDescent="0.3">
      <c r="A127" s="10" t="s">
        <v>32</v>
      </c>
      <c r="B127" s="10" t="s">
        <v>33</v>
      </c>
      <c r="C127" s="10" t="s">
        <v>34</v>
      </c>
      <c r="D127" s="10" t="s">
        <v>35</v>
      </c>
      <c r="E127" s="10" t="s">
        <v>36</v>
      </c>
      <c r="F127" s="10" t="s">
        <v>37</v>
      </c>
      <c r="G127" s="10" t="s">
        <v>38</v>
      </c>
      <c r="H127" s="10" t="s">
        <v>40</v>
      </c>
      <c r="I127" s="11"/>
    </row>
    <row r="128" spans="1:10" ht="15.75" thickBot="1" x14ac:dyDescent="0.3">
      <c r="A128" s="57" t="s">
        <v>41</v>
      </c>
      <c r="B128" s="58" t="s">
        <v>134</v>
      </c>
      <c r="C128" s="79">
        <v>74150</v>
      </c>
      <c r="D128" s="79">
        <f>+C128*10%</f>
        <v>7415</v>
      </c>
      <c r="E128" s="79">
        <f>+C128-D128</f>
        <v>66735</v>
      </c>
      <c r="F128" s="59">
        <v>44655</v>
      </c>
      <c r="G128" s="80" t="s">
        <v>135</v>
      </c>
      <c r="H128" s="81"/>
      <c r="I128" s="16"/>
    </row>
    <row r="129" spans="1:9" ht="15.75" thickBot="1" x14ac:dyDescent="0.3">
      <c r="A129" s="54" t="s">
        <v>49</v>
      </c>
      <c r="B129" s="47" t="s">
        <v>136</v>
      </c>
      <c r="C129" s="82">
        <f>60310.8+20412</f>
        <v>80722.8</v>
      </c>
      <c r="D129" s="79">
        <f t="shared" ref="D129:D132" si="17">+C129*10%</f>
        <v>8072.2800000000007</v>
      </c>
      <c r="E129" s="79">
        <f t="shared" ref="E129:E132" si="18">+C129-D129</f>
        <v>72650.52</v>
      </c>
      <c r="F129" s="59">
        <v>44655</v>
      </c>
      <c r="G129" s="83">
        <v>44686</v>
      </c>
      <c r="H129" s="77"/>
      <c r="I129" s="16"/>
    </row>
    <row r="130" spans="1:9" ht="15.75" thickBot="1" x14ac:dyDescent="0.3">
      <c r="A130" s="54" t="s">
        <v>45</v>
      </c>
      <c r="B130" s="47" t="s">
        <v>137</v>
      </c>
      <c r="C130" s="82">
        <f>24472-20412</f>
        <v>4060</v>
      </c>
      <c r="D130" s="79">
        <f t="shared" si="17"/>
        <v>406</v>
      </c>
      <c r="E130" s="79">
        <f t="shared" si="18"/>
        <v>3654</v>
      </c>
      <c r="F130" s="59">
        <v>44655</v>
      </c>
      <c r="G130" s="83">
        <v>44686</v>
      </c>
      <c r="H130" s="77"/>
      <c r="I130" s="16"/>
    </row>
    <row r="131" spans="1:9" ht="15.75" thickBot="1" x14ac:dyDescent="0.3">
      <c r="A131" s="54" t="s">
        <v>47</v>
      </c>
      <c r="B131" s="47" t="s">
        <v>138</v>
      </c>
      <c r="C131" s="82">
        <v>9375</v>
      </c>
      <c r="D131" s="79">
        <f t="shared" si="17"/>
        <v>937.5</v>
      </c>
      <c r="E131" s="79">
        <f t="shared" si="18"/>
        <v>8437.5</v>
      </c>
      <c r="F131" s="59">
        <v>44596</v>
      </c>
      <c r="G131" s="83">
        <v>44640</v>
      </c>
      <c r="H131" s="77"/>
      <c r="I131" s="16"/>
    </row>
    <row r="132" spans="1:9" x14ac:dyDescent="0.25">
      <c r="A132" s="89" t="s">
        <v>130</v>
      </c>
      <c r="B132" s="47" t="s">
        <v>139</v>
      </c>
      <c r="C132" s="82">
        <v>20310</v>
      </c>
      <c r="D132" s="79">
        <f t="shared" si="17"/>
        <v>2031</v>
      </c>
      <c r="E132" s="79">
        <f t="shared" si="18"/>
        <v>18279</v>
      </c>
      <c r="F132" s="59">
        <v>44596</v>
      </c>
      <c r="G132" s="83">
        <v>44642</v>
      </c>
      <c r="H132" s="88"/>
      <c r="I132" s="16"/>
    </row>
    <row r="133" spans="1:9" ht="19.5" thickBot="1" x14ac:dyDescent="0.35">
      <c r="A133" s="65" t="s">
        <v>398</v>
      </c>
      <c r="B133" s="66"/>
      <c r="C133" s="67">
        <f>SUM(C128:C132)</f>
        <v>188617.8</v>
      </c>
      <c r="D133" s="67">
        <f>SUM(D128:D132)</f>
        <v>18861.78</v>
      </c>
      <c r="E133" s="85">
        <f>SUM(E128:E132)</f>
        <v>169756.02000000002</v>
      </c>
      <c r="F133" s="4"/>
      <c r="G133" s="4"/>
      <c r="H133" s="5"/>
    </row>
    <row r="136" spans="1:9" ht="31.5" x14ac:dyDescent="0.5">
      <c r="C136" s="115" t="s">
        <v>410</v>
      </c>
    </row>
    <row r="137" spans="1:9" ht="15.75" thickBot="1" x14ac:dyDescent="0.3"/>
    <row r="138" spans="1:9" ht="15.75" thickBot="1" x14ac:dyDescent="0.3">
      <c r="A138" s="10" t="s">
        <v>32</v>
      </c>
      <c r="B138" s="10" t="s">
        <v>33</v>
      </c>
      <c r="C138" s="10" t="s">
        <v>34</v>
      </c>
      <c r="D138" s="10" t="s">
        <v>35</v>
      </c>
      <c r="E138" s="10" t="s">
        <v>36</v>
      </c>
      <c r="F138" s="10" t="s">
        <v>37</v>
      </c>
      <c r="G138" s="10" t="s">
        <v>38</v>
      </c>
      <c r="H138" s="10" t="s">
        <v>40</v>
      </c>
      <c r="I138" s="11"/>
    </row>
    <row r="139" spans="1:9" ht="15.75" thickBot="1" x14ac:dyDescent="0.3">
      <c r="A139" s="57" t="s">
        <v>41</v>
      </c>
      <c r="B139" s="58" t="s">
        <v>140</v>
      </c>
      <c r="C139" s="79">
        <v>68432</v>
      </c>
      <c r="D139" s="79">
        <f>+C139*10%</f>
        <v>6843.2000000000007</v>
      </c>
      <c r="E139" s="79">
        <f>+C139-D139</f>
        <v>61588.800000000003</v>
      </c>
      <c r="F139" s="59">
        <v>44685</v>
      </c>
      <c r="G139" s="80" t="s">
        <v>141</v>
      </c>
      <c r="H139" s="81"/>
      <c r="I139" s="16"/>
    </row>
    <row r="140" spans="1:9" ht="15.75" thickBot="1" x14ac:dyDescent="0.3">
      <c r="A140" s="54" t="s">
        <v>49</v>
      </c>
      <c r="B140" s="47" t="s">
        <v>142</v>
      </c>
      <c r="C140" s="82">
        <v>26381</v>
      </c>
      <c r="D140" s="79">
        <f t="shared" ref="D140:D144" si="19">+C140*10%</f>
        <v>2638.1000000000004</v>
      </c>
      <c r="E140" s="79">
        <f t="shared" ref="E140:E144" si="20">+C140-D140</f>
        <v>23742.9</v>
      </c>
      <c r="F140" s="59">
        <v>44685</v>
      </c>
      <c r="G140" s="83">
        <v>44717</v>
      </c>
      <c r="H140" s="77"/>
      <c r="I140" s="16"/>
    </row>
    <row r="141" spans="1:9" ht="15.75" thickBot="1" x14ac:dyDescent="0.3">
      <c r="A141" s="54" t="s">
        <v>45</v>
      </c>
      <c r="B141" s="47" t="s">
        <v>143</v>
      </c>
      <c r="C141" s="82">
        <v>20412</v>
      </c>
      <c r="D141" s="79">
        <f t="shared" si="19"/>
        <v>2041.2</v>
      </c>
      <c r="E141" s="79">
        <f t="shared" si="20"/>
        <v>18370.8</v>
      </c>
      <c r="F141" s="59">
        <v>44685</v>
      </c>
      <c r="G141" s="83">
        <v>44717</v>
      </c>
      <c r="H141" s="77"/>
      <c r="I141" s="16"/>
    </row>
    <row r="142" spans="1:9" ht="15.75" thickBot="1" x14ac:dyDescent="0.3">
      <c r="A142" s="54" t="s">
        <v>47</v>
      </c>
      <c r="B142" s="47" t="s">
        <v>144</v>
      </c>
      <c r="C142" s="82">
        <v>22176</v>
      </c>
      <c r="D142" s="79">
        <f t="shared" si="19"/>
        <v>2217.6</v>
      </c>
      <c r="E142" s="79">
        <f t="shared" si="20"/>
        <v>19958.400000000001</v>
      </c>
      <c r="F142" s="59">
        <v>44685</v>
      </c>
      <c r="G142" s="83">
        <v>44732</v>
      </c>
      <c r="H142" s="77"/>
      <c r="I142" s="16"/>
    </row>
    <row r="143" spans="1:9" x14ac:dyDescent="0.25">
      <c r="A143" s="89" t="s">
        <v>101</v>
      </c>
      <c r="B143" s="47" t="s">
        <v>145</v>
      </c>
      <c r="C143" s="82">
        <v>4975</v>
      </c>
      <c r="D143" s="79">
        <f t="shared" si="19"/>
        <v>497.5</v>
      </c>
      <c r="E143" s="79">
        <f t="shared" si="20"/>
        <v>4477.5</v>
      </c>
      <c r="F143" s="59">
        <v>44685</v>
      </c>
      <c r="G143" s="83">
        <v>44734</v>
      </c>
      <c r="H143" s="88"/>
      <c r="I143" s="16"/>
    </row>
    <row r="144" spans="1:9" x14ac:dyDescent="0.25">
      <c r="A144" s="89" t="s">
        <v>83</v>
      </c>
      <c r="B144" s="47" t="s">
        <v>146</v>
      </c>
      <c r="C144" s="90">
        <v>2800</v>
      </c>
      <c r="D144" s="86">
        <f t="shared" si="19"/>
        <v>280</v>
      </c>
      <c r="E144" s="86">
        <f t="shared" si="20"/>
        <v>2520</v>
      </c>
      <c r="F144" s="120">
        <v>44685</v>
      </c>
      <c r="G144" s="87">
        <v>44722</v>
      </c>
      <c r="H144" s="88"/>
      <c r="I144" s="16"/>
    </row>
    <row r="145" spans="1:9" x14ac:dyDescent="0.25">
      <c r="A145" s="99"/>
      <c r="B145" s="110"/>
      <c r="C145" s="111"/>
      <c r="D145" s="112"/>
      <c r="E145" s="112"/>
      <c r="F145" s="113"/>
      <c r="G145" s="114"/>
      <c r="H145" s="100"/>
    </row>
    <row r="146" spans="1:9" ht="19.5" thickBot="1" x14ac:dyDescent="0.35">
      <c r="A146" s="65" t="s">
        <v>398</v>
      </c>
      <c r="B146" s="66"/>
      <c r="C146" s="67">
        <f>SUM(C139:C144)</f>
        <v>145176</v>
      </c>
      <c r="D146" s="67">
        <f>SUM(D139:D144)</f>
        <v>14517.600000000002</v>
      </c>
      <c r="E146" s="85">
        <f>SUM(E139:E144)</f>
        <v>130658.40000000002</v>
      </c>
      <c r="F146" s="4"/>
      <c r="G146" s="4"/>
      <c r="H146" s="5"/>
    </row>
    <row r="151" spans="1:9" ht="36" x14ac:dyDescent="0.55000000000000004">
      <c r="C151" s="116" t="s">
        <v>411</v>
      </c>
    </row>
    <row r="152" spans="1:9" ht="15.75" thickBot="1" x14ac:dyDescent="0.3"/>
    <row r="153" spans="1:9" ht="15.75" thickBot="1" x14ac:dyDescent="0.3">
      <c r="A153" s="10" t="s">
        <v>32</v>
      </c>
      <c r="B153" s="10" t="s">
        <v>33</v>
      </c>
      <c r="C153" s="10" t="s">
        <v>34</v>
      </c>
      <c r="D153" s="10" t="s">
        <v>35</v>
      </c>
      <c r="E153" s="10" t="s">
        <v>36</v>
      </c>
      <c r="F153" s="10" t="s">
        <v>37</v>
      </c>
      <c r="G153" s="10" t="s">
        <v>38</v>
      </c>
      <c r="H153" s="10" t="s">
        <v>40</v>
      </c>
      <c r="I153" s="11"/>
    </row>
    <row r="154" spans="1:9" ht="15.75" thickBot="1" x14ac:dyDescent="0.3">
      <c r="A154" s="57" t="s">
        <v>41</v>
      </c>
      <c r="B154" s="58" t="s">
        <v>147</v>
      </c>
      <c r="C154" s="79">
        <v>8320</v>
      </c>
      <c r="D154" s="79">
        <f>+C154*10%</f>
        <v>832</v>
      </c>
      <c r="E154" s="79">
        <f>+C154-D154</f>
        <v>7488</v>
      </c>
      <c r="F154" s="59">
        <v>44714</v>
      </c>
      <c r="G154" s="80" t="s">
        <v>148</v>
      </c>
      <c r="H154" s="22"/>
    </row>
    <row r="155" spans="1:9" ht="15.75" thickBot="1" x14ac:dyDescent="0.3">
      <c r="A155" s="54" t="s">
        <v>49</v>
      </c>
      <c r="B155" s="47" t="s">
        <v>149</v>
      </c>
      <c r="C155" s="82">
        <v>4036</v>
      </c>
      <c r="D155" s="79">
        <f t="shared" ref="D155:D160" si="21">+C155*10%</f>
        <v>403.6</v>
      </c>
      <c r="E155" s="79">
        <f t="shared" ref="E155:E160" si="22">+C155-D155</f>
        <v>3632.4</v>
      </c>
      <c r="F155" s="59">
        <v>44714</v>
      </c>
      <c r="G155" s="83">
        <v>44747</v>
      </c>
      <c r="H155" s="3"/>
    </row>
    <row r="156" spans="1:9" ht="15.75" thickBot="1" x14ac:dyDescent="0.3">
      <c r="A156" s="54" t="s">
        <v>45</v>
      </c>
      <c r="B156" s="47" t="s">
        <v>150</v>
      </c>
      <c r="C156" s="82">
        <v>8854</v>
      </c>
      <c r="D156" s="79">
        <f t="shared" si="21"/>
        <v>885.40000000000009</v>
      </c>
      <c r="E156" s="79">
        <f t="shared" si="22"/>
        <v>7968.6</v>
      </c>
      <c r="F156" s="59">
        <v>44714</v>
      </c>
      <c r="G156" s="83">
        <v>44747</v>
      </c>
      <c r="H156" s="3"/>
    </row>
    <row r="157" spans="1:9" ht="15.75" thickBot="1" x14ac:dyDescent="0.3">
      <c r="A157" s="54" t="s">
        <v>47</v>
      </c>
      <c r="B157" s="47" t="s">
        <v>151</v>
      </c>
      <c r="C157" s="82">
        <v>8910</v>
      </c>
      <c r="D157" s="79">
        <f t="shared" si="21"/>
        <v>891</v>
      </c>
      <c r="E157" s="79">
        <f t="shared" si="22"/>
        <v>8019</v>
      </c>
      <c r="F157" s="59">
        <v>44714</v>
      </c>
      <c r="G157" s="83">
        <v>44762</v>
      </c>
      <c r="H157" s="56"/>
      <c r="I157" s="38"/>
    </row>
    <row r="158" spans="1:9" x14ac:dyDescent="0.25">
      <c r="A158" s="89" t="s">
        <v>101</v>
      </c>
      <c r="B158" s="47" t="s">
        <v>152</v>
      </c>
      <c r="C158" s="82">
        <v>5472</v>
      </c>
      <c r="D158" s="79">
        <f t="shared" si="21"/>
        <v>547.20000000000005</v>
      </c>
      <c r="E158" s="79">
        <f t="shared" si="22"/>
        <v>4924.8</v>
      </c>
      <c r="F158" s="59">
        <v>44714</v>
      </c>
      <c r="G158" s="83">
        <v>44764</v>
      </c>
      <c r="H158" s="100"/>
    </row>
    <row r="159" spans="1:9" x14ac:dyDescent="0.25">
      <c r="A159" s="89" t="s">
        <v>153</v>
      </c>
      <c r="B159" s="73" t="s">
        <v>154</v>
      </c>
      <c r="C159" s="90">
        <v>2577</v>
      </c>
      <c r="D159" s="86">
        <f t="shared" si="21"/>
        <v>257.7</v>
      </c>
      <c r="E159" s="86">
        <f t="shared" si="22"/>
        <v>2319.3000000000002</v>
      </c>
      <c r="F159" s="120">
        <v>44714</v>
      </c>
      <c r="G159" s="87">
        <v>44752</v>
      </c>
      <c r="H159" s="88"/>
      <c r="I159" s="16"/>
    </row>
    <row r="160" spans="1:9" x14ac:dyDescent="0.25">
      <c r="A160" s="47" t="s">
        <v>155</v>
      </c>
      <c r="B160" s="47" t="s">
        <v>156</v>
      </c>
      <c r="C160" s="82">
        <v>6210</v>
      </c>
      <c r="D160" s="82">
        <f t="shared" si="21"/>
        <v>621</v>
      </c>
      <c r="E160" s="82">
        <f t="shared" si="22"/>
        <v>5589</v>
      </c>
      <c r="F160" s="55"/>
      <c r="G160" s="83"/>
      <c r="H160" s="1"/>
    </row>
    <row r="161" spans="1:9" x14ac:dyDescent="0.25">
      <c r="A161" s="117" t="s">
        <v>157</v>
      </c>
      <c r="B161" s="110" t="s">
        <v>158</v>
      </c>
      <c r="C161" s="111"/>
      <c r="D161" s="111"/>
      <c r="E161" s="111"/>
      <c r="F161" s="118"/>
      <c r="G161" s="114"/>
      <c r="H161" s="119"/>
    </row>
    <row r="162" spans="1:9" x14ac:dyDescent="0.25">
      <c r="A162" s="117" t="s">
        <v>157</v>
      </c>
      <c r="B162" s="110" t="s">
        <v>159</v>
      </c>
      <c r="C162" s="111"/>
      <c r="D162" s="111"/>
      <c r="E162" s="111"/>
      <c r="F162" s="118"/>
      <c r="G162" s="114"/>
      <c r="H162" s="119"/>
    </row>
    <row r="163" spans="1:9" ht="19.5" thickBot="1" x14ac:dyDescent="0.35">
      <c r="A163" s="65" t="s">
        <v>398</v>
      </c>
      <c r="B163" s="66"/>
      <c r="C163" s="67">
        <f>SUM(C154:C160)</f>
        <v>44379</v>
      </c>
      <c r="D163" s="67">
        <f>SUM(D154:D160)</f>
        <v>4437.8999999999996</v>
      </c>
      <c r="E163" s="85">
        <f>SUM(E154:E160)</f>
        <v>39941.1</v>
      </c>
      <c r="F163" s="4"/>
      <c r="G163" s="4"/>
      <c r="H163" s="5"/>
    </row>
    <row r="166" spans="1:9" ht="36" x14ac:dyDescent="0.55000000000000004">
      <c r="C166" s="116" t="s">
        <v>412</v>
      </c>
    </row>
    <row r="168" spans="1:9" ht="15.75" thickBot="1" x14ac:dyDescent="0.3"/>
    <row r="169" spans="1:9" ht="15.75" thickBot="1" x14ac:dyDescent="0.3">
      <c r="A169" s="10" t="s">
        <v>32</v>
      </c>
      <c r="B169" s="10" t="s">
        <v>33</v>
      </c>
      <c r="C169" s="10" t="s">
        <v>34</v>
      </c>
      <c r="D169" s="10" t="s">
        <v>35</v>
      </c>
      <c r="E169" s="10" t="s">
        <v>36</v>
      </c>
      <c r="F169" s="10" t="s">
        <v>37</v>
      </c>
      <c r="G169" s="10" t="s">
        <v>38</v>
      </c>
      <c r="H169" s="10" t="s">
        <v>40</v>
      </c>
      <c r="I169" s="11"/>
    </row>
    <row r="170" spans="1:9" ht="15.75" thickBot="1" x14ac:dyDescent="0.3">
      <c r="A170" s="57" t="s">
        <v>41</v>
      </c>
      <c r="B170" s="58" t="s">
        <v>160</v>
      </c>
      <c r="C170" s="79">
        <v>42368</v>
      </c>
      <c r="D170" s="79">
        <f>+C170*10%</f>
        <v>4236.8</v>
      </c>
      <c r="E170" s="79">
        <f>+C170-D170</f>
        <v>38131.199999999997</v>
      </c>
      <c r="F170" s="59">
        <v>44747</v>
      </c>
      <c r="G170" s="80" t="s">
        <v>43</v>
      </c>
      <c r="H170" s="81"/>
      <c r="I170" s="16"/>
    </row>
    <row r="171" spans="1:9" ht="15.75" thickBot="1" x14ac:dyDescent="0.3">
      <c r="A171" s="54" t="s">
        <v>49</v>
      </c>
      <c r="B171" s="47" t="s">
        <v>161</v>
      </c>
      <c r="C171" s="82">
        <v>8650</v>
      </c>
      <c r="D171" s="79">
        <f t="shared" ref="D171:D175" si="23">+C171*10%</f>
        <v>865</v>
      </c>
      <c r="E171" s="79">
        <f t="shared" ref="E171:E175" si="24">+C171-D171</f>
        <v>7785</v>
      </c>
      <c r="F171" s="59">
        <v>44747</v>
      </c>
      <c r="G171" s="83">
        <v>44778</v>
      </c>
      <c r="H171" s="77"/>
      <c r="I171" s="16"/>
    </row>
    <row r="172" spans="1:9" ht="15.75" thickBot="1" x14ac:dyDescent="0.3">
      <c r="A172" s="54" t="s">
        <v>45</v>
      </c>
      <c r="B172" s="47" t="s">
        <v>162</v>
      </c>
      <c r="C172" s="82">
        <v>11648</v>
      </c>
      <c r="D172" s="79">
        <f t="shared" si="23"/>
        <v>1164.8</v>
      </c>
      <c r="E172" s="79">
        <f t="shared" si="24"/>
        <v>10483.200000000001</v>
      </c>
      <c r="F172" s="59">
        <v>44747</v>
      </c>
      <c r="G172" s="83">
        <v>44778</v>
      </c>
      <c r="H172" s="77"/>
      <c r="I172" s="16"/>
    </row>
    <row r="173" spans="1:9" ht="15.75" thickBot="1" x14ac:dyDescent="0.3">
      <c r="A173" s="54" t="s">
        <v>47</v>
      </c>
      <c r="B173" s="47" t="s">
        <v>163</v>
      </c>
      <c r="C173" s="82">
        <v>5302</v>
      </c>
      <c r="D173" s="79">
        <f t="shared" si="23"/>
        <v>530.20000000000005</v>
      </c>
      <c r="E173" s="79">
        <f t="shared" si="24"/>
        <v>4771.8</v>
      </c>
      <c r="F173" s="59">
        <v>44747</v>
      </c>
      <c r="G173" s="83">
        <v>44793</v>
      </c>
      <c r="H173" s="77"/>
      <c r="I173" s="16"/>
    </row>
    <row r="174" spans="1:9" ht="15.75" thickBot="1" x14ac:dyDescent="0.3">
      <c r="A174" s="89" t="s">
        <v>164</v>
      </c>
      <c r="B174" s="47" t="s">
        <v>165</v>
      </c>
      <c r="C174" s="82">
        <v>2430</v>
      </c>
      <c r="D174" s="79">
        <f t="shared" si="23"/>
        <v>243</v>
      </c>
      <c r="E174" s="79">
        <f t="shared" si="24"/>
        <v>2187</v>
      </c>
      <c r="F174" s="59">
        <v>44747</v>
      </c>
      <c r="G174" s="83">
        <v>44795</v>
      </c>
      <c r="H174" s="88"/>
      <c r="I174" s="16"/>
    </row>
    <row r="175" spans="1:9" x14ac:dyDescent="0.25">
      <c r="A175" s="89" t="s">
        <v>77</v>
      </c>
      <c r="B175" s="73" t="s">
        <v>166</v>
      </c>
      <c r="C175" s="90">
        <v>2592</v>
      </c>
      <c r="D175" s="86">
        <f t="shared" si="23"/>
        <v>259.2</v>
      </c>
      <c r="E175" s="86">
        <f t="shared" si="24"/>
        <v>2332.8000000000002</v>
      </c>
      <c r="F175" s="59">
        <v>44747</v>
      </c>
      <c r="G175" s="87">
        <v>44783</v>
      </c>
      <c r="H175" s="88"/>
      <c r="I175" s="16"/>
    </row>
    <row r="176" spans="1:9" x14ac:dyDescent="0.25">
      <c r="A176" s="117"/>
      <c r="B176" s="110"/>
      <c r="C176" s="111"/>
      <c r="D176" s="111"/>
      <c r="E176" s="111"/>
      <c r="F176" s="118"/>
      <c r="G176" s="114"/>
      <c r="H176" s="119"/>
    </row>
    <row r="177" spans="1:9" ht="19.5" thickBot="1" x14ac:dyDescent="0.35">
      <c r="A177" s="65" t="s">
        <v>398</v>
      </c>
      <c r="B177" s="66"/>
      <c r="C177" s="67">
        <f>SUM(C170:C175)</f>
        <v>72990</v>
      </c>
      <c r="D177" s="67">
        <f>SUM(D170:D175)</f>
        <v>7299</v>
      </c>
      <c r="E177" s="85">
        <f>SUM(E170:E175)</f>
        <v>65691</v>
      </c>
      <c r="F177" s="4"/>
      <c r="G177" s="4"/>
      <c r="H177" s="5"/>
    </row>
    <row r="179" spans="1:9" ht="32.25" thickBot="1" x14ac:dyDescent="0.55000000000000004">
      <c r="C179" s="107" t="s">
        <v>413</v>
      </c>
    </row>
    <row r="180" spans="1:9" ht="15.75" thickBot="1" x14ac:dyDescent="0.3">
      <c r="A180" s="10" t="s">
        <v>32</v>
      </c>
      <c r="B180" s="10" t="s">
        <v>33</v>
      </c>
      <c r="C180" s="10" t="s">
        <v>34</v>
      </c>
      <c r="D180" s="10" t="s">
        <v>35</v>
      </c>
      <c r="E180" s="10" t="s">
        <v>36</v>
      </c>
      <c r="F180" s="10" t="s">
        <v>37</v>
      </c>
      <c r="G180" s="10" t="s">
        <v>38</v>
      </c>
      <c r="H180" s="10" t="s">
        <v>40</v>
      </c>
      <c r="I180" s="11"/>
    </row>
    <row r="181" spans="1:9" ht="15.75" thickBot="1" x14ac:dyDescent="0.3">
      <c r="A181" s="57" t="s">
        <v>41</v>
      </c>
      <c r="B181" s="58" t="s">
        <v>167</v>
      </c>
      <c r="C181" s="79">
        <v>88600</v>
      </c>
      <c r="D181" s="79">
        <f>+C181*10%</f>
        <v>8860</v>
      </c>
      <c r="E181" s="79">
        <f>+C181-D181</f>
        <v>79740</v>
      </c>
      <c r="F181" s="59">
        <v>44777</v>
      </c>
      <c r="G181" s="80" t="s">
        <v>168</v>
      </c>
      <c r="H181" s="81"/>
      <c r="I181" s="16"/>
    </row>
    <row r="182" spans="1:9" ht="15.75" thickBot="1" x14ac:dyDescent="0.3">
      <c r="A182" s="54" t="s">
        <v>49</v>
      </c>
      <c r="B182" s="47" t="s">
        <v>169</v>
      </c>
      <c r="C182" s="82">
        <v>100773.5</v>
      </c>
      <c r="D182" s="79">
        <f t="shared" ref="D182:D186" si="25">+C182*10%</f>
        <v>10077.35</v>
      </c>
      <c r="E182" s="79">
        <f t="shared" ref="E182:E186" si="26">+C182-D182</f>
        <v>90696.15</v>
      </c>
      <c r="F182" s="59">
        <v>44777</v>
      </c>
      <c r="G182" s="83">
        <v>44809</v>
      </c>
      <c r="H182" s="77"/>
      <c r="I182" s="16"/>
    </row>
    <row r="183" spans="1:9" ht="15.75" thickBot="1" x14ac:dyDescent="0.3">
      <c r="A183" s="17" t="s">
        <v>47</v>
      </c>
      <c r="B183" s="18" t="s">
        <v>170</v>
      </c>
      <c r="C183" s="126">
        <v>50021.96</v>
      </c>
      <c r="D183" s="127">
        <f t="shared" si="25"/>
        <v>5002.1959999999999</v>
      </c>
      <c r="E183" s="127">
        <f t="shared" si="26"/>
        <v>45019.763999999996</v>
      </c>
      <c r="F183" s="128">
        <v>44777</v>
      </c>
      <c r="G183" s="129">
        <v>44824</v>
      </c>
      <c r="H183" s="130" t="s">
        <v>171</v>
      </c>
      <c r="I183" s="14"/>
    </row>
    <row r="184" spans="1:9" ht="15.75" thickBot="1" x14ac:dyDescent="0.3">
      <c r="A184" s="89" t="s">
        <v>155</v>
      </c>
      <c r="B184" s="47" t="s">
        <v>172</v>
      </c>
      <c r="C184" s="82">
        <v>20300</v>
      </c>
      <c r="D184" s="79">
        <f t="shared" si="25"/>
        <v>2030</v>
      </c>
      <c r="E184" s="79">
        <f t="shared" si="26"/>
        <v>18270</v>
      </c>
      <c r="F184" s="59">
        <v>44777</v>
      </c>
      <c r="G184" s="83">
        <v>44826</v>
      </c>
      <c r="H184" s="88"/>
      <c r="I184" s="16"/>
    </row>
    <row r="185" spans="1:9" x14ac:dyDescent="0.25">
      <c r="A185" s="89" t="s">
        <v>130</v>
      </c>
      <c r="B185" s="73" t="s">
        <v>173</v>
      </c>
      <c r="C185" s="90">
        <v>12394.4</v>
      </c>
      <c r="D185" s="86">
        <f t="shared" si="25"/>
        <v>1239.44</v>
      </c>
      <c r="E185" s="86">
        <f t="shared" si="26"/>
        <v>11154.96</v>
      </c>
      <c r="F185" s="59">
        <v>44777</v>
      </c>
      <c r="G185" s="87">
        <v>44809</v>
      </c>
      <c r="H185" s="88"/>
      <c r="I185" s="16"/>
    </row>
    <row r="186" spans="1:9" x14ac:dyDescent="0.25">
      <c r="A186" s="45" t="s">
        <v>174</v>
      </c>
      <c r="B186" s="45" t="s">
        <v>175</v>
      </c>
      <c r="C186" s="108">
        <v>1560</v>
      </c>
      <c r="D186" s="108">
        <f t="shared" si="25"/>
        <v>156</v>
      </c>
      <c r="E186" s="108">
        <f t="shared" si="26"/>
        <v>1404</v>
      </c>
      <c r="F186" s="35">
        <v>44777</v>
      </c>
      <c r="G186" s="109">
        <v>44809</v>
      </c>
      <c r="H186" s="45"/>
      <c r="I186" s="38"/>
    </row>
    <row r="187" spans="1:9" x14ac:dyDescent="0.25">
      <c r="A187" s="117"/>
      <c r="B187" s="110"/>
      <c r="C187" s="111"/>
      <c r="D187" s="111"/>
      <c r="E187" s="111"/>
      <c r="F187" s="118"/>
      <c r="G187" s="114"/>
      <c r="H187" s="119"/>
    </row>
    <row r="188" spans="1:9" ht="19.5" thickBot="1" x14ac:dyDescent="0.35">
      <c r="A188" s="65" t="s">
        <v>398</v>
      </c>
      <c r="B188" s="66"/>
      <c r="C188" s="67">
        <f>SUM(C181:C186)</f>
        <v>273649.86</v>
      </c>
      <c r="D188" s="67">
        <f>SUM(D181:D186)</f>
        <v>27364.985999999997</v>
      </c>
      <c r="E188" s="85">
        <f>SUM(E181:E186)</f>
        <v>246284.87399999998</v>
      </c>
      <c r="F188" s="4"/>
      <c r="G188" s="4"/>
      <c r="H188" s="5"/>
    </row>
    <row r="190" spans="1:9" ht="15.75" customHeight="1" x14ac:dyDescent="0.25"/>
    <row r="191" spans="1:9" ht="32.25" thickBot="1" x14ac:dyDescent="0.55000000000000004">
      <c r="C191" s="107" t="s">
        <v>414</v>
      </c>
    </row>
    <row r="192" spans="1:9" ht="15.75" thickBot="1" x14ac:dyDescent="0.3">
      <c r="A192" s="10" t="s">
        <v>32</v>
      </c>
      <c r="B192" s="10" t="s">
        <v>33</v>
      </c>
      <c r="C192" s="10" t="s">
        <v>34</v>
      </c>
      <c r="D192" s="10" t="s">
        <v>35</v>
      </c>
      <c r="E192" s="10" t="s">
        <v>36</v>
      </c>
      <c r="F192" s="10" t="s">
        <v>37</v>
      </c>
      <c r="G192" s="10" t="s">
        <v>38</v>
      </c>
      <c r="H192" s="132" t="s">
        <v>40</v>
      </c>
      <c r="I192" s="46" t="s">
        <v>415</v>
      </c>
    </row>
    <row r="193" spans="1:12" ht="15.75" thickBot="1" x14ac:dyDescent="0.3">
      <c r="A193" s="57" t="s">
        <v>41</v>
      </c>
      <c r="B193" s="58" t="s">
        <v>176</v>
      </c>
      <c r="C193" s="79">
        <v>649016</v>
      </c>
      <c r="D193" s="79">
        <f>+C193*10%</f>
        <v>64901.600000000006</v>
      </c>
      <c r="E193" s="79">
        <f>+C193-D193</f>
        <v>584114.4</v>
      </c>
      <c r="F193" s="59">
        <v>44809</v>
      </c>
      <c r="G193" s="80" t="s">
        <v>168</v>
      </c>
      <c r="H193" s="60"/>
      <c r="I193" s="133">
        <f>E193*15%</f>
        <v>87617.16</v>
      </c>
    </row>
    <row r="194" spans="1:12" ht="15.75" thickBot="1" x14ac:dyDescent="0.3">
      <c r="A194" s="54" t="s">
        <v>49</v>
      </c>
      <c r="B194" s="47" t="s">
        <v>177</v>
      </c>
      <c r="C194" s="82">
        <v>67136.12</v>
      </c>
      <c r="D194" s="79">
        <f t="shared" ref="D194:D201" si="27">+C194*10%</f>
        <v>6713.6120000000001</v>
      </c>
      <c r="E194" s="79">
        <f t="shared" ref="E194:E201" si="28">+C194-D194</f>
        <v>60422.507999999994</v>
      </c>
      <c r="F194" s="59">
        <v>44809</v>
      </c>
      <c r="G194" s="83">
        <v>44839</v>
      </c>
      <c r="H194" s="61"/>
      <c r="I194" s="133">
        <f t="shared" ref="I194:I204" si="29">E194*15%</f>
        <v>9063.3761999999988</v>
      </c>
    </row>
    <row r="195" spans="1:12" ht="15.75" thickBot="1" x14ac:dyDescent="0.3">
      <c r="A195" s="54" t="s">
        <v>45</v>
      </c>
      <c r="B195" s="47" t="s">
        <v>178</v>
      </c>
      <c r="C195" s="82">
        <v>11580</v>
      </c>
      <c r="D195" s="79">
        <f t="shared" si="27"/>
        <v>1158</v>
      </c>
      <c r="E195" s="79">
        <f t="shared" si="28"/>
        <v>10422</v>
      </c>
      <c r="F195" s="59">
        <v>44809</v>
      </c>
      <c r="G195" s="83">
        <v>44839</v>
      </c>
      <c r="H195" s="61"/>
      <c r="I195" s="133">
        <f t="shared" si="29"/>
        <v>1563.3</v>
      </c>
    </row>
    <row r="196" spans="1:12" ht="15.75" thickBot="1" x14ac:dyDescent="0.3">
      <c r="A196" s="54" t="s">
        <v>47</v>
      </c>
      <c r="B196" s="47" t="s">
        <v>179</v>
      </c>
      <c r="C196" s="82">
        <v>84098</v>
      </c>
      <c r="D196" s="79">
        <f t="shared" si="27"/>
        <v>8409.8000000000011</v>
      </c>
      <c r="E196" s="79">
        <f t="shared" si="28"/>
        <v>75688.2</v>
      </c>
      <c r="F196" s="59">
        <v>44809</v>
      </c>
      <c r="G196" s="83">
        <v>44854</v>
      </c>
      <c r="H196" s="61"/>
      <c r="I196" s="133">
        <f t="shared" si="29"/>
        <v>11353.23</v>
      </c>
    </row>
    <row r="197" spans="1:12" ht="15.75" thickBot="1" x14ac:dyDescent="0.3">
      <c r="A197" s="89" t="s">
        <v>180</v>
      </c>
      <c r="B197" s="47" t="s">
        <v>181</v>
      </c>
      <c r="C197" s="82">
        <v>22600</v>
      </c>
      <c r="D197" s="79">
        <f t="shared" si="27"/>
        <v>2260</v>
      </c>
      <c r="E197" s="79">
        <f t="shared" si="28"/>
        <v>20340</v>
      </c>
      <c r="F197" s="59">
        <v>44809</v>
      </c>
      <c r="G197" s="83">
        <v>44856</v>
      </c>
      <c r="H197" s="75"/>
      <c r="I197" s="133">
        <f t="shared" si="29"/>
        <v>3051</v>
      </c>
      <c r="K197" s="97"/>
    </row>
    <row r="198" spans="1:12" ht="15.75" thickBot="1" x14ac:dyDescent="0.3">
      <c r="A198" s="89" t="s">
        <v>72</v>
      </c>
      <c r="B198" s="47" t="s">
        <v>182</v>
      </c>
      <c r="C198" s="82">
        <v>7000</v>
      </c>
      <c r="D198" s="82">
        <f t="shared" si="27"/>
        <v>700</v>
      </c>
      <c r="E198" s="82">
        <f t="shared" si="28"/>
        <v>6300</v>
      </c>
      <c r="F198" s="59">
        <v>44809</v>
      </c>
      <c r="G198" s="87">
        <v>44844</v>
      </c>
      <c r="H198" s="75"/>
      <c r="I198" s="133">
        <f t="shared" si="29"/>
        <v>945</v>
      </c>
    </row>
    <row r="199" spans="1:12" x14ac:dyDescent="0.25">
      <c r="A199" s="89" t="s">
        <v>130</v>
      </c>
      <c r="B199" s="73" t="s">
        <v>183</v>
      </c>
      <c r="C199" s="82">
        <v>24206.400000000001</v>
      </c>
      <c r="D199" s="82">
        <f t="shared" si="27"/>
        <v>2420.6400000000003</v>
      </c>
      <c r="E199" s="82">
        <f t="shared" si="28"/>
        <v>21785.760000000002</v>
      </c>
      <c r="F199" s="59">
        <v>44809</v>
      </c>
      <c r="G199" s="87">
        <v>44839</v>
      </c>
      <c r="H199" s="75"/>
      <c r="I199" s="133">
        <f t="shared" si="29"/>
        <v>3267.864</v>
      </c>
    </row>
    <row r="200" spans="1:12" x14ac:dyDescent="0.25">
      <c r="A200" s="47" t="s">
        <v>184</v>
      </c>
      <c r="B200" s="73" t="s">
        <v>185</v>
      </c>
      <c r="C200" s="82">
        <v>31480</v>
      </c>
      <c r="D200" s="82">
        <f t="shared" si="27"/>
        <v>3148</v>
      </c>
      <c r="E200" s="82">
        <f t="shared" si="28"/>
        <v>28332</v>
      </c>
      <c r="F200" s="55">
        <v>44809</v>
      </c>
      <c r="G200" s="83">
        <v>44839</v>
      </c>
      <c r="H200" s="61"/>
      <c r="I200" s="133">
        <f t="shared" si="29"/>
        <v>4249.8</v>
      </c>
    </row>
    <row r="201" spans="1:12" x14ac:dyDescent="0.25">
      <c r="A201" s="72" t="s">
        <v>153</v>
      </c>
      <c r="B201" s="73" t="s">
        <v>186</v>
      </c>
      <c r="C201" s="90">
        <v>16742</v>
      </c>
      <c r="D201" s="90">
        <f t="shared" si="27"/>
        <v>1674.2</v>
      </c>
      <c r="E201" s="90">
        <f t="shared" si="28"/>
        <v>15067.8</v>
      </c>
      <c r="F201" s="74">
        <v>44809</v>
      </c>
      <c r="G201" s="87">
        <v>44839</v>
      </c>
      <c r="H201" s="75"/>
      <c r="I201" s="133">
        <f t="shared" si="29"/>
        <v>2260.1699999999996</v>
      </c>
      <c r="J201" s="125">
        <v>0.3</v>
      </c>
      <c r="K201" s="125">
        <v>0.1</v>
      </c>
      <c r="L201" t="s">
        <v>416</v>
      </c>
    </row>
    <row r="202" spans="1:12" x14ac:dyDescent="0.25">
      <c r="A202" s="72" t="s">
        <v>187</v>
      </c>
      <c r="B202" s="73" t="s">
        <v>188</v>
      </c>
      <c r="C202" s="90">
        <v>8154</v>
      </c>
      <c r="D202" s="90"/>
      <c r="E202" s="90">
        <v>4892.3999999999996</v>
      </c>
      <c r="F202" s="74"/>
      <c r="G202" s="87"/>
      <c r="H202" s="75"/>
      <c r="I202" s="133">
        <f t="shared" si="29"/>
        <v>733.8599999999999</v>
      </c>
      <c r="J202" s="123">
        <f>+C202*30%</f>
        <v>2446.1999999999998</v>
      </c>
      <c r="K202" s="123">
        <f>+C202*10%</f>
        <v>815.40000000000009</v>
      </c>
      <c r="L202" s="124">
        <f>+C202-J202-K202</f>
        <v>4892.3999999999996</v>
      </c>
    </row>
    <row r="203" spans="1:12" x14ac:dyDescent="0.25">
      <c r="A203" s="72" t="s">
        <v>187</v>
      </c>
      <c r="B203" s="73" t="s">
        <v>189</v>
      </c>
      <c r="C203" s="90">
        <v>4095.29</v>
      </c>
      <c r="D203" s="90" t="s">
        <v>190</v>
      </c>
      <c r="E203" s="90">
        <v>2457.17</v>
      </c>
      <c r="F203" s="74"/>
      <c r="G203" s="87"/>
      <c r="H203" s="75"/>
      <c r="I203" s="133">
        <f t="shared" si="29"/>
        <v>368.57549999999998</v>
      </c>
      <c r="J203" s="123">
        <f>+C203*30%</f>
        <v>1228.587</v>
      </c>
      <c r="K203" s="123">
        <f>+C203*10%</f>
        <v>409.529</v>
      </c>
      <c r="L203" s="124">
        <f>+C203-J203-K203</f>
        <v>2457.174</v>
      </c>
    </row>
    <row r="204" spans="1:12" ht="19.5" thickBot="1" x14ac:dyDescent="0.35">
      <c r="A204" s="65" t="s">
        <v>398</v>
      </c>
      <c r="B204" s="66"/>
      <c r="C204" s="67">
        <f>SUM(C193:C203)</f>
        <v>926107.81</v>
      </c>
      <c r="D204" s="67">
        <f>SUM(D193:D202)</f>
        <v>91385.851999999999</v>
      </c>
      <c r="E204" s="85">
        <f>SUM(E193:E203)</f>
        <v>829822.23800000013</v>
      </c>
      <c r="F204" s="4"/>
      <c r="G204" s="4"/>
      <c r="H204" s="21"/>
      <c r="I204" s="131">
        <f t="shared" si="29"/>
        <v>124473.33570000001</v>
      </c>
    </row>
    <row r="208" spans="1:12" ht="32.25" thickBot="1" x14ac:dyDescent="0.55000000000000004">
      <c r="C208" s="107" t="s">
        <v>417</v>
      </c>
    </row>
    <row r="209" spans="1:10" ht="15.75" thickBot="1" x14ac:dyDescent="0.3">
      <c r="A209" s="10" t="s">
        <v>32</v>
      </c>
      <c r="B209" s="10" t="s">
        <v>33</v>
      </c>
      <c r="C209" s="10" t="s">
        <v>34</v>
      </c>
      <c r="D209" s="10" t="s">
        <v>35</v>
      </c>
      <c r="E209" s="10" t="s">
        <v>36</v>
      </c>
      <c r="F209" s="10" t="s">
        <v>37</v>
      </c>
      <c r="G209" s="10" t="s">
        <v>38</v>
      </c>
      <c r="H209" s="132" t="s">
        <v>40</v>
      </c>
      <c r="I209" s="46" t="s">
        <v>418</v>
      </c>
    </row>
    <row r="210" spans="1:10" ht="15.75" thickBot="1" x14ac:dyDescent="0.3">
      <c r="A210" s="57" t="s">
        <v>41</v>
      </c>
      <c r="B210" s="58" t="s">
        <v>191</v>
      </c>
      <c r="C210" s="79">
        <v>158530</v>
      </c>
      <c r="D210" s="79">
        <f>+C210*10%</f>
        <v>15853</v>
      </c>
      <c r="E210" s="79">
        <f>+C210-D210</f>
        <v>142677</v>
      </c>
      <c r="F210" s="59">
        <v>44838</v>
      </c>
      <c r="G210" s="80" t="s">
        <v>192</v>
      </c>
      <c r="H210" s="60"/>
      <c r="I210" s="133">
        <f>E210*15%</f>
        <v>21401.55</v>
      </c>
    </row>
    <row r="211" spans="1:10" ht="15.75" thickBot="1" x14ac:dyDescent="0.3">
      <c r="A211" s="54" t="s">
        <v>49</v>
      </c>
      <c r="B211" s="47" t="s">
        <v>193</v>
      </c>
      <c r="C211" s="82">
        <v>41907.120000000003</v>
      </c>
      <c r="D211" s="79">
        <f t="shared" ref="D211:D212" si="30">+C211*10%</f>
        <v>4190.7120000000004</v>
      </c>
      <c r="E211" s="79">
        <f t="shared" ref="E211:E212" si="31">+C211-D211</f>
        <v>37716.408000000003</v>
      </c>
      <c r="F211" s="59">
        <v>44838</v>
      </c>
      <c r="G211" s="83">
        <v>44870</v>
      </c>
      <c r="H211" s="61"/>
      <c r="I211" s="133">
        <f>E211*15%</f>
        <v>5657.4612000000006</v>
      </c>
    </row>
    <row r="212" spans="1:10" x14ac:dyDescent="0.25">
      <c r="A212" s="54" t="s">
        <v>45</v>
      </c>
      <c r="B212" s="47" t="s">
        <v>194</v>
      </c>
      <c r="C212" s="82">
        <v>20944</v>
      </c>
      <c r="D212" s="79">
        <f t="shared" si="30"/>
        <v>2094.4</v>
      </c>
      <c r="E212" s="79">
        <f t="shared" si="31"/>
        <v>18849.599999999999</v>
      </c>
      <c r="F212" s="59">
        <v>44838</v>
      </c>
      <c r="G212" s="83">
        <v>44869</v>
      </c>
      <c r="H212" s="61"/>
      <c r="I212" s="133">
        <f>E212*15%</f>
        <v>2827.4399999999996</v>
      </c>
    </row>
    <row r="213" spans="1:10" x14ac:dyDescent="0.25">
      <c r="A213" s="89" t="s">
        <v>157</v>
      </c>
      <c r="B213" s="47" t="s">
        <v>195</v>
      </c>
      <c r="C213" s="90">
        <v>2554</v>
      </c>
      <c r="D213" s="86">
        <v>1060</v>
      </c>
      <c r="E213" s="86">
        <v>1532</v>
      </c>
      <c r="F213" s="120"/>
      <c r="G213" s="87"/>
      <c r="H213" s="75"/>
      <c r="I213" s="133"/>
    </row>
    <row r="214" spans="1:10" ht="19.5" thickBot="1" x14ac:dyDescent="0.35">
      <c r="A214" s="102" t="s">
        <v>398</v>
      </c>
      <c r="B214" s="103"/>
      <c r="C214" s="104">
        <f>SUM(C210:C213)</f>
        <v>223935.12</v>
      </c>
      <c r="D214" s="104">
        <f>SUM(D210:D213)</f>
        <v>23198.112000000001</v>
      </c>
      <c r="E214" s="105">
        <f>SUM(E210:E213)</f>
        <v>200775.008</v>
      </c>
      <c r="F214" s="106"/>
      <c r="G214" s="106"/>
      <c r="H214" s="137"/>
      <c r="I214" s="133">
        <f>SUM(I210:I212)</f>
        <v>29886.4512</v>
      </c>
    </row>
    <row r="217" spans="1:10" x14ac:dyDescent="0.25">
      <c r="I217" s="97"/>
    </row>
    <row r="218" spans="1:10" ht="32.25" thickBot="1" x14ac:dyDescent="0.55000000000000004">
      <c r="C218" s="107" t="s">
        <v>419</v>
      </c>
    </row>
    <row r="219" spans="1:10" ht="15.75" thickBot="1" x14ac:dyDescent="0.3">
      <c r="A219" s="10" t="s">
        <v>32</v>
      </c>
      <c r="B219" s="10" t="s">
        <v>33</v>
      </c>
      <c r="C219" s="10" t="s">
        <v>34</v>
      </c>
      <c r="D219" s="10" t="s">
        <v>35</v>
      </c>
      <c r="E219" s="10" t="s">
        <v>36</v>
      </c>
      <c r="F219" s="10" t="s">
        <v>37</v>
      </c>
      <c r="G219" s="10" t="s">
        <v>38</v>
      </c>
      <c r="H219" s="132" t="s">
        <v>40</v>
      </c>
      <c r="I219" s="46" t="s">
        <v>415</v>
      </c>
      <c r="J219" s="46" t="s">
        <v>420</v>
      </c>
    </row>
    <row r="220" spans="1:10" ht="15.75" thickBot="1" x14ac:dyDescent="0.3">
      <c r="A220" s="57" t="s">
        <v>41</v>
      </c>
      <c r="B220" s="58" t="s">
        <v>196</v>
      </c>
      <c r="C220" s="79">
        <v>65234</v>
      </c>
      <c r="D220" s="79">
        <f>+C220*10%</f>
        <v>6523.4000000000005</v>
      </c>
      <c r="E220" s="79">
        <f>+C220-D220</f>
        <v>58710.6</v>
      </c>
      <c r="F220" s="59">
        <v>44867</v>
      </c>
      <c r="G220" s="80" t="s">
        <v>197</v>
      </c>
      <c r="H220" s="60"/>
      <c r="I220" s="133">
        <f>E220*15%</f>
        <v>8806.59</v>
      </c>
      <c r="J220" s="64">
        <f>+I220/55</f>
        <v>160.11981818181818</v>
      </c>
    </row>
    <row r="221" spans="1:10" ht="15.75" thickBot="1" x14ac:dyDescent="0.3">
      <c r="A221" s="54" t="s">
        <v>49</v>
      </c>
      <c r="B221" s="47" t="s">
        <v>198</v>
      </c>
      <c r="C221" s="82">
        <v>33224.5</v>
      </c>
      <c r="D221" s="79">
        <f t="shared" ref="D221:D229" si="32">+C221*10%</f>
        <v>3322.4500000000003</v>
      </c>
      <c r="E221" s="79">
        <f t="shared" ref="E221:E229" si="33">+C221-D221</f>
        <v>29902.05</v>
      </c>
      <c r="F221" s="59">
        <v>44867</v>
      </c>
      <c r="G221" s="83">
        <v>44900</v>
      </c>
      <c r="H221" s="61"/>
      <c r="I221" s="133">
        <f t="shared" ref="I221:I230" si="34">E221*15%</f>
        <v>4485.3074999999999</v>
      </c>
      <c r="J221" s="64">
        <f>+I221/55</f>
        <v>81.551045454545459</v>
      </c>
    </row>
    <row r="222" spans="1:10" ht="15.75" thickBot="1" x14ac:dyDescent="0.3">
      <c r="A222" s="54" t="s">
        <v>45</v>
      </c>
      <c r="B222" s="47" t="s">
        <v>199</v>
      </c>
      <c r="C222" s="82">
        <v>2268</v>
      </c>
      <c r="D222" s="79">
        <f t="shared" si="32"/>
        <v>226.8</v>
      </c>
      <c r="E222" s="79">
        <f t="shared" si="33"/>
        <v>2041.2</v>
      </c>
      <c r="F222" s="59">
        <v>44867</v>
      </c>
      <c r="G222" s="83">
        <v>44900</v>
      </c>
      <c r="H222" s="61"/>
      <c r="I222" s="133">
        <f t="shared" si="34"/>
        <v>306.18</v>
      </c>
      <c r="J222" s="64">
        <f>+I222/55</f>
        <v>5.5669090909090908</v>
      </c>
    </row>
    <row r="223" spans="1:10" ht="15.75" thickBot="1" x14ac:dyDescent="0.3">
      <c r="A223" s="54" t="s">
        <v>47</v>
      </c>
      <c r="B223" s="47" t="s">
        <v>200</v>
      </c>
      <c r="C223" s="82">
        <v>112469.02</v>
      </c>
      <c r="D223" s="79">
        <f t="shared" si="32"/>
        <v>11246.902000000002</v>
      </c>
      <c r="E223" s="79">
        <f t="shared" si="33"/>
        <v>101222.118</v>
      </c>
      <c r="F223" s="59">
        <v>44867</v>
      </c>
      <c r="G223" s="83">
        <v>44915</v>
      </c>
      <c r="H223" s="61"/>
      <c r="I223" s="133">
        <f t="shared" si="34"/>
        <v>15183.3177</v>
      </c>
      <c r="J223" s="64">
        <f t="shared" ref="J223:J230" si="35">+I223/55</f>
        <v>276.06032181818182</v>
      </c>
    </row>
    <row r="224" spans="1:10" ht="15.75" thickBot="1" x14ac:dyDescent="0.3">
      <c r="A224" s="89" t="s">
        <v>72</v>
      </c>
      <c r="B224" s="47" t="s">
        <v>201</v>
      </c>
      <c r="C224" s="82">
        <v>1884</v>
      </c>
      <c r="D224" s="79">
        <f t="shared" si="32"/>
        <v>188.4</v>
      </c>
      <c r="E224" s="79">
        <f t="shared" si="33"/>
        <v>1695.6</v>
      </c>
      <c r="F224" s="59">
        <v>44867</v>
      </c>
      <c r="G224" s="83">
        <v>44917</v>
      </c>
      <c r="H224" s="75"/>
      <c r="I224" s="133">
        <f t="shared" si="34"/>
        <v>254.33999999999997</v>
      </c>
      <c r="J224" s="64">
        <f t="shared" si="35"/>
        <v>4.6243636363636362</v>
      </c>
    </row>
    <row r="225" spans="1:10" ht="15.75" thickBot="1" x14ac:dyDescent="0.3">
      <c r="A225" s="89" t="s">
        <v>153</v>
      </c>
      <c r="B225" s="47" t="s">
        <v>202</v>
      </c>
      <c r="C225" s="82">
        <v>64422.5</v>
      </c>
      <c r="D225" s="82">
        <f t="shared" si="32"/>
        <v>6442.25</v>
      </c>
      <c r="E225" s="82">
        <f t="shared" si="33"/>
        <v>57980.25</v>
      </c>
      <c r="F225" s="59">
        <v>44867</v>
      </c>
      <c r="G225" s="87">
        <v>44905</v>
      </c>
      <c r="H225" s="75"/>
      <c r="I225" s="133">
        <f t="shared" si="34"/>
        <v>8697.0375000000004</v>
      </c>
      <c r="J225" s="64">
        <f t="shared" si="35"/>
        <v>158.12795454545454</v>
      </c>
    </row>
    <row r="226" spans="1:10" ht="15.75" thickBot="1" x14ac:dyDescent="0.3">
      <c r="A226" s="89" t="s">
        <v>203</v>
      </c>
      <c r="B226" s="58" t="s">
        <v>204</v>
      </c>
      <c r="C226" s="82">
        <v>26400</v>
      </c>
      <c r="D226" s="82">
        <f t="shared" si="32"/>
        <v>2640</v>
      </c>
      <c r="E226" s="82">
        <f t="shared" si="33"/>
        <v>23760</v>
      </c>
      <c r="F226" s="59">
        <v>44867</v>
      </c>
      <c r="G226" s="87">
        <v>44900</v>
      </c>
      <c r="H226" s="75"/>
      <c r="I226" s="133">
        <f t="shared" si="34"/>
        <v>3564</v>
      </c>
      <c r="J226" s="64">
        <f t="shared" si="35"/>
        <v>64.8</v>
      </c>
    </row>
    <row r="227" spans="1:10" ht="15.75" thickBot="1" x14ac:dyDescent="0.3">
      <c r="A227" s="47" t="s">
        <v>205</v>
      </c>
      <c r="B227" s="73" t="s">
        <v>206</v>
      </c>
      <c r="C227" s="82">
        <v>4050</v>
      </c>
      <c r="D227" s="82">
        <f t="shared" si="32"/>
        <v>405</v>
      </c>
      <c r="E227" s="82">
        <f t="shared" si="33"/>
        <v>3645</v>
      </c>
      <c r="F227" s="59">
        <v>44867</v>
      </c>
      <c r="G227" s="83">
        <v>44900</v>
      </c>
      <c r="H227" s="61"/>
      <c r="I227" s="133">
        <f t="shared" si="34"/>
        <v>546.75</v>
      </c>
      <c r="J227" s="64">
        <f t="shared" si="35"/>
        <v>9.9409090909090914</v>
      </c>
    </row>
    <row r="228" spans="1:10" x14ac:dyDescent="0.25">
      <c r="A228" s="72" t="s">
        <v>207</v>
      </c>
      <c r="B228" s="73" t="s">
        <v>208</v>
      </c>
      <c r="C228" s="90">
        <v>30740</v>
      </c>
      <c r="D228" s="90">
        <f t="shared" si="32"/>
        <v>3074</v>
      </c>
      <c r="E228" s="90">
        <f t="shared" si="33"/>
        <v>27666</v>
      </c>
      <c r="F228" s="59">
        <v>44867</v>
      </c>
      <c r="G228" s="87">
        <v>44900</v>
      </c>
      <c r="H228" s="75"/>
      <c r="I228" s="133">
        <f t="shared" si="34"/>
        <v>4149.8999999999996</v>
      </c>
      <c r="J228" s="64">
        <f t="shared" si="35"/>
        <v>75.452727272727273</v>
      </c>
    </row>
    <row r="229" spans="1:10" x14ac:dyDescent="0.25">
      <c r="A229" s="72" t="s">
        <v>157</v>
      </c>
      <c r="B229" s="73" t="s">
        <v>209</v>
      </c>
      <c r="C229" s="90">
        <v>2000</v>
      </c>
      <c r="D229" s="90">
        <f t="shared" si="32"/>
        <v>200</v>
      </c>
      <c r="E229" s="90">
        <f t="shared" si="33"/>
        <v>1800</v>
      </c>
      <c r="F229" s="120"/>
      <c r="G229" s="87"/>
      <c r="H229" s="75"/>
      <c r="I229" s="133">
        <f t="shared" si="34"/>
        <v>270</v>
      </c>
      <c r="J229" s="64">
        <f t="shared" si="35"/>
        <v>4.9090909090909092</v>
      </c>
    </row>
    <row r="230" spans="1:10" ht="19.5" thickBot="1" x14ac:dyDescent="0.35">
      <c r="A230" s="65" t="s">
        <v>398</v>
      </c>
      <c r="B230" s="66"/>
      <c r="C230" s="67">
        <f>SUM(C220:C229)</f>
        <v>342692.02</v>
      </c>
      <c r="D230" s="67">
        <f>SUM(D220:D229)</f>
        <v>34269.202000000005</v>
      </c>
      <c r="E230" s="85">
        <f>SUM(E220:E229)</f>
        <v>308422.81799999997</v>
      </c>
      <c r="F230" s="4"/>
      <c r="G230" s="4"/>
      <c r="H230" s="21"/>
      <c r="I230" s="131">
        <f t="shared" si="34"/>
        <v>46263.422699999996</v>
      </c>
      <c r="J230" s="53">
        <f t="shared" si="35"/>
        <v>841.15313999999989</v>
      </c>
    </row>
    <row r="231" spans="1:10" x14ac:dyDescent="0.25">
      <c r="I231" s="138"/>
    </row>
    <row r="235" spans="1:10" ht="32.25" thickBot="1" x14ac:dyDescent="0.55000000000000004">
      <c r="C235" s="107" t="s">
        <v>421</v>
      </c>
    </row>
    <row r="236" spans="1:10" ht="15.75" thickBot="1" x14ac:dyDescent="0.3">
      <c r="A236" s="10" t="s">
        <v>32</v>
      </c>
      <c r="B236" s="10" t="s">
        <v>33</v>
      </c>
      <c r="C236" s="10" t="s">
        <v>34</v>
      </c>
      <c r="D236" s="10" t="s">
        <v>35</v>
      </c>
      <c r="E236" s="10" t="s">
        <v>36</v>
      </c>
      <c r="F236" s="10" t="s">
        <v>37</v>
      </c>
      <c r="G236" s="10" t="s">
        <v>38</v>
      </c>
      <c r="H236" s="132" t="s">
        <v>40</v>
      </c>
      <c r="I236" s="46" t="s">
        <v>415</v>
      </c>
      <c r="J236" s="46" t="s">
        <v>420</v>
      </c>
    </row>
    <row r="237" spans="1:10" ht="15.75" thickBot="1" x14ac:dyDescent="0.3">
      <c r="A237" s="57" t="s">
        <v>41</v>
      </c>
      <c r="B237" s="58" t="s">
        <v>210</v>
      </c>
      <c r="C237" s="79">
        <v>339840</v>
      </c>
      <c r="D237" s="79">
        <f>+C237*10%</f>
        <v>33984</v>
      </c>
      <c r="E237" s="79">
        <f>+C237-D237</f>
        <v>305856</v>
      </c>
      <c r="F237" s="59">
        <v>44897</v>
      </c>
      <c r="G237" s="80" t="s">
        <v>104</v>
      </c>
      <c r="H237" s="60"/>
      <c r="I237" s="133">
        <f>E237*15%</f>
        <v>45878.400000000001</v>
      </c>
      <c r="J237" s="64">
        <f>+I237/55</f>
        <v>834.15272727272725</v>
      </c>
    </row>
    <row r="238" spans="1:10" ht="15.75" thickBot="1" x14ac:dyDescent="0.3">
      <c r="A238" s="54" t="s">
        <v>49</v>
      </c>
      <c r="B238" s="47" t="s">
        <v>211</v>
      </c>
      <c r="C238" s="82">
        <v>1384</v>
      </c>
      <c r="D238" s="79">
        <f t="shared" ref="D238:D240" si="36">+C238*10%</f>
        <v>138.4</v>
      </c>
      <c r="E238" s="79">
        <f t="shared" ref="E238:E240" si="37">+C238-D238</f>
        <v>1245.5999999999999</v>
      </c>
      <c r="F238" s="59">
        <v>44897</v>
      </c>
      <c r="G238" s="83">
        <v>44931</v>
      </c>
      <c r="H238" s="61"/>
      <c r="I238" s="133">
        <f t="shared" ref="I238:I241" si="38">E238*15%</f>
        <v>186.83999999999997</v>
      </c>
      <c r="J238" s="64">
        <f t="shared" ref="J238:J241" si="39">+I238/55</f>
        <v>3.3970909090909087</v>
      </c>
    </row>
    <row r="239" spans="1:10" ht="15.75" thickBot="1" x14ac:dyDescent="0.3">
      <c r="A239" s="54" t="s">
        <v>47</v>
      </c>
      <c r="B239" s="47" t="s">
        <v>212</v>
      </c>
      <c r="C239" s="82">
        <v>2250</v>
      </c>
      <c r="D239" s="79">
        <f t="shared" si="36"/>
        <v>225</v>
      </c>
      <c r="E239" s="79">
        <f t="shared" si="37"/>
        <v>2025</v>
      </c>
      <c r="F239" s="59">
        <v>44897</v>
      </c>
      <c r="G239" s="83">
        <v>44946</v>
      </c>
      <c r="H239" s="61"/>
      <c r="I239" s="133">
        <f t="shared" si="38"/>
        <v>303.75</v>
      </c>
      <c r="J239" s="64">
        <f>+I239/55</f>
        <v>5.5227272727272725</v>
      </c>
    </row>
    <row r="240" spans="1:10" x14ac:dyDescent="0.25">
      <c r="A240" s="121" t="s">
        <v>213</v>
      </c>
      <c r="B240" s="69" t="s">
        <v>214</v>
      </c>
      <c r="C240" s="140">
        <v>500</v>
      </c>
      <c r="D240" s="134">
        <f t="shared" si="36"/>
        <v>50</v>
      </c>
      <c r="E240" s="134">
        <f t="shared" si="37"/>
        <v>450</v>
      </c>
      <c r="F240" s="141"/>
      <c r="G240" s="122"/>
      <c r="H240" s="71"/>
      <c r="I240" s="136">
        <f t="shared" si="38"/>
        <v>67.5</v>
      </c>
      <c r="J240" s="53">
        <f>+I240/55</f>
        <v>1.2272727272727273</v>
      </c>
    </row>
    <row r="241" spans="1:10" ht="19.5" thickBot="1" x14ac:dyDescent="0.35">
      <c r="A241" s="65" t="s">
        <v>398</v>
      </c>
      <c r="B241" s="66"/>
      <c r="C241" s="67">
        <f>SUM(C237:C240)</f>
        <v>343974</v>
      </c>
      <c r="D241" s="67">
        <f>SUM(D237:D239)</f>
        <v>34347.4</v>
      </c>
      <c r="E241" s="85">
        <f>SUM(E237:E239)</f>
        <v>309126.59999999998</v>
      </c>
      <c r="F241" s="4"/>
      <c r="G241" s="4"/>
      <c r="H241" s="21"/>
      <c r="I241" s="131">
        <f t="shared" si="38"/>
        <v>46368.99</v>
      </c>
      <c r="J241" s="53">
        <f t="shared" si="39"/>
        <v>843.07254545454543</v>
      </c>
    </row>
    <row r="243" spans="1:10" ht="32.25" thickBot="1" x14ac:dyDescent="0.55000000000000004">
      <c r="C243" s="107" t="s">
        <v>422</v>
      </c>
    </row>
    <row r="244" spans="1:10" ht="15.75" thickBot="1" x14ac:dyDescent="0.3">
      <c r="A244" s="10" t="s">
        <v>32</v>
      </c>
      <c r="B244" s="10" t="s">
        <v>33</v>
      </c>
      <c r="C244" s="10" t="s">
        <v>34</v>
      </c>
      <c r="D244" s="10" t="s">
        <v>35</v>
      </c>
      <c r="E244" s="10" t="s">
        <v>36</v>
      </c>
      <c r="F244" s="10" t="s">
        <v>37</v>
      </c>
      <c r="G244" s="10" t="s">
        <v>38</v>
      </c>
      <c r="H244" s="132" t="s">
        <v>40</v>
      </c>
      <c r="I244" s="46" t="s">
        <v>415</v>
      </c>
      <c r="J244" s="46" t="s">
        <v>420</v>
      </c>
    </row>
    <row r="245" spans="1:10" ht="15.75" thickBot="1" x14ac:dyDescent="0.3">
      <c r="A245" s="57" t="s">
        <v>41</v>
      </c>
      <c r="B245" s="58" t="s">
        <v>215</v>
      </c>
      <c r="C245" s="79">
        <v>133830</v>
      </c>
      <c r="D245" s="79">
        <f>+C245*10%</f>
        <v>13383</v>
      </c>
      <c r="E245" s="79">
        <f>+C245-D245</f>
        <v>120447</v>
      </c>
      <c r="F245" s="59">
        <v>44929</v>
      </c>
      <c r="G245" s="80" t="s">
        <v>112</v>
      </c>
      <c r="H245" s="60"/>
      <c r="I245" s="133">
        <f>E245*15%</f>
        <v>18067.05</v>
      </c>
      <c r="J245" s="64">
        <f>+I245/55</f>
        <v>328.49181818181819</v>
      </c>
    </row>
    <row r="246" spans="1:10" ht="15.75" thickBot="1" x14ac:dyDescent="0.3">
      <c r="A246" s="54" t="s">
        <v>49</v>
      </c>
      <c r="B246" s="47" t="s">
        <v>216</v>
      </c>
      <c r="C246" s="82">
        <v>2518</v>
      </c>
      <c r="D246" s="79">
        <f t="shared" ref="D246:D250" si="40">+C246*10%</f>
        <v>251.8</v>
      </c>
      <c r="E246" s="79">
        <f t="shared" ref="E246:E250" si="41">+C246-D246</f>
        <v>2266.1999999999998</v>
      </c>
      <c r="F246" s="59">
        <v>44929</v>
      </c>
      <c r="G246" s="83">
        <v>44962</v>
      </c>
      <c r="H246" s="61"/>
      <c r="I246" s="133">
        <f t="shared" ref="I246:I251" si="42">E246*15%</f>
        <v>339.92999999999995</v>
      </c>
      <c r="J246" s="64">
        <f t="shared" ref="J246:J247" si="43">+I246/55</f>
        <v>6.1805454545454532</v>
      </c>
    </row>
    <row r="247" spans="1:10" ht="15.75" thickBot="1" x14ac:dyDescent="0.3">
      <c r="A247" s="54" t="s">
        <v>45</v>
      </c>
      <c r="B247" s="47" t="s">
        <v>217</v>
      </c>
      <c r="C247" s="82">
        <v>1760</v>
      </c>
      <c r="D247" s="79">
        <f t="shared" si="40"/>
        <v>176</v>
      </c>
      <c r="E247" s="79">
        <f t="shared" si="41"/>
        <v>1584</v>
      </c>
      <c r="F247" s="59">
        <v>44929</v>
      </c>
      <c r="G247" s="83">
        <v>44963</v>
      </c>
      <c r="H247" s="61"/>
      <c r="I247" s="133">
        <f t="shared" si="42"/>
        <v>237.6</v>
      </c>
      <c r="J247" s="64">
        <f t="shared" si="43"/>
        <v>4.32</v>
      </c>
    </row>
    <row r="248" spans="1:10" ht="15.75" thickBot="1" x14ac:dyDescent="0.3">
      <c r="A248" s="54" t="s">
        <v>47</v>
      </c>
      <c r="B248" s="47" t="s">
        <v>218</v>
      </c>
      <c r="C248" s="82">
        <v>4779</v>
      </c>
      <c r="D248" s="79">
        <f t="shared" si="40"/>
        <v>477.90000000000003</v>
      </c>
      <c r="E248" s="79">
        <f t="shared" si="41"/>
        <v>4301.1000000000004</v>
      </c>
      <c r="F248" s="59">
        <v>44929</v>
      </c>
      <c r="G248" s="83">
        <v>44977</v>
      </c>
      <c r="H248" s="61"/>
      <c r="I248" s="133">
        <f t="shared" si="42"/>
        <v>645.16500000000008</v>
      </c>
      <c r="J248" s="64">
        <f>+I248/55</f>
        <v>11.730272727272729</v>
      </c>
    </row>
    <row r="249" spans="1:10" x14ac:dyDescent="0.25">
      <c r="A249" s="89" t="s">
        <v>155</v>
      </c>
      <c r="B249" s="73" t="s">
        <v>219</v>
      </c>
      <c r="C249" s="90">
        <v>35055.81</v>
      </c>
      <c r="D249" s="79">
        <f t="shared" si="40"/>
        <v>3505.5810000000001</v>
      </c>
      <c r="E249" s="79">
        <f t="shared" si="41"/>
        <v>31550.228999999999</v>
      </c>
      <c r="F249" s="59">
        <v>44929</v>
      </c>
      <c r="G249" s="87">
        <v>44977</v>
      </c>
      <c r="H249" s="75"/>
      <c r="I249" s="133">
        <f t="shared" si="42"/>
        <v>4732.5343499999999</v>
      </c>
      <c r="J249" s="64">
        <f>+I249/55</f>
        <v>86.046079090909089</v>
      </c>
    </row>
    <row r="250" spans="1:10" x14ac:dyDescent="0.25">
      <c r="A250" s="89" t="s">
        <v>220</v>
      </c>
      <c r="B250" s="73" t="s">
        <v>221</v>
      </c>
      <c r="C250" s="90">
        <v>1081.8</v>
      </c>
      <c r="D250" s="86">
        <f t="shared" si="40"/>
        <v>108.18</v>
      </c>
      <c r="E250" s="86">
        <f t="shared" si="41"/>
        <v>973.61999999999989</v>
      </c>
      <c r="F250" s="120"/>
      <c r="G250" s="87"/>
      <c r="H250" s="75"/>
      <c r="I250" s="133">
        <f t="shared" si="42"/>
        <v>146.04299999999998</v>
      </c>
      <c r="J250" s="64">
        <f>+I250/55</f>
        <v>2.6553272727272725</v>
      </c>
    </row>
    <row r="251" spans="1:10" ht="19.5" thickBot="1" x14ac:dyDescent="0.35">
      <c r="A251" s="65" t="s">
        <v>398</v>
      </c>
      <c r="B251" s="66"/>
      <c r="C251" s="67">
        <f>SUM(C245:C250)</f>
        <v>179024.61</v>
      </c>
      <c r="D251" s="67">
        <f>SUM(D245:D250)</f>
        <v>17902.460999999999</v>
      </c>
      <c r="E251" s="85">
        <f>SUM(E245:E250)</f>
        <v>161122.149</v>
      </c>
      <c r="F251" s="4"/>
      <c r="G251" s="4"/>
      <c r="H251" s="21"/>
      <c r="I251" s="131">
        <f t="shared" si="42"/>
        <v>24168.322349999999</v>
      </c>
      <c r="J251" s="53">
        <f t="shared" ref="J251" si="44">+I251/55</f>
        <v>439.42404272727271</v>
      </c>
    </row>
    <row r="254" spans="1:10" ht="32.25" thickBot="1" x14ac:dyDescent="0.55000000000000004">
      <c r="C254" s="107" t="s">
        <v>423</v>
      </c>
    </row>
    <row r="255" spans="1:10" ht="15.75" thickBot="1" x14ac:dyDescent="0.3">
      <c r="A255" s="10" t="s">
        <v>32</v>
      </c>
      <c r="B255" s="10" t="s">
        <v>33</v>
      </c>
      <c r="C255" s="10" t="s">
        <v>34</v>
      </c>
      <c r="D255" s="10" t="s">
        <v>35</v>
      </c>
      <c r="E255" s="10" t="s">
        <v>36</v>
      </c>
      <c r="F255" s="10" t="s">
        <v>37</v>
      </c>
      <c r="G255" s="10" t="s">
        <v>38</v>
      </c>
      <c r="H255" s="132" t="s">
        <v>40</v>
      </c>
      <c r="I255" s="46" t="s">
        <v>415</v>
      </c>
      <c r="J255" s="46" t="s">
        <v>420</v>
      </c>
    </row>
    <row r="256" spans="1:10" ht="15.75" thickBot="1" x14ac:dyDescent="0.3">
      <c r="A256" s="57" t="s">
        <v>41</v>
      </c>
      <c r="B256" s="58" t="s">
        <v>222</v>
      </c>
      <c r="C256" s="79">
        <v>21540</v>
      </c>
      <c r="D256" s="79">
        <f>+C256*10%</f>
        <v>2154</v>
      </c>
      <c r="E256" s="79">
        <f>+C256-D256</f>
        <v>19386</v>
      </c>
      <c r="F256" s="59">
        <v>44959</v>
      </c>
      <c r="G256" s="80" t="s">
        <v>223</v>
      </c>
      <c r="H256" s="60"/>
      <c r="I256" s="133">
        <f>E256*15%</f>
        <v>2907.9</v>
      </c>
      <c r="J256" s="64">
        <f>+I256/55</f>
        <v>52.870909090909095</v>
      </c>
    </row>
    <row r="257" spans="1:10" ht="15.75" thickBot="1" x14ac:dyDescent="0.3">
      <c r="A257" s="54" t="s">
        <v>49</v>
      </c>
      <c r="B257" s="47" t="s">
        <v>224</v>
      </c>
      <c r="C257" s="82">
        <v>2768</v>
      </c>
      <c r="D257" s="79">
        <f t="shared" ref="D257:D259" si="45">+C257*10%</f>
        <v>276.8</v>
      </c>
      <c r="E257" s="79">
        <f t="shared" ref="E257:E259" si="46">+C257-D257</f>
        <v>2491.1999999999998</v>
      </c>
      <c r="F257" s="59">
        <v>44959</v>
      </c>
      <c r="G257" s="83">
        <v>44990</v>
      </c>
      <c r="H257" s="61"/>
      <c r="I257" s="133">
        <f t="shared" ref="I257:I260" si="47">E257*15%</f>
        <v>373.67999999999995</v>
      </c>
      <c r="J257" s="64">
        <f t="shared" ref="J257:J258" si="48">+I257/55</f>
        <v>6.7941818181818174</v>
      </c>
    </row>
    <row r="258" spans="1:10" x14ac:dyDescent="0.25">
      <c r="A258" s="54" t="s">
        <v>45</v>
      </c>
      <c r="B258" s="47" t="s">
        <v>225</v>
      </c>
      <c r="C258" s="82">
        <v>2260</v>
      </c>
      <c r="D258" s="79">
        <f t="shared" si="45"/>
        <v>226</v>
      </c>
      <c r="E258" s="79">
        <f t="shared" si="46"/>
        <v>2034</v>
      </c>
      <c r="F258" s="59">
        <v>44959</v>
      </c>
      <c r="G258" s="83">
        <v>44991</v>
      </c>
      <c r="H258" s="61"/>
      <c r="I258" s="133">
        <f t="shared" si="47"/>
        <v>305.09999999999997</v>
      </c>
      <c r="J258" s="64">
        <f t="shared" si="48"/>
        <v>5.5472727272727269</v>
      </c>
    </row>
    <row r="259" spans="1:10" x14ac:dyDescent="0.25">
      <c r="A259" s="89" t="s">
        <v>220</v>
      </c>
      <c r="B259" s="73" t="s">
        <v>226</v>
      </c>
      <c r="C259" s="90">
        <v>1653.6</v>
      </c>
      <c r="D259" s="86">
        <f t="shared" si="45"/>
        <v>165.36</v>
      </c>
      <c r="E259" s="86">
        <f t="shared" si="46"/>
        <v>1488.2399999999998</v>
      </c>
      <c r="F259" s="120"/>
      <c r="G259" s="87"/>
      <c r="H259" s="75"/>
      <c r="I259" s="133">
        <f t="shared" si="47"/>
        <v>223.23599999999996</v>
      </c>
      <c r="J259" s="64">
        <f>+I259/55</f>
        <v>4.0588363636363631</v>
      </c>
    </row>
    <row r="260" spans="1:10" ht="19.5" thickBot="1" x14ac:dyDescent="0.35">
      <c r="A260" s="65" t="s">
        <v>398</v>
      </c>
      <c r="B260" s="66"/>
      <c r="C260" s="67">
        <f>SUM(C256:C258)</f>
        <v>26568</v>
      </c>
      <c r="D260" s="67">
        <f>SUM(D256:D258)</f>
        <v>2656.8</v>
      </c>
      <c r="E260" s="85">
        <f>SUM(E256:E258)</f>
        <v>23911.200000000001</v>
      </c>
      <c r="F260" s="4"/>
      <c r="G260" s="4"/>
      <c r="H260" s="21"/>
      <c r="I260" s="131">
        <f t="shared" si="47"/>
        <v>3586.68</v>
      </c>
      <c r="J260" s="53">
        <f t="shared" ref="J260" si="49">+I260/55</f>
        <v>65.212363636363634</v>
      </c>
    </row>
    <row r="262" spans="1:10" ht="32.25" thickBot="1" x14ac:dyDescent="0.55000000000000004">
      <c r="C262" s="107" t="s">
        <v>424</v>
      </c>
    </row>
    <row r="263" spans="1:10" ht="15.75" thickBot="1" x14ac:dyDescent="0.3">
      <c r="A263" s="10" t="s">
        <v>32</v>
      </c>
      <c r="B263" s="10" t="s">
        <v>33</v>
      </c>
      <c r="C263" s="10" t="s">
        <v>34</v>
      </c>
      <c r="D263" s="10" t="s">
        <v>35</v>
      </c>
      <c r="E263" s="10" t="s">
        <v>36</v>
      </c>
      <c r="F263" s="10" t="s">
        <v>37</v>
      </c>
      <c r="G263" s="10" t="s">
        <v>38</v>
      </c>
      <c r="H263" s="132" t="s">
        <v>40</v>
      </c>
      <c r="I263" s="46" t="s">
        <v>415</v>
      </c>
      <c r="J263" s="46" t="s">
        <v>420</v>
      </c>
    </row>
    <row r="264" spans="1:10" ht="15.75" thickBot="1" x14ac:dyDescent="0.3">
      <c r="A264" s="57" t="s">
        <v>41</v>
      </c>
      <c r="B264" s="58" t="s">
        <v>227</v>
      </c>
      <c r="C264" s="79">
        <v>142376</v>
      </c>
      <c r="D264" s="79">
        <f>+C264*10%</f>
        <v>14237.6</v>
      </c>
      <c r="E264" s="79">
        <f>+C264-D264</f>
        <v>128138.4</v>
      </c>
      <c r="F264" s="59">
        <v>44987</v>
      </c>
      <c r="G264" s="80" t="s">
        <v>228</v>
      </c>
      <c r="H264" s="60"/>
      <c r="I264" s="133">
        <f>E264*15%</f>
        <v>19220.759999999998</v>
      </c>
      <c r="J264" s="64">
        <f>+I264/55</f>
        <v>349.46836363636362</v>
      </c>
    </row>
    <row r="265" spans="1:10" ht="15.75" thickBot="1" x14ac:dyDescent="0.3">
      <c r="A265" s="54" t="s">
        <v>49</v>
      </c>
      <c r="B265" s="47" t="s">
        <v>229</v>
      </c>
      <c r="C265" s="82">
        <v>79944.28</v>
      </c>
      <c r="D265" s="79">
        <f t="shared" ref="D265:D266" si="50">+C265*10%</f>
        <v>7994.4279999999999</v>
      </c>
      <c r="E265" s="79">
        <f t="shared" ref="E265:E266" si="51">+C265-D265</f>
        <v>71949.851999999999</v>
      </c>
      <c r="F265" s="59">
        <v>44987</v>
      </c>
      <c r="G265" s="83">
        <v>45021</v>
      </c>
      <c r="H265" s="61"/>
      <c r="I265" s="133">
        <f t="shared" ref="I265:I270" si="52">E265*15%</f>
        <v>10792.477799999999</v>
      </c>
      <c r="J265" s="64">
        <f>+I265/55</f>
        <v>196.22686909090908</v>
      </c>
    </row>
    <row r="266" spans="1:10" ht="15.75" thickBot="1" x14ac:dyDescent="0.3">
      <c r="A266" s="89" t="s">
        <v>153</v>
      </c>
      <c r="B266" s="47" t="s">
        <v>230</v>
      </c>
      <c r="C266" s="82">
        <v>1052.5</v>
      </c>
      <c r="D266" s="82">
        <f t="shared" si="50"/>
        <v>105.25</v>
      </c>
      <c r="E266" s="82">
        <f t="shared" si="51"/>
        <v>947.25</v>
      </c>
      <c r="F266" s="59">
        <v>44987</v>
      </c>
      <c r="G266" s="87">
        <v>45026</v>
      </c>
      <c r="H266" s="75"/>
      <c r="I266" s="133">
        <f t="shared" si="52"/>
        <v>142.08750000000001</v>
      </c>
      <c r="J266" s="64">
        <f t="shared" ref="J266:J270" si="53">+I266/55</f>
        <v>2.583409090909091</v>
      </c>
    </row>
    <row r="267" spans="1:10" x14ac:dyDescent="0.25">
      <c r="A267" s="47" t="s">
        <v>83</v>
      </c>
      <c r="B267" s="47" t="s">
        <v>231</v>
      </c>
      <c r="C267" s="82">
        <v>32726.7</v>
      </c>
      <c r="D267" s="82">
        <f>+C267*10%</f>
        <v>3272.67</v>
      </c>
      <c r="E267" s="82">
        <f>+C267-D267</f>
        <v>29454.03</v>
      </c>
      <c r="F267" s="59">
        <v>44987</v>
      </c>
      <c r="G267" s="87">
        <v>45027</v>
      </c>
      <c r="H267" s="61"/>
      <c r="I267" s="133">
        <f t="shared" si="52"/>
        <v>4418.1044999999995</v>
      </c>
      <c r="J267" s="64">
        <f>+I267/55</f>
        <v>80.32917272727272</v>
      </c>
    </row>
    <row r="268" spans="1:10" x14ac:dyDescent="0.25">
      <c r="A268" s="72" t="s">
        <v>220</v>
      </c>
      <c r="B268" s="73" t="s">
        <v>232</v>
      </c>
      <c r="C268" s="90">
        <v>3463.2</v>
      </c>
      <c r="D268" s="82">
        <f>+C268*10%</f>
        <v>346.32</v>
      </c>
      <c r="E268" s="82">
        <f>+C268-D268</f>
        <v>3116.8799999999997</v>
      </c>
      <c r="F268" s="120"/>
      <c r="G268" s="87"/>
      <c r="H268" s="75"/>
      <c r="I268" s="133">
        <f t="shared" si="52"/>
        <v>467.53199999999993</v>
      </c>
      <c r="J268" s="64">
        <f>+I268/55</f>
        <v>8.500581818181816</v>
      </c>
    </row>
    <row r="269" spans="1:10" x14ac:dyDescent="0.25">
      <c r="A269" s="72" t="s">
        <v>17</v>
      </c>
      <c r="B269" s="73" t="s">
        <v>233</v>
      </c>
      <c r="C269" s="90">
        <v>5605</v>
      </c>
      <c r="D269" s="82">
        <f>+C269*10%</f>
        <v>560.5</v>
      </c>
      <c r="E269" s="82">
        <f>+C269-D269</f>
        <v>5044.5</v>
      </c>
      <c r="F269" s="120"/>
      <c r="G269" s="87"/>
      <c r="H269" s="75"/>
      <c r="I269" s="133">
        <f t="shared" si="52"/>
        <v>756.67499999999995</v>
      </c>
      <c r="J269" s="64">
        <f>+I269/55</f>
        <v>13.757727272727271</v>
      </c>
    </row>
    <row r="270" spans="1:10" ht="19.5" thickBot="1" x14ac:dyDescent="0.35">
      <c r="A270" s="65" t="s">
        <v>398</v>
      </c>
      <c r="B270" s="66"/>
      <c r="C270" s="67">
        <f>SUM(C264:C267)</f>
        <v>256099.48</v>
      </c>
      <c r="D270" s="67">
        <f>SUM(D264:D267)</f>
        <v>25609.947999999997</v>
      </c>
      <c r="E270" s="85">
        <f>SUM(E264:E267)</f>
        <v>230489.53199999998</v>
      </c>
      <c r="F270" s="4"/>
      <c r="G270" s="4"/>
      <c r="H270" s="21"/>
      <c r="I270" s="136">
        <f t="shared" si="52"/>
        <v>34573.429799999998</v>
      </c>
      <c r="J270" s="53">
        <f t="shared" si="53"/>
        <v>628.60781454545452</v>
      </c>
    </row>
    <row r="272" spans="1:10" ht="32.25" thickBot="1" x14ac:dyDescent="0.55000000000000004">
      <c r="C272" s="107" t="s">
        <v>425</v>
      </c>
    </row>
    <row r="273" spans="1:10" ht="15.75" thickBot="1" x14ac:dyDescent="0.3">
      <c r="A273" s="10" t="s">
        <v>32</v>
      </c>
      <c r="B273" s="10" t="s">
        <v>33</v>
      </c>
      <c r="C273" s="10" t="s">
        <v>34</v>
      </c>
      <c r="D273" s="10" t="s">
        <v>35</v>
      </c>
      <c r="E273" s="10" t="s">
        <v>36</v>
      </c>
      <c r="F273" s="10" t="s">
        <v>37</v>
      </c>
      <c r="G273" s="10" t="s">
        <v>38</v>
      </c>
      <c r="H273" s="132" t="s">
        <v>40</v>
      </c>
      <c r="I273" s="46" t="s">
        <v>415</v>
      </c>
      <c r="J273" s="46" t="s">
        <v>420</v>
      </c>
    </row>
    <row r="274" spans="1:10" ht="15.75" thickBot="1" x14ac:dyDescent="0.3">
      <c r="A274" s="57" t="s">
        <v>41</v>
      </c>
      <c r="B274" s="58" t="s">
        <v>234</v>
      </c>
      <c r="C274" s="79">
        <v>187800</v>
      </c>
      <c r="D274" s="79">
        <f>+C274*10%</f>
        <v>18780</v>
      </c>
      <c r="E274" s="79">
        <f>+C274-D274</f>
        <v>169020</v>
      </c>
      <c r="F274" s="59">
        <v>45019</v>
      </c>
      <c r="G274" s="80" t="s">
        <v>235</v>
      </c>
      <c r="H274" s="60"/>
      <c r="I274" s="133">
        <f>E274*15%</f>
        <v>25353</v>
      </c>
      <c r="J274" s="64">
        <f>+I274/55</f>
        <v>460.96363636363634</v>
      </c>
    </row>
    <row r="275" spans="1:10" ht="15.75" thickBot="1" x14ac:dyDescent="0.3">
      <c r="A275" s="54" t="s">
        <v>49</v>
      </c>
      <c r="B275" s="47" t="s">
        <v>236</v>
      </c>
      <c r="C275" s="82">
        <v>50949.35</v>
      </c>
      <c r="D275" s="79">
        <f t="shared" ref="D275:D277" si="54">+C275*10%</f>
        <v>5094.9350000000004</v>
      </c>
      <c r="E275" s="79">
        <f t="shared" ref="E275:E277" si="55">+C275-D275</f>
        <v>45854.415000000001</v>
      </c>
      <c r="F275" s="59">
        <v>45019</v>
      </c>
      <c r="G275" s="83">
        <v>45051</v>
      </c>
      <c r="H275" s="61"/>
      <c r="I275" s="133">
        <f t="shared" ref="I275:I281" si="56">E275*15%</f>
        <v>6878.1622500000003</v>
      </c>
      <c r="J275" s="64">
        <f>+I275/55</f>
        <v>125.05749545454546</v>
      </c>
    </row>
    <row r="276" spans="1:10" ht="15.75" thickBot="1" x14ac:dyDescent="0.3">
      <c r="A276" s="89" t="s">
        <v>237</v>
      </c>
      <c r="B276" s="47" t="s">
        <v>238</v>
      </c>
      <c r="C276" s="82">
        <v>12386.4</v>
      </c>
      <c r="D276" s="79">
        <f t="shared" si="54"/>
        <v>1238.6400000000001</v>
      </c>
      <c r="E276" s="79">
        <f t="shared" si="55"/>
        <v>11147.76</v>
      </c>
      <c r="F276" s="59">
        <v>45019</v>
      </c>
      <c r="G276" s="83">
        <v>45051</v>
      </c>
      <c r="H276" s="75"/>
      <c r="I276" s="133">
        <f t="shared" si="56"/>
        <v>1672.164</v>
      </c>
      <c r="J276" s="64">
        <f>+I276/55</f>
        <v>30.402981818181818</v>
      </c>
    </row>
    <row r="277" spans="1:10" ht="15.75" thickBot="1" x14ac:dyDescent="0.3">
      <c r="A277" s="89" t="s">
        <v>239</v>
      </c>
      <c r="B277" s="47" t="s">
        <v>240</v>
      </c>
      <c r="C277" s="82">
        <v>35703.1</v>
      </c>
      <c r="D277" s="82">
        <f t="shared" si="54"/>
        <v>3570.31</v>
      </c>
      <c r="E277" s="82">
        <f t="shared" si="55"/>
        <v>32132.789999999997</v>
      </c>
      <c r="F277" s="59">
        <v>45019</v>
      </c>
      <c r="G277" s="87">
        <v>45066</v>
      </c>
      <c r="H277" s="75"/>
      <c r="I277" s="133">
        <f t="shared" si="56"/>
        <v>4819.9184999999998</v>
      </c>
      <c r="J277" s="64">
        <f t="shared" ref="J277" si="57">+I277/55</f>
        <v>87.63488181818181</v>
      </c>
    </row>
    <row r="278" spans="1:10" x14ac:dyDescent="0.25">
      <c r="A278" s="47" t="s">
        <v>241</v>
      </c>
      <c r="B278" s="47" t="s">
        <v>242</v>
      </c>
      <c r="C278" s="82">
        <v>3110.4</v>
      </c>
      <c r="D278" s="82">
        <f>+C278*10%</f>
        <v>311.04000000000002</v>
      </c>
      <c r="E278" s="82">
        <f>+C278-D278</f>
        <v>2799.36</v>
      </c>
      <c r="F278" s="59">
        <v>45019</v>
      </c>
      <c r="G278" s="87">
        <v>45057</v>
      </c>
      <c r="H278" s="61"/>
      <c r="I278" s="133">
        <f t="shared" si="56"/>
        <v>419.904</v>
      </c>
      <c r="J278" s="64">
        <f>+I278/55</f>
        <v>7.6346181818181815</v>
      </c>
    </row>
    <row r="279" spans="1:10" x14ac:dyDescent="0.25">
      <c r="A279" s="72" t="s">
        <v>205</v>
      </c>
      <c r="B279" s="73" t="s">
        <v>243</v>
      </c>
      <c r="C279" s="90">
        <v>1890</v>
      </c>
      <c r="D279" s="82">
        <f>+C279*10%</f>
        <v>189</v>
      </c>
      <c r="E279" s="82">
        <f>+C279-D279</f>
        <v>1701</v>
      </c>
      <c r="F279" s="120">
        <v>45019</v>
      </c>
      <c r="G279" s="87">
        <v>45061</v>
      </c>
      <c r="H279" s="75"/>
      <c r="I279" s="133">
        <f t="shared" si="56"/>
        <v>255.14999999999998</v>
      </c>
      <c r="J279" s="64">
        <f>+I279/55</f>
        <v>4.6390909090909087</v>
      </c>
    </row>
    <row r="280" spans="1:10" x14ac:dyDescent="0.25">
      <c r="A280" s="72" t="s">
        <v>220</v>
      </c>
      <c r="B280" s="73" t="s">
        <v>244</v>
      </c>
      <c r="C280" s="90">
        <v>2002.8</v>
      </c>
      <c r="D280" s="90">
        <f>+C280*10%</f>
        <v>200.28</v>
      </c>
      <c r="E280" s="90">
        <f>+C280-D280</f>
        <v>1802.52</v>
      </c>
      <c r="F280" s="120">
        <v>45036</v>
      </c>
      <c r="G280" s="87"/>
      <c r="H280" s="75"/>
      <c r="I280" s="133">
        <f t="shared" si="56"/>
        <v>270.37799999999999</v>
      </c>
      <c r="J280" s="64">
        <f>+I280/55</f>
        <v>4.9159636363636361</v>
      </c>
    </row>
    <row r="281" spans="1:10" ht="19.5" thickBot="1" x14ac:dyDescent="0.35">
      <c r="A281" s="65" t="s">
        <v>398</v>
      </c>
      <c r="B281" s="66"/>
      <c r="C281" s="67">
        <f>SUM(C274:C278)</f>
        <v>289949.25</v>
      </c>
      <c r="D281" s="67">
        <f>SUM(D274:D278)</f>
        <v>28994.925000000003</v>
      </c>
      <c r="E281" s="85">
        <f>SUM(E274:E278)</f>
        <v>260954.32500000001</v>
      </c>
      <c r="F281" s="4"/>
      <c r="G281" s="4"/>
      <c r="H281" s="21"/>
      <c r="I281" s="136">
        <f t="shared" si="56"/>
        <v>39143.14875</v>
      </c>
      <c r="J281" s="53">
        <f t="shared" ref="J281" si="58">+I281/55</f>
        <v>711.69361363636369</v>
      </c>
    </row>
    <row r="283" spans="1:10" ht="32.25" thickBot="1" x14ac:dyDescent="0.55000000000000004">
      <c r="C283" s="107" t="s">
        <v>426</v>
      </c>
    </row>
    <row r="284" spans="1:10" ht="15.75" thickBot="1" x14ac:dyDescent="0.3">
      <c r="A284" s="10" t="s">
        <v>32</v>
      </c>
      <c r="B284" s="10" t="s">
        <v>33</v>
      </c>
      <c r="C284" s="10" t="s">
        <v>34</v>
      </c>
      <c r="D284" s="10" t="s">
        <v>35</v>
      </c>
      <c r="E284" s="10" t="s">
        <v>36</v>
      </c>
      <c r="F284" s="10" t="s">
        <v>37</v>
      </c>
      <c r="G284" s="10" t="s">
        <v>38</v>
      </c>
      <c r="H284" s="132" t="s">
        <v>40</v>
      </c>
      <c r="I284" s="46" t="s">
        <v>415</v>
      </c>
      <c r="J284" s="46" t="s">
        <v>420</v>
      </c>
    </row>
    <row r="285" spans="1:10" ht="15.75" thickBot="1" x14ac:dyDescent="0.3">
      <c r="A285" s="57" t="s">
        <v>41</v>
      </c>
      <c r="B285" s="58" t="s">
        <v>245</v>
      </c>
      <c r="C285" s="79">
        <v>237616</v>
      </c>
      <c r="D285" s="79">
        <f>+C285*10%</f>
        <v>23761.600000000002</v>
      </c>
      <c r="E285" s="79">
        <f>+C285-D285</f>
        <v>213854.4</v>
      </c>
      <c r="F285" s="59">
        <v>45050</v>
      </c>
      <c r="G285" s="80" t="s">
        <v>246</v>
      </c>
      <c r="H285" s="60"/>
      <c r="I285" s="133">
        <f>E285*15%</f>
        <v>32078.159999999996</v>
      </c>
      <c r="J285" s="64">
        <f>+I285/55</f>
        <v>583.23927272727269</v>
      </c>
    </row>
    <row r="286" spans="1:10" ht="15.75" thickBot="1" x14ac:dyDescent="0.3">
      <c r="A286" s="54" t="s">
        <v>49</v>
      </c>
      <c r="B286" s="47" t="s">
        <v>247</v>
      </c>
      <c r="C286" s="82">
        <v>3825</v>
      </c>
      <c r="D286" s="79">
        <f t="shared" ref="D286:D287" si="59">+C286*10%</f>
        <v>382.5</v>
      </c>
      <c r="E286" s="79">
        <f t="shared" ref="E286:E287" si="60">+C286-D286</f>
        <v>3442.5</v>
      </c>
      <c r="F286" s="59">
        <v>45050</v>
      </c>
      <c r="G286" s="83">
        <v>45082</v>
      </c>
      <c r="H286" s="61"/>
      <c r="I286" s="133">
        <f t="shared" ref="I286:I290" si="61">E286*15%</f>
        <v>516.375</v>
      </c>
      <c r="J286" s="64">
        <f>+I286/55</f>
        <v>9.3886363636363637</v>
      </c>
    </row>
    <row r="287" spans="1:10" ht="15.75" thickBot="1" x14ac:dyDescent="0.3">
      <c r="A287" s="89" t="s">
        <v>239</v>
      </c>
      <c r="B287" s="47" t="s">
        <v>248</v>
      </c>
      <c r="C287" s="82">
        <v>45193.599999999999</v>
      </c>
      <c r="D287" s="82">
        <f t="shared" si="59"/>
        <v>4519.3599999999997</v>
      </c>
      <c r="E287" s="82">
        <f t="shared" si="60"/>
        <v>40674.239999999998</v>
      </c>
      <c r="F287" s="59">
        <v>45050</v>
      </c>
      <c r="G287" s="87">
        <v>45097</v>
      </c>
      <c r="H287" s="75"/>
      <c r="I287" s="133">
        <f t="shared" si="61"/>
        <v>6101.1359999999995</v>
      </c>
      <c r="J287" s="64">
        <f t="shared" ref="J287" si="62">+I287/55</f>
        <v>110.92974545454544</v>
      </c>
    </row>
    <row r="288" spans="1:10" x14ac:dyDescent="0.25">
      <c r="A288" s="45" t="s">
        <v>205</v>
      </c>
      <c r="B288" s="45" t="s">
        <v>249</v>
      </c>
      <c r="C288" s="108">
        <v>5430</v>
      </c>
      <c r="D288" s="108">
        <f>+C288*10%</f>
        <v>543</v>
      </c>
      <c r="E288" s="108">
        <f>+C288-D288</f>
        <v>4887</v>
      </c>
      <c r="F288" s="135">
        <v>45050</v>
      </c>
      <c r="G288" s="122">
        <v>45057</v>
      </c>
      <c r="H288" s="33"/>
      <c r="I288" s="136">
        <f t="shared" si="61"/>
        <v>733.05</v>
      </c>
      <c r="J288" s="63">
        <f>+I288/55</f>
        <v>13.328181818181818</v>
      </c>
    </row>
    <row r="289" spans="1:10" x14ac:dyDescent="0.25">
      <c r="A289" s="72" t="s">
        <v>130</v>
      </c>
      <c r="B289" s="73" t="s">
        <v>250</v>
      </c>
      <c r="C289" s="90">
        <v>17430</v>
      </c>
      <c r="D289" s="82">
        <f>+C289*10%</f>
        <v>1743</v>
      </c>
      <c r="E289" s="82">
        <f>+C289-D289</f>
        <v>15687</v>
      </c>
      <c r="F289" s="120">
        <v>45050</v>
      </c>
      <c r="G289" s="87">
        <v>45051</v>
      </c>
      <c r="H289" s="75"/>
      <c r="I289" s="133">
        <f t="shared" si="61"/>
        <v>2353.0499999999997</v>
      </c>
      <c r="J289" s="64">
        <f>+I289/55</f>
        <v>42.782727272727264</v>
      </c>
    </row>
    <row r="290" spans="1:10" ht="19.5" thickBot="1" x14ac:dyDescent="0.35">
      <c r="A290" s="65" t="s">
        <v>398</v>
      </c>
      <c r="B290" s="66"/>
      <c r="C290" s="67">
        <f>SUM(C285:C289)</f>
        <v>309494.59999999998</v>
      </c>
      <c r="D290" s="67">
        <f>SUM(D285:D289)</f>
        <v>30949.460000000003</v>
      </c>
      <c r="E290" s="85">
        <f>SUM(E285:E289)</f>
        <v>278545.14</v>
      </c>
      <c r="F290" s="4"/>
      <c r="G290" s="4"/>
      <c r="H290" s="21"/>
      <c r="I290" s="136">
        <f t="shared" si="61"/>
        <v>41781.771000000001</v>
      </c>
      <c r="J290" s="53">
        <f t="shared" ref="J290" si="63">+I290/55</f>
        <v>759.66856363636361</v>
      </c>
    </row>
    <row r="292" spans="1:10" ht="32.25" thickBot="1" x14ac:dyDescent="0.55000000000000004">
      <c r="C292" s="107" t="s">
        <v>427</v>
      </c>
    </row>
    <row r="293" spans="1:10" ht="15.75" thickBot="1" x14ac:dyDescent="0.3">
      <c r="A293" s="10" t="s">
        <v>32</v>
      </c>
      <c r="B293" s="10" t="s">
        <v>33</v>
      </c>
      <c r="C293" s="10" t="s">
        <v>34</v>
      </c>
      <c r="D293" s="10" t="s">
        <v>35</v>
      </c>
      <c r="E293" s="10" t="s">
        <v>36</v>
      </c>
      <c r="F293" s="10" t="s">
        <v>37</v>
      </c>
      <c r="G293" s="10" t="s">
        <v>38</v>
      </c>
      <c r="H293" s="132" t="s">
        <v>40</v>
      </c>
      <c r="I293" s="46" t="s">
        <v>415</v>
      </c>
      <c r="J293" s="46" t="s">
        <v>420</v>
      </c>
    </row>
    <row r="294" spans="1:10" ht="15.75" thickBot="1" x14ac:dyDescent="0.3">
      <c r="A294" s="57" t="s">
        <v>41</v>
      </c>
      <c r="B294" s="58" t="s">
        <v>251</v>
      </c>
      <c r="C294" s="79">
        <v>200908</v>
      </c>
      <c r="D294" s="79">
        <f>+C294*10%</f>
        <v>20090.800000000003</v>
      </c>
      <c r="E294" s="79">
        <f>+C294-D294</f>
        <v>180817.2</v>
      </c>
      <c r="F294" s="59">
        <v>45081</v>
      </c>
      <c r="G294" s="80" t="s">
        <v>252</v>
      </c>
      <c r="H294" s="60"/>
      <c r="I294" s="133">
        <f>E294*15%</f>
        <v>27122.58</v>
      </c>
      <c r="J294" s="64">
        <f>+I294/55</f>
        <v>493.1378181818182</v>
      </c>
    </row>
    <row r="295" spans="1:10" ht="15.75" thickBot="1" x14ac:dyDescent="0.3">
      <c r="A295" s="54" t="s">
        <v>49</v>
      </c>
      <c r="B295" s="47" t="s">
        <v>253</v>
      </c>
      <c r="C295" s="82">
        <v>5582.4</v>
      </c>
      <c r="D295" s="79">
        <f t="shared" ref="D295:D297" si="64">+C295*10%</f>
        <v>558.24</v>
      </c>
      <c r="E295" s="79">
        <f t="shared" ref="E295:E297" si="65">+C295-D295</f>
        <v>5024.16</v>
      </c>
      <c r="F295" s="59">
        <v>45081</v>
      </c>
      <c r="G295" s="83">
        <v>45112</v>
      </c>
      <c r="H295" s="61"/>
      <c r="I295" s="133">
        <f t="shared" ref="I295:I305" si="66">E295*15%</f>
        <v>753.62399999999991</v>
      </c>
      <c r="J295" s="64">
        <f>+I295/55</f>
        <v>13.702254545454544</v>
      </c>
    </row>
    <row r="296" spans="1:10" ht="15.75" thickBot="1" x14ac:dyDescent="0.3">
      <c r="A296" s="121" t="s">
        <v>237</v>
      </c>
      <c r="B296" s="45" t="s">
        <v>254</v>
      </c>
      <c r="C296" s="108">
        <v>23772.799999999999</v>
      </c>
      <c r="D296" s="134">
        <f t="shared" si="64"/>
        <v>2377.2800000000002</v>
      </c>
      <c r="E296" s="134">
        <f t="shared" si="65"/>
        <v>21395.52</v>
      </c>
      <c r="F296" s="135">
        <v>45081</v>
      </c>
      <c r="G296" s="109">
        <v>45112</v>
      </c>
      <c r="H296" s="71"/>
      <c r="I296" s="136">
        <f t="shared" si="66"/>
        <v>3209.328</v>
      </c>
      <c r="J296" s="63">
        <f>+I296/55</f>
        <v>58.351418181818183</v>
      </c>
    </row>
    <row r="297" spans="1:10" ht="15.75" thickBot="1" x14ac:dyDescent="0.3">
      <c r="A297" s="89" t="s">
        <v>239</v>
      </c>
      <c r="B297" s="47" t="s">
        <v>255</v>
      </c>
      <c r="C297" s="82">
        <v>6870</v>
      </c>
      <c r="D297" s="82">
        <f t="shared" si="64"/>
        <v>687</v>
      </c>
      <c r="E297" s="82">
        <f t="shared" si="65"/>
        <v>6183</v>
      </c>
      <c r="F297" s="59">
        <v>45081</v>
      </c>
      <c r="G297" s="87">
        <v>45127</v>
      </c>
      <c r="H297" s="75"/>
      <c r="I297" s="133">
        <f t="shared" si="66"/>
        <v>927.44999999999993</v>
      </c>
      <c r="J297" s="64">
        <f t="shared" ref="J297" si="67">+I297/55</f>
        <v>16.862727272727273</v>
      </c>
    </row>
    <row r="298" spans="1:10" x14ac:dyDescent="0.25">
      <c r="A298" s="72" t="s">
        <v>130</v>
      </c>
      <c r="B298" s="47" t="s">
        <v>256</v>
      </c>
      <c r="C298" s="82">
        <v>26002</v>
      </c>
      <c r="D298" s="82">
        <f t="shared" ref="D298:D304" si="68">+C298*10%</f>
        <v>2600.2000000000003</v>
      </c>
      <c r="E298" s="82">
        <f t="shared" ref="E298:E304" si="69">+C298-D298</f>
        <v>23401.8</v>
      </c>
      <c r="F298" s="59">
        <v>45081</v>
      </c>
      <c r="G298" s="87">
        <v>45112</v>
      </c>
      <c r="H298" s="61"/>
      <c r="I298" s="133">
        <f t="shared" si="66"/>
        <v>3510.27</v>
      </c>
      <c r="J298" s="64">
        <f t="shared" ref="J298:J304" si="70">+I298/55</f>
        <v>63.823090909090908</v>
      </c>
    </row>
    <row r="299" spans="1:10" x14ac:dyDescent="0.25">
      <c r="A299" s="146" t="s">
        <v>72</v>
      </c>
      <c r="B299" s="45" t="s">
        <v>257</v>
      </c>
      <c r="C299" s="140">
        <v>2000</v>
      </c>
      <c r="D299" s="108">
        <f t="shared" si="68"/>
        <v>200</v>
      </c>
      <c r="E299" s="108">
        <f t="shared" si="69"/>
        <v>1800</v>
      </c>
      <c r="F299" s="35">
        <v>45081</v>
      </c>
      <c r="G299" s="122">
        <v>45117</v>
      </c>
      <c r="H299" s="71"/>
      <c r="I299" s="136">
        <f t="shared" si="66"/>
        <v>270</v>
      </c>
      <c r="J299" s="63">
        <f t="shared" si="70"/>
        <v>4.9090909090909092</v>
      </c>
    </row>
    <row r="300" spans="1:10" x14ac:dyDescent="0.25">
      <c r="A300" s="146" t="s">
        <v>258</v>
      </c>
      <c r="B300" s="45" t="s">
        <v>259</v>
      </c>
      <c r="C300" s="140">
        <v>3736.8</v>
      </c>
      <c r="D300" s="108">
        <f t="shared" si="68"/>
        <v>373.68000000000006</v>
      </c>
      <c r="E300" s="108">
        <f t="shared" si="69"/>
        <v>3363.12</v>
      </c>
      <c r="F300" s="35">
        <v>45081</v>
      </c>
      <c r="G300" s="122">
        <v>45117</v>
      </c>
      <c r="H300" s="71"/>
      <c r="I300" s="136">
        <f t="shared" si="66"/>
        <v>504.46799999999996</v>
      </c>
      <c r="J300" s="63">
        <f t="shared" si="70"/>
        <v>9.1721454545454542</v>
      </c>
    </row>
    <row r="301" spans="1:10" x14ac:dyDescent="0.25">
      <c r="A301" s="146" t="s">
        <v>83</v>
      </c>
      <c r="B301" s="45" t="s">
        <v>260</v>
      </c>
      <c r="C301" s="140">
        <v>1000</v>
      </c>
      <c r="D301" s="108">
        <f t="shared" si="68"/>
        <v>100</v>
      </c>
      <c r="E301" s="108">
        <f t="shared" si="69"/>
        <v>900</v>
      </c>
      <c r="F301" s="35">
        <v>45081</v>
      </c>
      <c r="G301" s="122">
        <v>45117</v>
      </c>
      <c r="H301" s="71"/>
      <c r="I301" s="136">
        <f t="shared" si="66"/>
        <v>135</v>
      </c>
      <c r="J301" s="63">
        <f t="shared" si="70"/>
        <v>2.4545454545454546</v>
      </c>
    </row>
    <row r="302" spans="1:10" x14ac:dyDescent="0.25">
      <c r="A302" s="72" t="s">
        <v>261</v>
      </c>
      <c r="B302" s="73" t="s">
        <v>262</v>
      </c>
      <c r="C302" s="90">
        <v>29768</v>
      </c>
      <c r="D302" s="82">
        <f t="shared" si="68"/>
        <v>2976.8</v>
      </c>
      <c r="E302" s="82">
        <f t="shared" si="69"/>
        <v>26791.200000000001</v>
      </c>
      <c r="F302" s="55">
        <v>45081</v>
      </c>
      <c r="G302" s="87">
        <v>45112</v>
      </c>
      <c r="H302" s="75"/>
      <c r="I302" s="133">
        <f t="shared" si="66"/>
        <v>4018.68</v>
      </c>
      <c r="J302" s="64">
        <f t="shared" si="70"/>
        <v>73.066909090909093</v>
      </c>
    </row>
    <row r="303" spans="1:10" x14ac:dyDescent="0.25">
      <c r="A303" s="72" t="s">
        <v>187</v>
      </c>
      <c r="B303" s="73" t="s">
        <v>263</v>
      </c>
      <c r="C303" s="90">
        <v>3819</v>
      </c>
      <c r="D303" s="82">
        <f t="shared" si="68"/>
        <v>381.90000000000003</v>
      </c>
      <c r="E303" s="82">
        <f t="shared" si="69"/>
        <v>3437.1</v>
      </c>
      <c r="F303" s="55">
        <v>45081</v>
      </c>
      <c r="G303" s="87">
        <v>45112</v>
      </c>
      <c r="H303" s="75"/>
      <c r="I303" s="133">
        <f t="shared" ref="I303:I304" si="71">E303*15%</f>
        <v>515.56499999999994</v>
      </c>
      <c r="J303" s="64">
        <f t="shared" si="70"/>
        <v>9.3739090909090894</v>
      </c>
    </row>
    <row r="304" spans="1:10" x14ac:dyDescent="0.25">
      <c r="A304" s="72" t="s">
        <v>187</v>
      </c>
      <c r="B304" s="73" t="s">
        <v>264</v>
      </c>
      <c r="C304" s="90">
        <v>15000</v>
      </c>
      <c r="D304" s="90">
        <f t="shared" si="68"/>
        <v>1500</v>
      </c>
      <c r="E304" s="90">
        <f t="shared" si="69"/>
        <v>13500</v>
      </c>
      <c r="F304" s="55">
        <v>45093</v>
      </c>
      <c r="G304" s="87">
        <v>45097</v>
      </c>
      <c r="H304" s="75"/>
      <c r="I304" s="133">
        <f t="shared" si="71"/>
        <v>2025</v>
      </c>
      <c r="J304" s="64">
        <f t="shared" si="70"/>
        <v>36.81818181818182</v>
      </c>
    </row>
    <row r="305" spans="1:10" ht="19.5" thickBot="1" x14ac:dyDescent="0.35">
      <c r="A305" s="65" t="s">
        <v>398</v>
      </c>
      <c r="B305" s="66"/>
      <c r="C305" s="67">
        <f>SUM(C294:C304)</f>
        <v>318458.99999999994</v>
      </c>
      <c r="D305" s="67">
        <f>SUM(D294:D304)</f>
        <v>31845.900000000005</v>
      </c>
      <c r="E305" s="85">
        <f>SUM(E294:E304)</f>
        <v>286613.09999999998</v>
      </c>
      <c r="F305" s="4"/>
      <c r="G305" s="4"/>
      <c r="H305" s="21"/>
      <c r="I305" s="136">
        <f t="shared" si="66"/>
        <v>42991.964999999997</v>
      </c>
      <c r="J305" s="53">
        <f t="shared" ref="J305" si="72">+I305/55</f>
        <v>781.6720909090908</v>
      </c>
    </row>
    <row r="308" spans="1:10" ht="32.25" thickBot="1" x14ac:dyDescent="0.55000000000000004">
      <c r="C308" s="107" t="s">
        <v>428</v>
      </c>
    </row>
    <row r="309" spans="1:10" ht="15.75" thickBot="1" x14ac:dyDescent="0.3">
      <c r="A309" s="10" t="s">
        <v>32</v>
      </c>
      <c r="B309" s="10" t="s">
        <v>33</v>
      </c>
      <c r="C309" s="10" t="s">
        <v>34</v>
      </c>
      <c r="D309" s="10" t="s">
        <v>35</v>
      </c>
      <c r="E309" s="10" t="s">
        <v>36</v>
      </c>
      <c r="F309" s="10" t="s">
        <v>37</v>
      </c>
      <c r="G309" s="10" t="s">
        <v>38</v>
      </c>
      <c r="H309" s="132" t="s">
        <v>40</v>
      </c>
      <c r="I309" s="46" t="s">
        <v>415</v>
      </c>
      <c r="J309" s="46" t="s">
        <v>420</v>
      </c>
    </row>
    <row r="310" spans="1:10" ht="15.75" thickBot="1" x14ac:dyDescent="0.3">
      <c r="A310" s="57" t="s">
        <v>41</v>
      </c>
      <c r="B310" s="58" t="s">
        <v>265</v>
      </c>
      <c r="C310" s="79">
        <v>170532</v>
      </c>
      <c r="D310" s="79">
        <f>+C310*10%</f>
        <v>17053.2</v>
      </c>
      <c r="E310" s="79">
        <f>+C310-D310</f>
        <v>153478.79999999999</v>
      </c>
      <c r="F310" s="59">
        <v>45110</v>
      </c>
      <c r="G310" s="80" t="s">
        <v>266</v>
      </c>
      <c r="H310" s="60"/>
      <c r="I310" s="133">
        <f>E310*15%</f>
        <v>23021.819999999996</v>
      </c>
      <c r="J310" s="64">
        <f>+I310/55</f>
        <v>418.57854545454541</v>
      </c>
    </row>
    <row r="311" spans="1:10" ht="15.75" thickBot="1" x14ac:dyDescent="0.3">
      <c r="A311" s="54" t="s">
        <v>49</v>
      </c>
      <c r="B311" s="47" t="s">
        <v>267</v>
      </c>
      <c r="C311" s="82">
        <v>2860.8</v>
      </c>
      <c r="D311" s="79">
        <f t="shared" ref="D311:D314" si="73">+C311*10%</f>
        <v>286.08000000000004</v>
      </c>
      <c r="E311" s="79">
        <f t="shared" ref="E311:E314" si="74">+C311-D311</f>
        <v>2574.7200000000003</v>
      </c>
      <c r="F311" s="59">
        <v>45110</v>
      </c>
      <c r="G311" s="83">
        <v>45143</v>
      </c>
      <c r="H311" s="61"/>
      <c r="I311" s="133">
        <f t="shared" ref="I311:I316" si="75">E311*15%</f>
        <v>386.20800000000003</v>
      </c>
      <c r="J311" s="64">
        <f>+I311/55</f>
        <v>7.0219636363636369</v>
      </c>
    </row>
    <row r="312" spans="1:10" x14ac:dyDescent="0.25">
      <c r="A312" s="72" t="s">
        <v>130</v>
      </c>
      <c r="B312" s="47" t="s">
        <v>268</v>
      </c>
      <c r="C312" s="82">
        <v>34769.599999999999</v>
      </c>
      <c r="D312" s="82">
        <f t="shared" si="73"/>
        <v>3476.96</v>
      </c>
      <c r="E312" s="82">
        <f t="shared" si="74"/>
        <v>31292.639999999999</v>
      </c>
      <c r="F312" s="59">
        <v>45110</v>
      </c>
      <c r="G312" s="87">
        <v>45143</v>
      </c>
      <c r="H312" s="61"/>
      <c r="I312" s="133">
        <f t="shared" si="75"/>
        <v>4693.8959999999997</v>
      </c>
      <c r="J312" s="64">
        <f t="shared" ref="J312:J316" si="76">+I312/55</f>
        <v>85.343563636363626</v>
      </c>
    </row>
    <row r="313" spans="1:10" x14ac:dyDescent="0.25">
      <c r="A313" s="72" t="s">
        <v>72</v>
      </c>
      <c r="B313" s="47" t="s">
        <v>269</v>
      </c>
      <c r="C313" s="90">
        <v>1500</v>
      </c>
      <c r="D313" s="82">
        <f t="shared" si="73"/>
        <v>150</v>
      </c>
      <c r="E313" s="82">
        <f t="shared" si="74"/>
        <v>1350</v>
      </c>
      <c r="F313" s="55">
        <v>45110</v>
      </c>
      <c r="G313" s="87">
        <v>45148</v>
      </c>
      <c r="H313" s="75"/>
      <c r="I313" s="133">
        <f t="shared" si="75"/>
        <v>202.5</v>
      </c>
      <c r="J313" s="64">
        <f t="shared" si="76"/>
        <v>3.6818181818181817</v>
      </c>
    </row>
    <row r="314" spans="1:10" x14ac:dyDescent="0.25">
      <c r="A314" s="72" t="s">
        <v>258</v>
      </c>
      <c r="B314" s="47" t="s">
        <v>270</v>
      </c>
      <c r="C314" s="90">
        <v>1000</v>
      </c>
      <c r="D314" s="82">
        <f t="shared" si="73"/>
        <v>100</v>
      </c>
      <c r="E314" s="82">
        <f t="shared" si="74"/>
        <v>900</v>
      </c>
      <c r="F314" s="55">
        <v>45110</v>
      </c>
      <c r="G314" s="87">
        <v>45148</v>
      </c>
      <c r="H314" s="75"/>
      <c r="I314" s="133">
        <f t="shared" si="75"/>
        <v>135</v>
      </c>
      <c r="J314" s="64">
        <f t="shared" si="76"/>
        <v>2.4545454545454546</v>
      </c>
    </row>
    <row r="315" spans="1:10" x14ac:dyDescent="0.25">
      <c r="A315" s="72" t="s">
        <v>271</v>
      </c>
      <c r="B315" s="47" t="s">
        <v>272</v>
      </c>
      <c r="C315" s="90">
        <v>11935.2</v>
      </c>
      <c r="D315" s="82">
        <f t="shared" ref="D315" si="77">+C315*10%</f>
        <v>1193.5200000000002</v>
      </c>
      <c r="E315" s="82">
        <f>+C315-D315-3580.56</f>
        <v>7161.1200000000008</v>
      </c>
      <c r="F315" s="55">
        <v>45110</v>
      </c>
      <c r="G315" s="87">
        <v>45148</v>
      </c>
      <c r="H315" s="75"/>
      <c r="I315" s="133">
        <f t="shared" ref="I315" si="78">E315*15%</f>
        <v>1074.1680000000001</v>
      </c>
      <c r="J315" s="64">
        <f t="shared" ref="J315" si="79">+I315/55</f>
        <v>19.530327272727273</v>
      </c>
    </row>
    <row r="316" spans="1:10" ht="19.5" thickBot="1" x14ac:dyDescent="0.35">
      <c r="A316" s="65" t="s">
        <v>398</v>
      </c>
      <c r="B316" s="66"/>
      <c r="C316" s="67">
        <f>SUM(C310:C314)</f>
        <v>210662.39999999999</v>
      </c>
      <c r="D316" s="67">
        <f>SUM(D310:D314)</f>
        <v>21066.240000000002</v>
      </c>
      <c r="E316" s="85">
        <f>SUM(E310:E314)</f>
        <v>189596.15999999997</v>
      </c>
      <c r="F316" s="4"/>
      <c r="G316" s="4"/>
      <c r="H316" s="21"/>
      <c r="I316" s="136">
        <f t="shared" si="75"/>
        <v>28439.423999999995</v>
      </c>
      <c r="J316" s="53">
        <f t="shared" si="76"/>
        <v>517.0804363636363</v>
      </c>
    </row>
    <row r="320" spans="1:10" ht="32.25" thickBot="1" x14ac:dyDescent="0.55000000000000004">
      <c r="C320" s="107" t="s">
        <v>429</v>
      </c>
    </row>
    <row r="321" spans="1:10" ht="15.75" thickBot="1" x14ac:dyDescent="0.3">
      <c r="A321" s="10" t="s">
        <v>32</v>
      </c>
      <c r="B321" s="10" t="s">
        <v>33</v>
      </c>
      <c r="C321" s="10" t="s">
        <v>34</v>
      </c>
      <c r="D321" s="10" t="s">
        <v>35</v>
      </c>
      <c r="E321" s="10" t="s">
        <v>36</v>
      </c>
      <c r="F321" s="10" t="s">
        <v>37</v>
      </c>
      <c r="G321" s="10" t="s">
        <v>38</v>
      </c>
      <c r="H321" s="132" t="s">
        <v>40</v>
      </c>
      <c r="I321" s="46" t="s">
        <v>415</v>
      </c>
      <c r="J321" s="46" t="s">
        <v>420</v>
      </c>
    </row>
    <row r="322" spans="1:10" ht="15.75" thickBot="1" x14ac:dyDescent="0.3">
      <c r="A322" s="57" t="s">
        <v>41</v>
      </c>
      <c r="B322" s="58" t="s">
        <v>273</v>
      </c>
      <c r="C322" s="79">
        <v>278058</v>
      </c>
      <c r="D322" s="79">
        <f>+C322*10%</f>
        <v>27805.800000000003</v>
      </c>
      <c r="E322" s="79">
        <f>+C322-D322</f>
        <v>250252.2</v>
      </c>
      <c r="F322" s="59">
        <v>45141</v>
      </c>
      <c r="G322" s="80" t="s">
        <v>274</v>
      </c>
      <c r="H322" s="60"/>
      <c r="I322" s="133">
        <f>E322*15%</f>
        <v>37537.83</v>
      </c>
      <c r="J322" s="64">
        <f>+I322/55</f>
        <v>682.50600000000009</v>
      </c>
    </row>
    <row r="323" spans="1:10" ht="15.75" thickBot="1" x14ac:dyDescent="0.3">
      <c r="A323" s="54" t="s">
        <v>49</v>
      </c>
      <c r="B323" s="47" t="s">
        <v>275</v>
      </c>
      <c r="C323" s="82">
        <v>17429.349999999999</v>
      </c>
      <c r="D323" s="79">
        <f t="shared" ref="D323:D328" si="80">+C323*10%</f>
        <v>1742.9349999999999</v>
      </c>
      <c r="E323" s="79">
        <f t="shared" ref="E323:E328" si="81">+C323-D323</f>
        <v>15686.414999999999</v>
      </c>
      <c r="F323" s="59">
        <v>45141</v>
      </c>
      <c r="G323" s="83">
        <v>45174</v>
      </c>
      <c r="H323" s="61"/>
      <c r="I323" s="133">
        <f t="shared" ref="I323:I329" si="82">E323*15%</f>
        <v>2352.9622499999996</v>
      </c>
      <c r="J323" s="64">
        <f>+I323/55</f>
        <v>42.781131818181812</v>
      </c>
    </row>
    <row r="324" spans="1:10" ht="15.75" thickBot="1" x14ac:dyDescent="0.3">
      <c r="A324" s="72" t="s">
        <v>45</v>
      </c>
      <c r="B324" s="47" t="s">
        <v>276</v>
      </c>
      <c r="C324" s="82">
        <v>8803.15</v>
      </c>
      <c r="D324" s="79">
        <f t="shared" si="80"/>
        <v>880.31500000000005</v>
      </c>
      <c r="E324" s="79">
        <f t="shared" si="81"/>
        <v>7922.8349999999991</v>
      </c>
      <c r="F324" s="59">
        <v>45141</v>
      </c>
      <c r="G324" s="87">
        <v>45174</v>
      </c>
      <c r="H324" s="61"/>
      <c r="I324" s="133">
        <f t="shared" si="82"/>
        <v>1188.4252499999998</v>
      </c>
      <c r="J324" s="64">
        <f>+I324/55</f>
        <v>21.607731818181815</v>
      </c>
    </row>
    <row r="325" spans="1:10" x14ac:dyDescent="0.25">
      <c r="A325" s="72" t="s">
        <v>130</v>
      </c>
      <c r="B325" s="47" t="s">
        <v>277</v>
      </c>
      <c r="C325" s="82">
        <v>21884</v>
      </c>
      <c r="D325" s="82">
        <f t="shared" si="80"/>
        <v>2188.4</v>
      </c>
      <c r="E325" s="82">
        <f t="shared" si="81"/>
        <v>19695.599999999999</v>
      </c>
      <c r="F325" s="59">
        <v>45141</v>
      </c>
      <c r="G325" s="87">
        <v>45174</v>
      </c>
      <c r="H325" s="61"/>
      <c r="I325" s="133">
        <f t="shared" si="82"/>
        <v>2954.3399999999997</v>
      </c>
      <c r="J325" s="64">
        <f t="shared" ref="J325:J329" si="83">+I325/55</f>
        <v>53.715272727272719</v>
      </c>
    </row>
    <row r="326" spans="1:10" x14ac:dyDescent="0.25">
      <c r="A326" s="72" t="s">
        <v>258</v>
      </c>
      <c r="B326" s="47" t="s">
        <v>278</v>
      </c>
      <c r="C326" s="90">
        <v>70092</v>
      </c>
      <c r="D326" s="82">
        <f t="shared" si="80"/>
        <v>7009.2000000000007</v>
      </c>
      <c r="E326" s="82">
        <f t="shared" si="81"/>
        <v>63082.8</v>
      </c>
      <c r="F326" s="55">
        <v>45141</v>
      </c>
      <c r="G326" s="87">
        <v>45179</v>
      </c>
      <c r="H326" s="75"/>
      <c r="I326" s="133">
        <f t="shared" si="82"/>
        <v>9462.42</v>
      </c>
      <c r="J326" s="64">
        <f t="shared" si="83"/>
        <v>172.04400000000001</v>
      </c>
    </row>
    <row r="327" spans="1:10" x14ac:dyDescent="0.25">
      <c r="A327" s="72" t="s">
        <v>47</v>
      </c>
      <c r="B327" s="47" t="s">
        <v>279</v>
      </c>
      <c r="C327" s="90">
        <v>51748</v>
      </c>
      <c r="D327" s="82">
        <f t="shared" si="80"/>
        <v>5174.8</v>
      </c>
      <c r="E327" s="82">
        <f t="shared" si="81"/>
        <v>46573.2</v>
      </c>
      <c r="F327" s="55">
        <v>45141</v>
      </c>
      <c r="G327" s="87">
        <v>45189</v>
      </c>
      <c r="H327" s="75"/>
      <c r="I327" s="133">
        <f t="shared" si="82"/>
        <v>6985.98</v>
      </c>
      <c r="J327" s="64">
        <f t="shared" si="83"/>
        <v>127.01781818181817</v>
      </c>
    </row>
    <row r="328" spans="1:10" s="38" customFormat="1" x14ac:dyDescent="0.25">
      <c r="A328" s="72" t="s">
        <v>68</v>
      </c>
      <c r="B328" s="47" t="s">
        <v>280</v>
      </c>
      <c r="C328" s="90">
        <v>1500</v>
      </c>
      <c r="D328" s="82">
        <f t="shared" si="80"/>
        <v>150</v>
      </c>
      <c r="E328" s="82">
        <f t="shared" si="81"/>
        <v>1350</v>
      </c>
      <c r="F328" s="55">
        <v>45141</v>
      </c>
      <c r="G328" s="87">
        <v>45179</v>
      </c>
      <c r="H328" s="75"/>
      <c r="I328" s="133">
        <f t="shared" si="82"/>
        <v>202.5</v>
      </c>
      <c r="J328" s="64">
        <f t="shared" si="83"/>
        <v>3.6818181818181817</v>
      </c>
    </row>
    <row r="329" spans="1:10" ht="19.5" thickBot="1" x14ac:dyDescent="0.35">
      <c r="A329" s="65" t="s">
        <v>398</v>
      </c>
      <c r="B329" s="66"/>
      <c r="C329" s="67">
        <f>SUM(C322:C327)</f>
        <v>448014.5</v>
      </c>
      <c r="D329" s="67">
        <f>SUM(D322:D327)</f>
        <v>44801.450000000012</v>
      </c>
      <c r="E329" s="85">
        <f>SUM(E322:E327)</f>
        <v>403213.05</v>
      </c>
      <c r="F329" s="4"/>
      <c r="G329" s="4"/>
      <c r="H329" s="21"/>
      <c r="I329" s="136">
        <f t="shared" si="82"/>
        <v>60481.957499999997</v>
      </c>
      <c r="J329" s="53">
        <f t="shared" si="83"/>
        <v>1099.6719545454546</v>
      </c>
    </row>
    <row r="334" spans="1:10" ht="32.25" thickBot="1" x14ac:dyDescent="0.55000000000000004">
      <c r="C334" s="107" t="s">
        <v>430</v>
      </c>
    </row>
    <row r="335" spans="1:10" ht="15.75" thickBot="1" x14ac:dyDescent="0.3">
      <c r="A335" s="10" t="s">
        <v>32</v>
      </c>
      <c r="B335" s="10" t="s">
        <v>33</v>
      </c>
      <c r="C335" s="10" t="s">
        <v>34</v>
      </c>
      <c r="D335" s="10" t="s">
        <v>35</v>
      </c>
      <c r="E335" s="10" t="s">
        <v>36</v>
      </c>
      <c r="F335" s="10" t="s">
        <v>37</v>
      </c>
      <c r="G335" s="10" t="s">
        <v>38</v>
      </c>
      <c r="H335" s="132" t="s">
        <v>40</v>
      </c>
      <c r="I335" s="46" t="s">
        <v>415</v>
      </c>
      <c r="J335" s="46" t="s">
        <v>420</v>
      </c>
    </row>
    <row r="336" spans="1:10" ht="15.75" thickBot="1" x14ac:dyDescent="0.3">
      <c r="A336" s="57" t="s">
        <v>41</v>
      </c>
      <c r="B336" s="58" t="s">
        <v>281</v>
      </c>
      <c r="C336" s="79">
        <v>279172</v>
      </c>
      <c r="D336" s="79">
        <f>+C336*10%</f>
        <v>27917.200000000001</v>
      </c>
      <c r="E336" s="79">
        <f>+C336-D336</f>
        <v>251254.8</v>
      </c>
      <c r="F336" s="59">
        <v>45172</v>
      </c>
      <c r="G336" s="80" t="s">
        <v>282</v>
      </c>
      <c r="H336" s="60"/>
      <c r="I336" s="133">
        <f>E336*15%</f>
        <v>37688.219999999994</v>
      </c>
      <c r="J336" s="64">
        <f>+I336/56.8</f>
        <v>663.52499999999998</v>
      </c>
    </row>
    <row r="337" spans="1:10" ht="15.75" thickBot="1" x14ac:dyDescent="0.3">
      <c r="A337" s="54" t="s">
        <v>49</v>
      </c>
      <c r="B337" s="47" t="s">
        <v>283</v>
      </c>
      <c r="C337" s="82">
        <v>52564.6</v>
      </c>
      <c r="D337" s="79">
        <f t="shared" ref="D337:D342" si="84">+C337*10%</f>
        <v>5256.46</v>
      </c>
      <c r="E337" s="79">
        <f t="shared" ref="E337:E342" si="85">+C337-D337</f>
        <v>47308.14</v>
      </c>
      <c r="F337" s="59">
        <v>45172</v>
      </c>
      <c r="G337" s="83">
        <v>45204</v>
      </c>
      <c r="H337" s="61"/>
      <c r="I337" s="133">
        <f t="shared" ref="I337:I342" si="86">E337*15%</f>
        <v>7096.2209999999995</v>
      </c>
      <c r="J337" s="64">
        <f t="shared" ref="J337:J343" si="87">+I337/56.8</f>
        <v>124.93346830985915</v>
      </c>
    </row>
    <row r="338" spans="1:10" ht="15.75" thickBot="1" x14ac:dyDescent="0.3">
      <c r="A338" s="72" t="s">
        <v>45</v>
      </c>
      <c r="B338" s="47" t="s">
        <v>284</v>
      </c>
      <c r="C338" s="82">
        <v>3780</v>
      </c>
      <c r="D338" s="79">
        <f t="shared" si="84"/>
        <v>378</v>
      </c>
      <c r="E338" s="79">
        <f t="shared" si="85"/>
        <v>3402</v>
      </c>
      <c r="F338" s="59">
        <v>45172</v>
      </c>
      <c r="G338" s="87">
        <v>45204</v>
      </c>
      <c r="H338" s="61"/>
      <c r="I338" s="133">
        <f t="shared" si="86"/>
        <v>510.29999999999995</v>
      </c>
      <c r="J338" s="64">
        <f t="shared" si="87"/>
        <v>8.9841549295774641</v>
      </c>
    </row>
    <row r="339" spans="1:10" x14ac:dyDescent="0.25">
      <c r="A339" s="72" t="s">
        <v>47</v>
      </c>
      <c r="B339" s="47" t="s">
        <v>285</v>
      </c>
      <c r="C339" s="82">
        <v>54679.6</v>
      </c>
      <c r="D339" s="82">
        <f t="shared" si="84"/>
        <v>5467.96</v>
      </c>
      <c r="E339" s="82">
        <f t="shared" si="85"/>
        <v>49211.64</v>
      </c>
      <c r="F339" s="59">
        <v>45172</v>
      </c>
      <c r="G339" s="87">
        <v>45219</v>
      </c>
      <c r="H339" s="61"/>
      <c r="I339" s="133">
        <f t="shared" si="86"/>
        <v>7381.7459999999992</v>
      </c>
      <c r="J339" s="64">
        <f t="shared" si="87"/>
        <v>129.96031690140845</v>
      </c>
    </row>
    <row r="340" spans="1:10" x14ac:dyDescent="0.25">
      <c r="A340" s="72" t="s">
        <v>72</v>
      </c>
      <c r="B340" s="47" t="s">
        <v>286</v>
      </c>
      <c r="C340" s="90">
        <v>7696</v>
      </c>
      <c r="D340" s="82">
        <f t="shared" si="84"/>
        <v>769.6</v>
      </c>
      <c r="E340" s="82">
        <f t="shared" si="85"/>
        <v>6926.4</v>
      </c>
      <c r="F340" s="55">
        <v>45172</v>
      </c>
      <c r="G340" s="87">
        <v>45209</v>
      </c>
      <c r="H340" s="75"/>
      <c r="I340" s="133">
        <f t="shared" si="86"/>
        <v>1038.9599999999998</v>
      </c>
      <c r="J340" s="64">
        <f t="shared" si="87"/>
        <v>18.291549295774644</v>
      </c>
    </row>
    <row r="341" spans="1:10" x14ac:dyDescent="0.25">
      <c r="A341" s="72" t="s">
        <v>287</v>
      </c>
      <c r="B341" s="47" t="s">
        <v>288</v>
      </c>
      <c r="C341" s="90">
        <v>9234</v>
      </c>
      <c r="D341" s="82">
        <f t="shared" si="84"/>
        <v>923.40000000000009</v>
      </c>
      <c r="E341" s="82">
        <f t="shared" si="85"/>
        <v>8310.6</v>
      </c>
      <c r="F341" s="55">
        <v>45172</v>
      </c>
      <c r="G341" s="87">
        <v>45209</v>
      </c>
      <c r="H341" s="75"/>
      <c r="I341" s="133">
        <f t="shared" si="86"/>
        <v>1246.5899999999999</v>
      </c>
      <c r="J341" s="64">
        <f t="shared" si="87"/>
        <v>21.947007042253521</v>
      </c>
    </row>
    <row r="342" spans="1:10" x14ac:dyDescent="0.25">
      <c r="A342" s="72" t="s">
        <v>187</v>
      </c>
      <c r="B342" s="47" t="s">
        <v>289</v>
      </c>
      <c r="C342" s="90">
        <v>6818</v>
      </c>
      <c r="D342" s="90">
        <f t="shared" si="84"/>
        <v>681.80000000000007</v>
      </c>
      <c r="E342" s="90">
        <f t="shared" si="85"/>
        <v>6136.2</v>
      </c>
      <c r="F342" s="74"/>
      <c r="G342" s="87"/>
      <c r="H342" s="75"/>
      <c r="I342" s="133">
        <f t="shared" si="86"/>
        <v>920.43</v>
      </c>
      <c r="J342" s="64">
        <f t="shared" si="87"/>
        <v>16.204753521126761</v>
      </c>
    </row>
    <row r="343" spans="1:10" ht="19.5" thickBot="1" x14ac:dyDescent="0.35">
      <c r="A343" s="65" t="s">
        <v>398</v>
      </c>
      <c r="B343" s="66"/>
      <c r="C343" s="67">
        <f>SUM(C336:C342)</f>
        <v>413944.19999999995</v>
      </c>
      <c r="D343" s="67">
        <f>SUM(D336:D342)</f>
        <v>41394.420000000006</v>
      </c>
      <c r="E343" s="85">
        <f>SUM(E336:E342)</f>
        <v>372549.78</v>
      </c>
      <c r="F343" s="4"/>
      <c r="G343" s="4"/>
      <c r="H343" s="21"/>
      <c r="I343" s="136">
        <f>E343*15%</f>
        <v>55882.467000000004</v>
      </c>
      <c r="J343" s="63">
        <f t="shared" si="87"/>
        <v>983.84625000000017</v>
      </c>
    </row>
    <row r="346" spans="1:10" x14ac:dyDescent="0.25">
      <c r="A346" t="s">
        <v>431</v>
      </c>
      <c r="C346" t="s">
        <v>432</v>
      </c>
    </row>
    <row r="348" spans="1:10" ht="34.5" thickBot="1" x14ac:dyDescent="0.55000000000000004">
      <c r="C348" s="98" t="s">
        <v>433</v>
      </c>
    </row>
    <row r="349" spans="1:10" ht="15.75" thickBot="1" x14ac:dyDescent="0.3">
      <c r="A349" s="10" t="s">
        <v>32</v>
      </c>
      <c r="B349" s="10" t="s">
        <v>33</v>
      </c>
      <c r="C349" s="10" t="s">
        <v>34</v>
      </c>
      <c r="D349" s="10" t="s">
        <v>35</v>
      </c>
      <c r="E349" s="10" t="s">
        <v>36</v>
      </c>
      <c r="F349" s="10" t="s">
        <v>37</v>
      </c>
      <c r="G349" s="10" t="s">
        <v>38</v>
      </c>
      <c r="H349" s="132" t="s">
        <v>40</v>
      </c>
      <c r="I349" s="46" t="s">
        <v>415</v>
      </c>
      <c r="J349" s="46" t="s">
        <v>420</v>
      </c>
    </row>
    <row r="350" spans="1:10" ht="15.75" thickBot="1" x14ac:dyDescent="0.3">
      <c r="A350" s="57" t="s">
        <v>41</v>
      </c>
      <c r="B350" s="58" t="s">
        <v>290</v>
      </c>
      <c r="C350" s="79">
        <v>71702</v>
      </c>
      <c r="D350" s="79">
        <f>+C350*10%</f>
        <v>7170.2000000000007</v>
      </c>
      <c r="E350" s="79">
        <f>+C350-D350</f>
        <v>64531.8</v>
      </c>
      <c r="F350" s="59">
        <v>45202</v>
      </c>
      <c r="G350" s="80" t="s">
        <v>291</v>
      </c>
      <c r="H350" s="60"/>
      <c r="I350" s="133">
        <f>E350*15%</f>
        <v>9679.77</v>
      </c>
      <c r="J350" s="64">
        <f>+I350/56.8</f>
        <v>170.41848591549297</v>
      </c>
    </row>
    <row r="351" spans="1:10" ht="15.75" thickBot="1" x14ac:dyDescent="0.3">
      <c r="A351" s="54" t="s">
        <v>49</v>
      </c>
      <c r="B351" s="47" t="s">
        <v>292</v>
      </c>
      <c r="C351" s="82">
        <v>4150</v>
      </c>
      <c r="D351" s="79">
        <f t="shared" ref="D351:D356" si="88">+C351*10%</f>
        <v>415</v>
      </c>
      <c r="E351" s="79">
        <f t="shared" ref="E351:E356" si="89">+C351-D351</f>
        <v>3735</v>
      </c>
      <c r="F351" s="59">
        <v>45202</v>
      </c>
      <c r="G351" s="83">
        <v>45235</v>
      </c>
      <c r="H351" s="61"/>
      <c r="I351" s="133">
        <f t="shared" ref="I351:I356" si="90">E351*15%</f>
        <v>560.25</v>
      </c>
      <c r="J351" s="64">
        <f t="shared" ref="J351:J357" si="91">+I351/56.8</f>
        <v>9.8635563380281699</v>
      </c>
    </row>
    <row r="352" spans="1:10" x14ac:dyDescent="0.25">
      <c r="A352" s="72" t="s">
        <v>47</v>
      </c>
      <c r="B352" s="47" t="s">
        <v>293</v>
      </c>
      <c r="C352" s="82">
        <v>69308.800000000003</v>
      </c>
      <c r="D352" s="82">
        <f t="shared" si="88"/>
        <v>6930.880000000001</v>
      </c>
      <c r="E352" s="82">
        <f>+C352-D352</f>
        <v>62377.919999999998</v>
      </c>
      <c r="F352" s="59">
        <v>45202</v>
      </c>
      <c r="G352" s="87">
        <v>45250</v>
      </c>
      <c r="H352" s="61"/>
      <c r="I352" s="133">
        <f>E352*15%</f>
        <v>9356.6880000000001</v>
      </c>
      <c r="J352" s="64">
        <f t="shared" si="91"/>
        <v>164.73042253521129</v>
      </c>
    </row>
    <row r="353" spans="1:10" x14ac:dyDescent="0.25">
      <c r="A353" s="72" t="s">
        <v>130</v>
      </c>
      <c r="B353" s="47" t="s">
        <v>294</v>
      </c>
      <c r="C353" s="90">
        <v>44268</v>
      </c>
      <c r="D353" s="82">
        <f t="shared" si="88"/>
        <v>4426.8</v>
      </c>
      <c r="E353" s="82">
        <f>+C353-D353</f>
        <v>39841.199999999997</v>
      </c>
      <c r="F353" s="101">
        <v>45202</v>
      </c>
      <c r="G353" s="87"/>
      <c r="H353" s="75"/>
      <c r="I353" s="133">
        <f>E353*15%</f>
        <v>5976.1799999999994</v>
      </c>
      <c r="J353" s="64">
        <f t="shared" si="91"/>
        <v>105.2144366197183</v>
      </c>
    </row>
    <row r="354" spans="1:10" x14ac:dyDescent="0.25">
      <c r="A354" s="72" t="s">
        <v>72</v>
      </c>
      <c r="B354" s="47" t="s">
        <v>295</v>
      </c>
      <c r="C354" s="90">
        <v>16550</v>
      </c>
      <c r="D354" s="82">
        <f t="shared" si="88"/>
        <v>1655</v>
      </c>
      <c r="E354" s="82">
        <f t="shared" si="89"/>
        <v>14895</v>
      </c>
      <c r="F354" s="55">
        <v>45202</v>
      </c>
      <c r="G354" s="87">
        <v>45240</v>
      </c>
      <c r="H354" s="75"/>
      <c r="I354" s="133">
        <f t="shared" si="90"/>
        <v>2234.25</v>
      </c>
      <c r="J354" s="64">
        <f t="shared" si="91"/>
        <v>39.335387323943664</v>
      </c>
    </row>
    <row r="355" spans="1:10" x14ac:dyDescent="0.25">
      <c r="A355" s="72" t="s">
        <v>155</v>
      </c>
      <c r="B355" s="47" t="s">
        <v>296</v>
      </c>
      <c r="C355" s="90">
        <v>20700</v>
      </c>
      <c r="D355" s="82">
        <f t="shared" si="88"/>
        <v>2070</v>
      </c>
      <c r="E355" s="82">
        <f t="shared" si="89"/>
        <v>18630</v>
      </c>
      <c r="F355" s="55">
        <v>45202</v>
      </c>
      <c r="G355" s="87">
        <v>45240</v>
      </c>
      <c r="H355" s="75"/>
      <c r="I355" s="133">
        <f t="shared" si="90"/>
        <v>2794.5</v>
      </c>
      <c r="J355" s="64">
        <f t="shared" si="91"/>
        <v>49.198943661971832</v>
      </c>
    </row>
    <row r="356" spans="1:10" x14ac:dyDescent="0.25">
      <c r="A356" s="72" t="s">
        <v>258</v>
      </c>
      <c r="B356" s="47" t="s">
        <v>297</v>
      </c>
      <c r="C356" s="90">
        <v>4617</v>
      </c>
      <c r="D356" s="90">
        <f t="shared" si="88"/>
        <v>461.70000000000005</v>
      </c>
      <c r="E356" s="90">
        <f t="shared" si="89"/>
        <v>4155.3</v>
      </c>
      <c r="F356" s="74"/>
      <c r="G356" s="87"/>
      <c r="H356" s="75"/>
      <c r="I356" s="133">
        <f t="shared" si="90"/>
        <v>623.29499999999996</v>
      </c>
      <c r="J356" s="64">
        <f t="shared" si="91"/>
        <v>10.97350352112676</v>
      </c>
    </row>
    <row r="357" spans="1:10" ht="19.5" thickBot="1" x14ac:dyDescent="0.35">
      <c r="A357" s="65" t="s">
        <v>398</v>
      </c>
      <c r="B357" s="66"/>
      <c r="C357" s="67">
        <f>SUM(C350:C356)</f>
        <v>231295.8</v>
      </c>
      <c r="D357" s="67">
        <f>SUM(D350:D356)</f>
        <v>23129.58</v>
      </c>
      <c r="E357" s="85">
        <f>SUM(E350:E356)</f>
        <v>208166.21999999997</v>
      </c>
      <c r="F357" s="4"/>
      <c r="G357" s="4"/>
      <c r="H357" s="21"/>
      <c r="I357" s="136">
        <f>E357*15%</f>
        <v>31224.932999999994</v>
      </c>
      <c r="J357" s="63">
        <f t="shared" si="91"/>
        <v>549.73473591549282</v>
      </c>
    </row>
    <row r="360" spans="1:10" ht="34.5" thickBot="1" x14ac:dyDescent="0.55000000000000004">
      <c r="C360" s="98" t="s">
        <v>434</v>
      </c>
    </row>
    <row r="361" spans="1:10" ht="15.75" thickBot="1" x14ac:dyDescent="0.3">
      <c r="A361" s="10" t="s">
        <v>32</v>
      </c>
      <c r="B361" s="10" t="s">
        <v>33</v>
      </c>
      <c r="C361" s="10" t="s">
        <v>34</v>
      </c>
      <c r="D361" s="10" t="s">
        <v>35</v>
      </c>
      <c r="E361" s="10" t="s">
        <v>36</v>
      </c>
      <c r="F361" s="10" t="s">
        <v>37</v>
      </c>
      <c r="G361" s="10" t="s">
        <v>38</v>
      </c>
      <c r="H361" s="132" t="s">
        <v>40</v>
      </c>
      <c r="I361" s="46" t="s">
        <v>415</v>
      </c>
      <c r="J361" s="46" t="s">
        <v>420</v>
      </c>
    </row>
    <row r="362" spans="1:10" x14ac:dyDescent="0.25">
      <c r="A362" s="72" t="s">
        <v>298</v>
      </c>
      <c r="B362" s="58" t="s">
        <v>299</v>
      </c>
      <c r="C362" s="90">
        <v>317692.83</v>
      </c>
      <c r="D362" s="90">
        <f t="shared" ref="D362:D363" si="92">+C362*10%</f>
        <v>31769.283000000003</v>
      </c>
      <c r="E362" s="90">
        <f t="shared" ref="E362:E363" si="93">+C362-D362</f>
        <v>285923.54700000002</v>
      </c>
      <c r="F362" s="74">
        <v>45233</v>
      </c>
      <c r="G362" s="87">
        <v>45280</v>
      </c>
      <c r="H362" s="75"/>
      <c r="I362" s="133">
        <f t="shared" ref="I362:I363" si="94">E362*15%</f>
        <v>42888.532050000002</v>
      </c>
      <c r="J362" s="64">
        <f t="shared" ref="J362:J364" si="95">+I362/56.8</f>
        <v>755.07978961267611</v>
      </c>
    </row>
    <row r="363" spans="1:10" x14ac:dyDescent="0.25">
      <c r="A363" s="72" t="s">
        <v>300</v>
      </c>
      <c r="B363" s="47" t="s">
        <v>301</v>
      </c>
      <c r="C363" s="90">
        <v>63000</v>
      </c>
      <c r="D363" s="90">
        <f t="shared" si="92"/>
        <v>6300</v>
      </c>
      <c r="E363" s="90">
        <f t="shared" si="93"/>
        <v>56700</v>
      </c>
      <c r="F363" s="74">
        <v>45233</v>
      </c>
      <c r="G363" s="87">
        <v>45280</v>
      </c>
      <c r="H363" s="75"/>
      <c r="I363" s="133">
        <f t="shared" si="94"/>
        <v>8505</v>
      </c>
      <c r="J363" s="64">
        <f t="shared" si="95"/>
        <v>149.73591549295776</v>
      </c>
    </row>
    <row r="364" spans="1:10" ht="19.5" thickBot="1" x14ac:dyDescent="0.35">
      <c r="A364" s="65" t="s">
        <v>398</v>
      </c>
      <c r="B364" s="66"/>
      <c r="C364" s="67">
        <f>SUM(C362:C363)</f>
        <v>380692.83</v>
      </c>
      <c r="D364" s="67">
        <f>SUM(D362:D362)</f>
        <v>31769.283000000003</v>
      </c>
      <c r="E364" s="85">
        <f>SUM(E362:E362)</f>
        <v>285923.54700000002</v>
      </c>
      <c r="F364" s="4"/>
      <c r="G364" s="4"/>
      <c r="H364" s="21"/>
      <c r="I364" s="136">
        <f>SUM(I362:I363)</f>
        <v>51393.532050000002</v>
      </c>
      <c r="J364" s="63">
        <f t="shared" si="95"/>
        <v>904.81570510563392</v>
      </c>
    </row>
    <row r="368" spans="1:10" ht="34.5" thickBot="1" x14ac:dyDescent="0.55000000000000004">
      <c r="C368" s="98" t="s">
        <v>435</v>
      </c>
    </row>
    <row r="369" spans="1:10" ht="15.75" thickBot="1" x14ac:dyDescent="0.3">
      <c r="A369" s="10" t="s">
        <v>32</v>
      </c>
      <c r="B369" s="10" t="s">
        <v>33</v>
      </c>
      <c r="C369" s="10" t="s">
        <v>34</v>
      </c>
      <c r="D369" s="10" t="s">
        <v>35</v>
      </c>
      <c r="E369" s="10" t="s">
        <v>36</v>
      </c>
      <c r="F369" s="10" t="s">
        <v>37</v>
      </c>
      <c r="G369" s="10" t="s">
        <v>38</v>
      </c>
      <c r="H369" s="132" t="s">
        <v>40</v>
      </c>
      <c r="I369" s="46" t="s">
        <v>415</v>
      </c>
      <c r="J369" s="46" t="s">
        <v>420</v>
      </c>
    </row>
    <row r="370" spans="1:10" ht="15.75" thickBot="1" x14ac:dyDescent="0.3">
      <c r="A370" s="150" t="s">
        <v>302</v>
      </c>
      <c r="B370" s="149" t="s">
        <v>303</v>
      </c>
      <c r="C370" s="134">
        <v>3219</v>
      </c>
      <c r="D370" s="134">
        <f>+C370*10%</f>
        <v>321.90000000000003</v>
      </c>
      <c r="E370" s="134">
        <f>+C370-D370</f>
        <v>2897.1</v>
      </c>
      <c r="F370" s="135">
        <v>45233</v>
      </c>
      <c r="G370" s="151" t="s">
        <v>304</v>
      </c>
      <c r="H370" s="152"/>
      <c r="I370" s="136">
        <f>E370*15%</f>
        <v>434.565</v>
      </c>
      <c r="J370" s="63">
        <f>+I370/56.8</f>
        <v>7.6507922535211268</v>
      </c>
    </row>
    <row r="371" spans="1:10" x14ac:dyDescent="0.25">
      <c r="A371" s="72" t="s">
        <v>298</v>
      </c>
      <c r="B371" s="58" t="s">
        <v>305</v>
      </c>
      <c r="C371" s="90">
        <v>211456</v>
      </c>
      <c r="D371" s="90">
        <f t="shared" ref="D371:D372" si="96">+C371*10%</f>
        <v>21145.600000000002</v>
      </c>
      <c r="E371" s="90">
        <f t="shared" ref="E371:E372" si="97">+C371-D371</f>
        <v>190310.39999999999</v>
      </c>
      <c r="F371" s="74">
        <v>45233</v>
      </c>
      <c r="G371" s="87">
        <v>45280</v>
      </c>
      <c r="H371" s="75"/>
      <c r="I371" s="133">
        <f t="shared" ref="I371:I372" si="98">E371*15%</f>
        <v>28546.559999999998</v>
      </c>
      <c r="J371" s="64">
        <f t="shared" ref="J371:J373" si="99">+I371/56.8</f>
        <v>502.58028169014085</v>
      </c>
    </row>
    <row r="372" spans="1:10" x14ac:dyDescent="0.25">
      <c r="A372" s="72" t="s">
        <v>306</v>
      </c>
      <c r="B372" s="47" t="s">
        <v>307</v>
      </c>
      <c r="C372" s="90">
        <v>2360.8000000000002</v>
      </c>
      <c r="D372" s="90">
        <f t="shared" si="96"/>
        <v>236.08000000000004</v>
      </c>
      <c r="E372" s="90">
        <f t="shared" si="97"/>
        <v>2124.7200000000003</v>
      </c>
      <c r="F372" s="74">
        <v>45233</v>
      </c>
      <c r="G372" s="87">
        <v>45280</v>
      </c>
      <c r="H372" s="75"/>
      <c r="I372" s="133">
        <f t="shared" si="98"/>
        <v>318.70800000000003</v>
      </c>
      <c r="J372" s="64">
        <f t="shared" si="99"/>
        <v>5.6110563380281695</v>
      </c>
    </row>
    <row r="373" spans="1:10" ht="19.5" thickBot="1" x14ac:dyDescent="0.35">
      <c r="A373" s="65" t="s">
        <v>398</v>
      </c>
      <c r="B373" s="66"/>
      <c r="C373" s="67">
        <f>SUM(C370:C372)</f>
        <v>217035.8</v>
      </c>
      <c r="D373" s="67">
        <f>SUM(D370:D371)</f>
        <v>21467.500000000004</v>
      </c>
      <c r="E373" s="85">
        <f>SUM(E370:E371)</f>
        <v>193207.5</v>
      </c>
      <c r="F373" s="4"/>
      <c r="G373" s="4"/>
      <c r="H373" s="21"/>
      <c r="I373" s="136">
        <f>SUM(I370:I372)</f>
        <v>29299.832999999995</v>
      </c>
      <c r="J373" s="63">
        <f t="shared" si="99"/>
        <v>515.84213028169006</v>
      </c>
    </row>
    <row r="376" spans="1:10" ht="34.5" thickBot="1" x14ac:dyDescent="0.55000000000000004">
      <c r="C376" s="98" t="s">
        <v>436</v>
      </c>
    </row>
    <row r="377" spans="1:10" ht="15.75" thickBot="1" x14ac:dyDescent="0.3">
      <c r="A377" s="10" t="s">
        <v>32</v>
      </c>
      <c r="B377" s="10" t="s">
        <v>33</v>
      </c>
      <c r="C377" s="10" t="s">
        <v>34</v>
      </c>
      <c r="D377" s="10" t="s">
        <v>35</v>
      </c>
      <c r="E377" s="10" t="s">
        <v>36</v>
      </c>
      <c r="F377" s="10" t="s">
        <v>37</v>
      </c>
      <c r="G377" s="10" t="s">
        <v>38</v>
      </c>
      <c r="H377" s="132" t="s">
        <v>40</v>
      </c>
      <c r="I377" s="46" t="s">
        <v>415</v>
      </c>
      <c r="J377" s="46" t="s">
        <v>420</v>
      </c>
    </row>
    <row r="378" spans="1:10" x14ac:dyDescent="0.25">
      <c r="A378" s="72" t="s">
        <v>298</v>
      </c>
      <c r="B378" s="58" t="s">
        <v>308</v>
      </c>
      <c r="C378" s="90">
        <v>403920</v>
      </c>
      <c r="D378" s="90">
        <f t="shared" ref="D378:D379" si="100">+C378*10%</f>
        <v>40392</v>
      </c>
      <c r="E378" s="90">
        <f t="shared" ref="E378:E379" si="101">+C378-D378</f>
        <v>363528</v>
      </c>
      <c r="F378" s="74">
        <v>45265</v>
      </c>
      <c r="G378" s="87">
        <v>45342</v>
      </c>
      <c r="H378" s="75"/>
      <c r="I378" s="133">
        <f t="shared" ref="I378:I379" si="102">E378*15%</f>
        <v>54529.2</v>
      </c>
      <c r="J378" s="64">
        <f t="shared" ref="J378:J380" si="103">+I378/56.8</f>
        <v>960.02112676056333</v>
      </c>
    </row>
    <row r="379" spans="1:10" x14ac:dyDescent="0.25">
      <c r="A379" s="72" t="s">
        <v>309</v>
      </c>
      <c r="B379" s="47" t="s">
        <v>310</v>
      </c>
      <c r="C379" s="90">
        <v>6438</v>
      </c>
      <c r="D379" s="90">
        <f t="shared" si="100"/>
        <v>643.80000000000007</v>
      </c>
      <c r="E379" s="90">
        <f t="shared" si="101"/>
        <v>5794.2</v>
      </c>
      <c r="F379" s="74">
        <v>45265</v>
      </c>
      <c r="G379" s="87">
        <v>45342</v>
      </c>
      <c r="H379" s="75"/>
      <c r="I379" s="133">
        <f t="shared" si="102"/>
        <v>869.13</v>
      </c>
      <c r="J379" s="64">
        <f t="shared" si="103"/>
        <v>15.301584507042254</v>
      </c>
    </row>
    <row r="380" spans="1:10" ht="19.5" thickBot="1" x14ac:dyDescent="0.35">
      <c r="A380" s="65" t="s">
        <v>398</v>
      </c>
      <c r="B380" s="66"/>
      <c r="C380" s="67">
        <f>SUM(C378:C379)</f>
        <v>410358</v>
      </c>
      <c r="D380" s="67">
        <f>SUM(D378:D379)</f>
        <v>41035.800000000003</v>
      </c>
      <c r="E380" s="85">
        <f>SUM(E378:E379)</f>
        <v>369322.2</v>
      </c>
      <c r="F380" s="4"/>
      <c r="G380" s="4"/>
      <c r="H380" s="21"/>
      <c r="I380" s="136">
        <f>SUM(I378:I379)</f>
        <v>55398.329999999994</v>
      </c>
      <c r="J380" s="63">
        <f t="shared" si="103"/>
        <v>975.32271126760554</v>
      </c>
    </row>
    <row r="384" spans="1:10" ht="34.5" thickBot="1" x14ac:dyDescent="0.55000000000000004">
      <c r="C384" s="98" t="s">
        <v>437</v>
      </c>
    </row>
    <row r="385" spans="1:10" ht="15.75" thickBot="1" x14ac:dyDescent="0.3">
      <c r="A385" s="10" t="s">
        <v>32</v>
      </c>
      <c r="B385" s="10" t="s">
        <v>33</v>
      </c>
      <c r="C385" s="10" t="s">
        <v>34</v>
      </c>
      <c r="D385" s="10" t="s">
        <v>35</v>
      </c>
      <c r="E385" s="10" t="s">
        <v>36</v>
      </c>
      <c r="F385" s="10" t="s">
        <v>37</v>
      </c>
      <c r="G385" s="10" t="s">
        <v>38</v>
      </c>
      <c r="H385" s="132" t="s">
        <v>40</v>
      </c>
      <c r="I385" s="46" t="s">
        <v>415</v>
      </c>
      <c r="J385" s="46" t="s">
        <v>420</v>
      </c>
    </row>
    <row r="386" spans="1:10" x14ac:dyDescent="0.25">
      <c r="A386" s="72" t="s">
        <v>298</v>
      </c>
      <c r="B386" s="58" t="s">
        <v>311</v>
      </c>
      <c r="C386" s="90">
        <v>228724</v>
      </c>
      <c r="D386" s="90">
        <f t="shared" ref="D386:D387" si="104">+C386*10%</f>
        <v>22872.400000000001</v>
      </c>
      <c r="E386" s="90">
        <f t="shared" ref="E386:E387" si="105">+C386-D386</f>
        <v>205851.6</v>
      </c>
      <c r="F386" s="74">
        <v>45265</v>
      </c>
      <c r="G386" s="87">
        <v>45342</v>
      </c>
      <c r="H386" s="75"/>
      <c r="I386" s="133">
        <f t="shared" ref="I386:I387" si="106">E386*15%</f>
        <v>30877.739999999998</v>
      </c>
      <c r="J386" s="64">
        <f t="shared" ref="J386:J388" si="107">+I386/56.8</f>
        <v>543.62218309859156</v>
      </c>
    </row>
    <row r="387" spans="1:10" x14ac:dyDescent="0.25">
      <c r="A387" s="72" t="s">
        <v>309</v>
      </c>
      <c r="B387" s="47" t="s">
        <v>312</v>
      </c>
      <c r="C387" s="90">
        <v>54660</v>
      </c>
      <c r="D387" s="90">
        <f t="shared" si="104"/>
        <v>5466</v>
      </c>
      <c r="E387" s="90">
        <f t="shared" si="105"/>
        <v>49194</v>
      </c>
      <c r="F387" s="74">
        <v>45265</v>
      </c>
      <c r="G387" s="87">
        <v>45342</v>
      </c>
      <c r="H387" s="75"/>
      <c r="I387" s="133">
        <f t="shared" si="106"/>
        <v>7379.0999999999995</v>
      </c>
      <c r="J387" s="64">
        <f t="shared" si="107"/>
        <v>129.91373239436621</v>
      </c>
    </row>
    <row r="388" spans="1:10" ht="19.5" thickBot="1" x14ac:dyDescent="0.35">
      <c r="A388" s="65" t="s">
        <v>398</v>
      </c>
      <c r="B388" s="66"/>
      <c r="C388" s="67">
        <f>SUM(C386:C387)</f>
        <v>283384</v>
      </c>
      <c r="D388" s="67">
        <f>SUM(D386:D387)</f>
        <v>28338.400000000001</v>
      </c>
      <c r="E388" s="85">
        <f>SUM(E386:E387)</f>
        <v>255045.6</v>
      </c>
      <c r="F388" s="4"/>
      <c r="G388" s="4"/>
      <c r="H388" s="21"/>
      <c r="I388" s="136">
        <f>SUM(I386:I387)</f>
        <v>38256.839999999997</v>
      </c>
      <c r="J388" s="63">
        <f t="shared" si="107"/>
        <v>673.53591549295777</v>
      </c>
    </row>
    <row r="392" spans="1:10" ht="34.5" thickBot="1" x14ac:dyDescent="0.55000000000000004">
      <c r="C392" s="98" t="s">
        <v>438</v>
      </c>
    </row>
    <row r="393" spans="1:10" ht="15.75" thickBot="1" x14ac:dyDescent="0.3">
      <c r="A393" s="10" t="s">
        <v>32</v>
      </c>
      <c r="B393" s="10" t="s">
        <v>33</v>
      </c>
      <c r="C393" s="10" t="s">
        <v>34</v>
      </c>
      <c r="D393" s="10" t="s">
        <v>35</v>
      </c>
      <c r="E393" s="10" t="s">
        <v>36</v>
      </c>
      <c r="F393" s="10" t="s">
        <v>37</v>
      </c>
      <c r="G393" s="10" t="s">
        <v>38</v>
      </c>
      <c r="H393" s="132" t="s">
        <v>40</v>
      </c>
      <c r="I393" s="46" t="s">
        <v>415</v>
      </c>
      <c r="J393" s="46" t="s">
        <v>420</v>
      </c>
    </row>
    <row r="394" spans="1:10" x14ac:dyDescent="0.25">
      <c r="A394" s="72" t="s">
        <v>298</v>
      </c>
      <c r="B394" s="58" t="s">
        <v>313</v>
      </c>
      <c r="C394" s="90">
        <v>196908</v>
      </c>
      <c r="D394" s="90">
        <f t="shared" ref="D394:D400" si="108">+C394*10%</f>
        <v>19690.800000000003</v>
      </c>
      <c r="E394" s="90">
        <f t="shared" ref="E394:E400" si="109">+C394-D394</f>
        <v>177217.2</v>
      </c>
      <c r="F394" s="74">
        <v>45386</v>
      </c>
      <c r="G394" s="87">
        <v>45424</v>
      </c>
      <c r="H394" s="75"/>
      <c r="I394" s="133">
        <f t="shared" ref="I394:I400" si="110">E394*15%</f>
        <v>26582.58</v>
      </c>
      <c r="J394" s="63">
        <f t="shared" ref="J394:J401" si="111">+I394/56.8</f>
        <v>468.00316901408456</v>
      </c>
    </row>
    <row r="395" spans="1:10" x14ac:dyDescent="0.25">
      <c r="A395" s="72" t="s">
        <v>309</v>
      </c>
      <c r="B395" s="47" t="s">
        <v>314</v>
      </c>
      <c r="C395" s="90">
        <v>35169.300000000003</v>
      </c>
      <c r="D395" s="90">
        <f t="shared" si="108"/>
        <v>3516.9300000000003</v>
      </c>
      <c r="E395" s="90">
        <f t="shared" si="109"/>
        <v>31652.370000000003</v>
      </c>
      <c r="F395" s="74">
        <v>45386</v>
      </c>
      <c r="G395" s="87">
        <v>45432</v>
      </c>
      <c r="H395" s="75"/>
      <c r="I395" s="133">
        <f t="shared" si="110"/>
        <v>4747.8555000000006</v>
      </c>
      <c r="J395" s="63">
        <f t="shared" si="111"/>
        <v>83.589005281690149</v>
      </c>
    </row>
    <row r="396" spans="1:10" x14ac:dyDescent="0.25">
      <c r="A396" s="72" t="s">
        <v>315</v>
      </c>
      <c r="B396" s="47" t="s">
        <v>316</v>
      </c>
      <c r="C396" s="90">
        <v>15120</v>
      </c>
      <c r="D396" s="90">
        <f t="shared" si="108"/>
        <v>1512</v>
      </c>
      <c r="E396" s="90">
        <f t="shared" si="109"/>
        <v>13608</v>
      </c>
      <c r="F396" s="74">
        <v>45386</v>
      </c>
      <c r="G396" s="87">
        <v>45432</v>
      </c>
      <c r="H396" s="75"/>
      <c r="I396" s="133">
        <f t="shared" si="110"/>
        <v>2041.1999999999998</v>
      </c>
      <c r="J396" s="63">
        <f t="shared" si="111"/>
        <v>35.936619718309856</v>
      </c>
    </row>
    <row r="397" spans="1:10" x14ac:dyDescent="0.25">
      <c r="A397" s="16" t="s">
        <v>317</v>
      </c>
      <c r="B397" s="47" t="s">
        <v>318</v>
      </c>
      <c r="C397" s="90">
        <v>15620</v>
      </c>
      <c r="D397" s="90">
        <f t="shared" si="108"/>
        <v>1562</v>
      </c>
      <c r="E397" s="90">
        <f t="shared" si="109"/>
        <v>14058</v>
      </c>
      <c r="F397" s="74">
        <v>45386</v>
      </c>
      <c r="G397" s="87">
        <v>45417</v>
      </c>
      <c r="H397" s="75"/>
      <c r="I397" s="133">
        <f t="shared" si="110"/>
        <v>2108.6999999999998</v>
      </c>
      <c r="J397" s="63">
        <f t="shared" si="111"/>
        <v>37.125</v>
      </c>
    </row>
    <row r="398" spans="1:10" x14ac:dyDescent="0.25">
      <c r="A398" s="72" t="s">
        <v>237</v>
      </c>
      <c r="B398" s="47" t="s">
        <v>319</v>
      </c>
      <c r="C398" s="90">
        <v>19853.599999999999</v>
      </c>
      <c r="D398" s="90">
        <f t="shared" si="108"/>
        <v>1985.36</v>
      </c>
      <c r="E398" s="90">
        <f t="shared" si="109"/>
        <v>17868.239999999998</v>
      </c>
      <c r="F398" s="74">
        <v>45386</v>
      </c>
      <c r="G398" s="87"/>
      <c r="H398" s="75"/>
      <c r="I398" s="133">
        <f t="shared" si="110"/>
        <v>2680.2359999999994</v>
      </c>
      <c r="J398" s="63">
        <f t="shared" si="111"/>
        <v>47.187253521126756</v>
      </c>
    </row>
    <row r="399" spans="1:10" x14ac:dyDescent="0.25">
      <c r="A399" s="72" t="s">
        <v>320</v>
      </c>
      <c r="B399" s="47" t="s">
        <v>321</v>
      </c>
      <c r="C399" s="90">
        <v>18644</v>
      </c>
      <c r="D399" s="90">
        <f t="shared" si="108"/>
        <v>1864.4</v>
      </c>
      <c r="E399" s="90">
        <f t="shared" si="109"/>
        <v>16779.599999999999</v>
      </c>
      <c r="F399" s="74">
        <v>45386</v>
      </c>
      <c r="G399" s="87"/>
      <c r="H399" s="75"/>
      <c r="I399" s="133">
        <f t="shared" si="110"/>
        <v>2516.9399999999996</v>
      </c>
      <c r="J399" s="63">
        <f t="shared" si="111"/>
        <v>44.312323943661966</v>
      </c>
    </row>
    <row r="400" spans="1:10" x14ac:dyDescent="0.25">
      <c r="A400" s="72" t="s">
        <v>157</v>
      </c>
      <c r="B400" s="47" t="s">
        <v>322</v>
      </c>
      <c r="C400" s="90">
        <v>11302.1</v>
      </c>
      <c r="D400" s="90">
        <f t="shared" si="108"/>
        <v>1130.21</v>
      </c>
      <c r="E400" s="90">
        <f t="shared" si="109"/>
        <v>10171.89</v>
      </c>
      <c r="F400" s="74">
        <v>45386</v>
      </c>
      <c r="G400" s="87"/>
      <c r="H400" s="75"/>
      <c r="I400" s="133">
        <f t="shared" si="110"/>
        <v>1525.7834999999998</v>
      </c>
      <c r="J400" s="63">
        <f t="shared" si="111"/>
        <v>26.862385563380279</v>
      </c>
    </row>
    <row r="401" spans="1:10" ht="19.5" thickBot="1" x14ac:dyDescent="0.35">
      <c r="A401" s="65" t="s">
        <v>398</v>
      </c>
      <c r="B401" s="66"/>
      <c r="C401" s="67">
        <f>SUM(C394:C400)</f>
        <v>312616.99999999994</v>
      </c>
      <c r="D401" s="67">
        <f>SUM(D394:D400)</f>
        <v>31261.700000000004</v>
      </c>
      <c r="E401" s="85">
        <f>SUM(E394:E400)</f>
        <v>281355.3</v>
      </c>
      <c r="F401" s="4"/>
      <c r="G401" s="4"/>
      <c r="H401" s="21"/>
      <c r="I401" s="136">
        <f>SUM(I394:I400)</f>
        <v>42203.294999999998</v>
      </c>
      <c r="J401" s="63">
        <f t="shared" si="111"/>
        <v>743.01575704225354</v>
      </c>
    </row>
    <row r="405" spans="1:10" ht="34.5" thickBot="1" x14ac:dyDescent="0.55000000000000004">
      <c r="C405" s="98" t="s">
        <v>439</v>
      </c>
    </row>
    <row r="406" spans="1:10" ht="15.75" thickBot="1" x14ac:dyDescent="0.3">
      <c r="A406" s="10" t="s">
        <v>32</v>
      </c>
      <c r="B406" s="10" t="s">
        <v>33</v>
      </c>
      <c r="C406" s="10" t="s">
        <v>34</v>
      </c>
      <c r="D406" s="10" t="s">
        <v>35</v>
      </c>
      <c r="E406" s="10" t="s">
        <v>36</v>
      </c>
      <c r="F406" s="10" t="s">
        <v>37</v>
      </c>
      <c r="G406" s="10" t="s">
        <v>38</v>
      </c>
      <c r="H406" s="132" t="s">
        <v>40</v>
      </c>
      <c r="I406" s="46" t="s">
        <v>415</v>
      </c>
      <c r="J406" s="46" t="s">
        <v>420</v>
      </c>
    </row>
    <row r="407" spans="1:10" x14ac:dyDescent="0.25">
      <c r="A407" s="72" t="s">
        <v>298</v>
      </c>
      <c r="B407" s="58" t="s">
        <v>323</v>
      </c>
      <c r="C407" s="90">
        <v>123814</v>
      </c>
      <c r="D407" s="90">
        <f t="shared" ref="D407:D411" si="112">+C407*10%</f>
        <v>12381.400000000001</v>
      </c>
      <c r="E407" s="90">
        <f t="shared" ref="E407:E411" si="113">+C407-D407</f>
        <v>111432.6</v>
      </c>
      <c r="F407" s="74">
        <v>45417</v>
      </c>
      <c r="G407" s="87">
        <v>45455</v>
      </c>
      <c r="H407" s="75"/>
      <c r="I407" s="133">
        <f t="shared" ref="I407:I411" si="114">E407*15%</f>
        <v>16714.89</v>
      </c>
      <c r="J407" s="64">
        <f t="shared" ref="J407:J412" si="115">+I407/56.8</f>
        <v>294.27623239436622</v>
      </c>
    </row>
    <row r="408" spans="1:10" x14ac:dyDescent="0.25">
      <c r="A408" s="72" t="s">
        <v>309</v>
      </c>
      <c r="B408" s="47" t="s">
        <v>324</v>
      </c>
      <c r="C408" s="90">
        <v>3550</v>
      </c>
      <c r="D408" s="90">
        <f t="shared" si="112"/>
        <v>355</v>
      </c>
      <c r="E408" s="90">
        <f t="shared" si="113"/>
        <v>3195</v>
      </c>
      <c r="F408" s="74">
        <v>45417</v>
      </c>
      <c r="G408" s="87">
        <v>45463</v>
      </c>
      <c r="H408" s="75"/>
      <c r="I408" s="133">
        <f t="shared" si="114"/>
        <v>479.25</v>
      </c>
      <c r="J408" s="64">
        <f t="shared" si="115"/>
        <v>8.4375</v>
      </c>
    </row>
    <row r="409" spans="1:10" x14ac:dyDescent="0.25">
      <c r="A409" s="72" t="s">
        <v>77</v>
      </c>
      <c r="B409" s="47" t="s">
        <v>325</v>
      </c>
      <c r="C409" s="90">
        <v>27920</v>
      </c>
      <c r="D409" s="90">
        <f t="shared" si="112"/>
        <v>2792</v>
      </c>
      <c r="E409" s="90">
        <f t="shared" si="113"/>
        <v>25128</v>
      </c>
      <c r="F409" s="74">
        <v>45417</v>
      </c>
      <c r="G409" s="87">
        <v>45463</v>
      </c>
      <c r="H409" s="75"/>
      <c r="I409" s="133">
        <f t="shared" si="114"/>
        <v>3769.2</v>
      </c>
      <c r="J409" s="64">
        <f t="shared" si="115"/>
        <v>66.359154929577471</v>
      </c>
    </row>
    <row r="410" spans="1:10" x14ac:dyDescent="0.25">
      <c r="A410" s="47" t="s">
        <v>70</v>
      </c>
      <c r="B410" s="47" t="s">
        <v>326</v>
      </c>
      <c r="C410" s="90">
        <v>3050</v>
      </c>
      <c r="D410" s="90">
        <f t="shared" si="112"/>
        <v>305</v>
      </c>
      <c r="E410" s="90">
        <f t="shared" si="113"/>
        <v>2745</v>
      </c>
      <c r="F410" s="74">
        <v>45417</v>
      </c>
      <c r="G410" s="87">
        <v>45448</v>
      </c>
      <c r="H410" s="75"/>
      <c r="I410" s="133">
        <f t="shared" si="114"/>
        <v>411.75</v>
      </c>
      <c r="J410" s="64">
        <f t="shared" si="115"/>
        <v>7.2491197183098599</v>
      </c>
    </row>
    <row r="411" spans="1:10" x14ac:dyDescent="0.25">
      <c r="A411" s="72" t="s">
        <v>51</v>
      </c>
      <c r="B411" s="47" t="s">
        <v>327</v>
      </c>
      <c r="C411" s="90">
        <v>1500</v>
      </c>
      <c r="D411" s="90">
        <f t="shared" si="112"/>
        <v>150</v>
      </c>
      <c r="E411" s="90">
        <f t="shared" si="113"/>
        <v>1350</v>
      </c>
      <c r="F411" s="74">
        <v>45417</v>
      </c>
      <c r="G411" s="87">
        <v>45449</v>
      </c>
      <c r="H411" s="75"/>
      <c r="I411" s="133">
        <f t="shared" si="114"/>
        <v>202.5</v>
      </c>
      <c r="J411" s="64">
        <f t="shared" si="115"/>
        <v>3.5651408450704225</v>
      </c>
    </row>
    <row r="412" spans="1:10" ht="19.5" thickBot="1" x14ac:dyDescent="0.35">
      <c r="A412" s="65" t="s">
        <v>398</v>
      </c>
      <c r="B412" s="66"/>
      <c r="C412" s="67">
        <f>SUM(C407:C411)</f>
        <v>159834</v>
      </c>
      <c r="D412" s="67">
        <f>SUM(D407:D411)</f>
        <v>15983.400000000001</v>
      </c>
      <c r="E412" s="85">
        <f>SUM(E407:E411)</f>
        <v>143850.6</v>
      </c>
      <c r="F412" s="4"/>
      <c r="G412" s="4"/>
      <c r="H412" s="21"/>
      <c r="I412" s="136">
        <f>SUM(I407:I411)</f>
        <v>21577.59</v>
      </c>
      <c r="J412" s="63">
        <f t="shared" si="115"/>
        <v>379.88714788732398</v>
      </c>
    </row>
    <row r="414" spans="1:10" ht="34.5" thickBot="1" x14ac:dyDescent="0.55000000000000004">
      <c r="C414" s="98" t="s">
        <v>440</v>
      </c>
    </row>
    <row r="415" spans="1:10" ht="15.75" thickBot="1" x14ac:dyDescent="0.3">
      <c r="A415" s="10" t="s">
        <v>32</v>
      </c>
      <c r="B415" s="10" t="s">
        <v>33</v>
      </c>
      <c r="C415" s="10" t="s">
        <v>34</v>
      </c>
      <c r="D415" s="10" t="s">
        <v>35</v>
      </c>
      <c r="E415" s="10" t="s">
        <v>36</v>
      </c>
      <c r="F415" s="10" t="s">
        <v>37</v>
      </c>
      <c r="G415" s="10" t="s">
        <v>38</v>
      </c>
      <c r="H415" s="132" t="s">
        <v>40</v>
      </c>
      <c r="I415" s="46" t="s">
        <v>415</v>
      </c>
      <c r="J415" s="46" t="s">
        <v>420</v>
      </c>
    </row>
    <row r="416" spans="1:10" x14ac:dyDescent="0.25">
      <c r="A416" s="72" t="s">
        <v>298</v>
      </c>
      <c r="B416" s="58" t="s">
        <v>328</v>
      </c>
      <c r="C416" s="90">
        <v>122252</v>
      </c>
      <c r="D416" s="90">
        <f t="shared" ref="D416:D423" si="116">+C416*10%</f>
        <v>12225.2</v>
      </c>
      <c r="E416" s="90">
        <f t="shared" ref="E416:E423" si="117">+C416-D416</f>
        <v>110026.8</v>
      </c>
      <c r="F416" s="74" t="s">
        <v>329</v>
      </c>
      <c r="G416" s="87">
        <v>45485</v>
      </c>
      <c r="H416" s="75"/>
      <c r="I416" s="133">
        <f t="shared" ref="I416:I423" si="118">E416*15%</f>
        <v>16504.02</v>
      </c>
      <c r="J416" s="64">
        <f t="shared" ref="J416:J424" si="119">+I416/56.8</f>
        <v>290.56373239436624</v>
      </c>
    </row>
    <row r="417" spans="1:11" x14ac:dyDescent="0.25">
      <c r="A417" s="72" t="s">
        <v>309</v>
      </c>
      <c r="B417" s="47" t="s">
        <v>330</v>
      </c>
      <c r="C417" s="90">
        <v>23439.200000000001</v>
      </c>
      <c r="D417" s="90">
        <f t="shared" si="116"/>
        <v>2343.92</v>
      </c>
      <c r="E417" s="90">
        <f t="shared" si="117"/>
        <v>21095.279999999999</v>
      </c>
      <c r="F417" s="74">
        <v>45448</v>
      </c>
      <c r="G417" s="87">
        <v>45493</v>
      </c>
      <c r="H417" s="75"/>
      <c r="I417" s="133">
        <f t="shared" si="118"/>
        <v>3164.2919999999999</v>
      </c>
      <c r="J417" s="64">
        <f t="shared" si="119"/>
        <v>55.709366197183101</v>
      </c>
    </row>
    <row r="418" spans="1:11" x14ac:dyDescent="0.25">
      <c r="A418" s="72" t="s">
        <v>77</v>
      </c>
      <c r="B418" s="47" t="s">
        <v>331</v>
      </c>
      <c r="C418" s="90">
        <v>13500</v>
      </c>
      <c r="D418" s="90">
        <f t="shared" si="116"/>
        <v>1350</v>
      </c>
      <c r="E418" s="90">
        <f t="shared" si="117"/>
        <v>12150</v>
      </c>
      <c r="F418" s="74">
        <v>45448</v>
      </c>
      <c r="G418" s="87">
        <v>45493</v>
      </c>
      <c r="H418" s="75"/>
      <c r="I418" s="133">
        <f t="shared" si="118"/>
        <v>1822.5</v>
      </c>
      <c r="J418" s="64">
        <f t="shared" si="119"/>
        <v>32.086267605633807</v>
      </c>
    </row>
    <row r="419" spans="1:11" x14ac:dyDescent="0.25">
      <c r="A419" s="47" t="s">
        <v>70</v>
      </c>
      <c r="B419" s="47" t="s">
        <v>332</v>
      </c>
      <c r="C419" s="90">
        <v>5130</v>
      </c>
      <c r="D419" s="90">
        <f t="shared" si="116"/>
        <v>513</v>
      </c>
      <c r="E419" s="90">
        <f t="shared" si="117"/>
        <v>4617</v>
      </c>
      <c r="F419" s="74">
        <v>45448</v>
      </c>
      <c r="G419" s="87">
        <v>45478</v>
      </c>
      <c r="H419" s="75"/>
      <c r="I419" s="133">
        <f t="shared" si="118"/>
        <v>692.55</v>
      </c>
      <c r="J419" s="64">
        <f t="shared" si="119"/>
        <v>12.192781690140844</v>
      </c>
    </row>
    <row r="420" spans="1:11" x14ac:dyDescent="0.25">
      <c r="A420" s="157" t="s">
        <v>51</v>
      </c>
      <c r="B420" s="158" t="s">
        <v>333</v>
      </c>
      <c r="C420" s="159">
        <v>17280</v>
      </c>
      <c r="D420" s="159">
        <f t="shared" si="116"/>
        <v>1728</v>
      </c>
      <c r="E420" s="159">
        <f t="shared" si="117"/>
        <v>15552</v>
      </c>
      <c r="F420" s="160">
        <v>45448</v>
      </c>
      <c r="G420" s="161">
        <v>45479</v>
      </c>
      <c r="H420" s="162"/>
      <c r="I420" s="163">
        <f t="shared" si="118"/>
        <v>2332.7999999999997</v>
      </c>
      <c r="J420" s="164">
        <f t="shared" si="119"/>
        <v>41.070422535211264</v>
      </c>
      <c r="K420" t="s">
        <v>441</v>
      </c>
    </row>
    <row r="421" spans="1:11" x14ac:dyDescent="0.25">
      <c r="A421" s="72" t="s">
        <v>336</v>
      </c>
      <c r="B421" s="153" t="s">
        <v>337</v>
      </c>
      <c r="C421" s="90">
        <v>29740.03</v>
      </c>
      <c r="D421" s="90">
        <f t="shared" si="116"/>
        <v>2974.0030000000002</v>
      </c>
      <c r="E421" s="90">
        <f t="shared" si="117"/>
        <v>26766.026999999998</v>
      </c>
      <c r="F421" s="74">
        <v>45448</v>
      </c>
      <c r="G421" s="87">
        <v>45478</v>
      </c>
      <c r="H421" s="75"/>
      <c r="I421" s="133">
        <f t="shared" si="118"/>
        <v>4014.9040499999996</v>
      </c>
      <c r="J421" s="64">
        <f t="shared" si="119"/>
        <v>70.684930457746475</v>
      </c>
    </row>
    <row r="422" spans="1:11" x14ac:dyDescent="0.25">
      <c r="A422" s="72" t="s">
        <v>237</v>
      </c>
      <c r="B422" s="153" t="s">
        <v>338</v>
      </c>
      <c r="C422" s="90">
        <v>1512</v>
      </c>
      <c r="D422" s="90">
        <f t="shared" si="116"/>
        <v>151.20000000000002</v>
      </c>
      <c r="E422" s="90">
        <f t="shared" si="117"/>
        <v>1360.8</v>
      </c>
      <c r="F422" s="74">
        <v>45448</v>
      </c>
      <c r="G422" s="87">
        <v>45478</v>
      </c>
      <c r="H422" s="75"/>
      <c r="I422" s="133">
        <f t="shared" si="118"/>
        <v>204.11999999999998</v>
      </c>
      <c r="J422" s="64">
        <f t="shared" si="119"/>
        <v>3.5936619718309855</v>
      </c>
    </row>
    <row r="423" spans="1:11" x14ac:dyDescent="0.25">
      <c r="A423" s="72" t="s">
        <v>339</v>
      </c>
      <c r="B423" s="153" t="s">
        <v>340</v>
      </c>
      <c r="C423" s="90">
        <v>6282</v>
      </c>
      <c r="D423" s="90">
        <f t="shared" si="116"/>
        <v>628.20000000000005</v>
      </c>
      <c r="E423" s="90">
        <f t="shared" si="117"/>
        <v>5653.8</v>
      </c>
      <c r="F423" s="74"/>
      <c r="G423" s="87"/>
      <c r="H423" s="75"/>
      <c r="I423" s="133">
        <f t="shared" si="118"/>
        <v>848.07</v>
      </c>
      <c r="J423" s="64">
        <f t="shared" si="119"/>
        <v>14.930809859154932</v>
      </c>
    </row>
    <row r="424" spans="1:11" ht="19.5" thickBot="1" x14ac:dyDescent="0.35">
      <c r="A424" s="65" t="s">
        <v>398</v>
      </c>
      <c r="B424" s="66"/>
      <c r="C424" s="67">
        <f>SUM(C416:C423)</f>
        <v>219135.23</v>
      </c>
      <c r="D424" s="67">
        <f>SUM(D416:D423)</f>
        <v>21913.523000000005</v>
      </c>
      <c r="E424" s="85">
        <f>SUM(E416:E423)</f>
        <v>197221.70699999999</v>
      </c>
      <c r="F424" s="4"/>
      <c r="G424" s="4"/>
      <c r="H424" s="21"/>
      <c r="I424" s="136">
        <f>SUM(I416:I423)</f>
        <v>29583.25605</v>
      </c>
      <c r="J424" s="63">
        <f t="shared" si="119"/>
        <v>520.83197271126767</v>
      </c>
    </row>
    <row r="425" spans="1:11" x14ac:dyDescent="0.25">
      <c r="B425" t="s">
        <v>442</v>
      </c>
    </row>
    <row r="427" spans="1:11" ht="34.5" thickBot="1" x14ac:dyDescent="0.55000000000000004">
      <c r="C427" s="98" t="s">
        <v>443</v>
      </c>
    </row>
    <row r="428" spans="1:11" ht="15.75" thickBot="1" x14ac:dyDescent="0.3">
      <c r="A428" s="10" t="s">
        <v>32</v>
      </c>
      <c r="B428" s="10" t="s">
        <v>33</v>
      </c>
      <c r="C428" s="10" t="s">
        <v>34</v>
      </c>
      <c r="D428" s="10" t="s">
        <v>35</v>
      </c>
      <c r="E428" s="10" t="s">
        <v>36</v>
      </c>
      <c r="F428" s="10" t="s">
        <v>37</v>
      </c>
      <c r="G428" s="10" t="s">
        <v>38</v>
      </c>
      <c r="H428" s="132" t="s">
        <v>40</v>
      </c>
      <c r="I428" s="46" t="s">
        <v>415</v>
      </c>
      <c r="J428" s="46" t="s">
        <v>420</v>
      </c>
    </row>
    <row r="429" spans="1:11" x14ac:dyDescent="0.25">
      <c r="A429" s="72" t="s">
        <v>298</v>
      </c>
      <c r="B429" s="58" t="s">
        <v>341</v>
      </c>
      <c r="C429" s="90">
        <v>122252</v>
      </c>
      <c r="D429" s="90">
        <f t="shared" ref="D429" si="120">+C429*10%</f>
        <v>12225.2</v>
      </c>
      <c r="E429" s="90">
        <v>106668</v>
      </c>
      <c r="F429" s="74" t="s">
        <v>329</v>
      </c>
      <c r="G429" s="87">
        <v>45485</v>
      </c>
      <c r="H429" s="75"/>
      <c r="I429" s="133">
        <f t="shared" ref="I429" si="121">E429*15%</f>
        <v>16000.199999999999</v>
      </c>
      <c r="J429" s="64">
        <f t="shared" ref="J429:J430" si="122">+I429/56.8</f>
        <v>281.69366197183098</v>
      </c>
    </row>
    <row r="430" spans="1:11" ht="19.5" thickBot="1" x14ac:dyDescent="0.35">
      <c r="A430" s="65" t="s">
        <v>398</v>
      </c>
      <c r="B430" s="66"/>
      <c r="C430" s="67">
        <f>SUM(C429:C429)</f>
        <v>122252</v>
      </c>
      <c r="D430" s="67">
        <f>SUM(D429:D429)</f>
        <v>12225.2</v>
      </c>
      <c r="E430" s="85">
        <f>SUM(E429:E429)</f>
        <v>106668</v>
      </c>
      <c r="F430" s="4"/>
      <c r="G430" s="4"/>
      <c r="H430" s="21"/>
      <c r="I430" s="136">
        <f>SUM(I429:I429)</f>
        <v>16000.199999999999</v>
      </c>
      <c r="J430" s="63">
        <f t="shared" si="122"/>
        <v>281.69366197183098</v>
      </c>
    </row>
    <row r="432" spans="1:11" ht="34.5" thickBot="1" x14ac:dyDescent="0.55000000000000004">
      <c r="C432" s="98" t="s">
        <v>444</v>
      </c>
    </row>
    <row r="433" spans="1:10" ht="15.75" thickBot="1" x14ac:dyDescent="0.3">
      <c r="A433" s="10" t="s">
        <v>32</v>
      </c>
      <c r="B433" s="10" t="s">
        <v>33</v>
      </c>
      <c r="C433" s="10" t="s">
        <v>34</v>
      </c>
      <c r="D433" s="10" t="s">
        <v>35</v>
      </c>
      <c r="E433" s="10" t="s">
        <v>36</v>
      </c>
      <c r="F433" s="10" t="s">
        <v>37</v>
      </c>
      <c r="G433" s="10" t="s">
        <v>38</v>
      </c>
      <c r="H433" s="132" t="s">
        <v>40</v>
      </c>
      <c r="I433" s="46" t="s">
        <v>415</v>
      </c>
      <c r="J433" s="46" t="s">
        <v>420</v>
      </c>
    </row>
    <row r="434" spans="1:10" x14ac:dyDescent="0.25">
      <c r="A434" s="72" t="s">
        <v>298</v>
      </c>
      <c r="B434" s="58" t="s">
        <v>342</v>
      </c>
      <c r="C434" s="90">
        <v>200741.52</v>
      </c>
      <c r="D434" s="90">
        <f t="shared" ref="D434:D440" si="123">+C434*10%</f>
        <v>20074.152000000002</v>
      </c>
      <c r="E434" s="90">
        <f t="shared" ref="E434:E440" si="124">+C434-D434</f>
        <v>180667.36799999999</v>
      </c>
      <c r="F434" s="74" t="s">
        <v>329</v>
      </c>
      <c r="G434" s="87">
        <v>45485</v>
      </c>
      <c r="H434" s="75"/>
      <c r="I434" s="133">
        <f t="shared" ref="I434:I440" si="125">E434*15%</f>
        <v>27100.105199999998</v>
      </c>
      <c r="J434" s="64">
        <f t="shared" ref="J434:J441" si="126">+I434/56.8</f>
        <v>477.11452816901408</v>
      </c>
    </row>
    <row r="435" spans="1:10" x14ac:dyDescent="0.25">
      <c r="A435" s="72" t="s">
        <v>53</v>
      </c>
      <c r="B435" s="47" t="s">
        <v>343</v>
      </c>
      <c r="C435" s="90">
        <v>7250</v>
      </c>
      <c r="D435" s="90">
        <f t="shared" si="123"/>
        <v>725</v>
      </c>
      <c r="E435" s="90">
        <f t="shared" si="124"/>
        <v>6525</v>
      </c>
      <c r="F435" s="74">
        <v>45448</v>
      </c>
      <c r="G435" s="87">
        <v>45493</v>
      </c>
      <c r="H435" s="75"/>
      <c r="I435" s="133">
        <f t="shared" si="125"/>
        <v>978.75</v>
      </c>
      <c r="J435" s="64">
        <f t="shared" si="126"/>
        <v>17.231514084507044</v>
      </c>
    </row>
    <row r="436" spans="1:10" x14ac:dyDescent="0.25">
      <c r="A436" s="72" t="s">
        <v>336</v>
      </c>
      <c r="B436" s="153" t="s">
        <v>344</v>
      </c>
      <c r="C436" s="90">
        <v>5372.8</v>
      </c>
      <c r="D436" s="90">
        <f t="shared" si="123"/>
        <v>537.28000000000009</v>
      </c>
      <c r="E436" s="90">
        <f t="shared" si="124"/>
        <v>4835.5200000000004</v>
      </c>
      <c r="F436" s="74">
        <v>45448</v>
      </c>
      <c r="G436" s="87">
        <v>45478</v>
      </c>
      <c r="H436" s="75"/>
      <c r="I436" s="133">
        <f t="shared" si="125"/>
        <v>725.32800000000009</v>
      </c>
      <c r="J436" s="64">
        <f t="shared" si="126"/>
        <v>12.769859154929579</v>
      </c>
    </row>
    <row r="437" spans="1:10" x14ac:dyDescent="0.25">
      <c r="A437" s="72" t="s">
        <v>47</v>
      </c>
      <c r="B437" s="153" t="s">
        <v>345</v>
      </c>
      <c r="C437" s="90">
        <v>26648</v>
      </c>
      <c r="D437" s="90">
        <f t="shared" si="123"/>
        <v>2664.8</v>
      </c>
      <c r="E437" s="90">
        <f t="shared" si="124"/>
        <v>23983.200000000001</v>
      </c>
      <c r="F437" s="74">
        <v>45448</v>
      </c>
      <c r="G437" s="87">
        <v>45478</v>
      </c>
      <c r="H437" s="75"/>
      <c r="I437" s="133">
        <f t="shared" si="125"/>
        <v>3597.48</v>
      </c>
      <c r="J437" s="64">
        <f t="shared" si="126"/>
        <v>63.335915492957753</v>
      </c>
    </row>
    <row r="438" spans="1:10" x14ac:dyDescent="0.25">
      <c r="A438" s="72" t="s">
        <v>77</v>
      </c>
      <c r="B438" s="153" t="s">
        <v>346</v>
      </c>
      <c r="C438" s="90">
        <v>2500</v>
      </c>
      <c r="D438" s="90">
        <f t="shared" si="123"/>
        <v>250</v>
      </c>
      <c r="E438" s="90">
        <f t="shared" si="124"/>
        <v>2250</v>
      </c>
      <c r="F438" s="74"/>
      <c r="G438" s="87"/>
      <c r="H438" s="75"/>
      <c r="I438" s="133">
        <f t="shared" si="125"/>
        <v>337.5</v>
      </c>
      <c r="J438" s="64">
        <f t="shared" si="126"/>
        <v>5.9419014084507049</v>
      </c>
    </row>
    <row r="439" spans="1:10" x14ac:dyDescent="0.25">
      <c r="A439" s="72" t="s">
        <v>70</v>
      </c>
      <c r="B439" s="153" t="s">
        <v>347</v>
      </c>
      <c r="C439" s="90">
        <v>2430</v>
      </c>
      <c r="D439" s="90">
        <f t="shared" si="123"/>
        <v>243</v>
      </c>
      <c r="E439" s="90">
        <f t="shared" si="124"/>
        <v>2187</v>
      </c>
      <c r="F439" s="74"/>
      <c r="G439" s="87"/>
      <c r="H439" s="75"/>
      <c r="I439" s="133">
        <f t="shared" si="125"/>
        <v>328.05</v>
      </c>
      <c r="J439" s="64">
        <f t="shared" si="126"/>
        <v>5.7755281690140849</v>
      </c>
    </row>
    <row r="440" spans="1:10" x14ac:dyDescent="0.25">
      <c r="A440" s="72" t="s">
        <v>93</v>
      </c>
      <c r="B440" s="153" t="s">
        <v>348</v>
      </c>
      <c r="C440" s="90">
        <v>32325</v>
      </c>
      <c r="D440" s="90">
        <f t="shared" si="123"/>
        <v>3232.5</v>
      </c>
      <c r="E440" s="90">
        <f t="shared" si="124"/>
        <v>29092.5</v>
      </c>
      <c r="F440" s="74"/>
      <c r="G440" s="87"/>
      <c r="H440" s="75"/>
      <c r="I440" s="133">
        <f t="shared" si="125"/>
        <v>4363.875</v>
      </c>
      <c r="J440" s="64">
        <f t="shared" si="126"/>
        <v>76.828785211267615</v>
      </c>
    </row>
    <row r="441" spans="1:10" ht="19.5" thickBot="1" x14ac:dyDescent="0.35">
      <c r="A441" s="65" t="s">
        <v>398</v>
      </c>
      <c r="B441" s="66"/>
      <c r="C441" s="67">
        <f>SUM(C434:C440)</f>
        <v>277267.31999999995</v>
      </c>
      <c r="D441" s="67">
        <f>SUM(D434:D440)</f>
        <v>27726.732</v>
      </c>
      <c r="E441" s="85">
        <f>SUM(E434:E440)</f>
        <v>249540.58799999999</v>
      </c>
      <c r="F441" s="4"/>
      <c r="G441" s="4"/>
      <c r="H441" s="21"/>
      <c r="I441" s="136">
        <f>SUM(I434:I440)</f>
        <v>37431.088199999998</v>
      </c>
      <c r="J441" s="63">
        <f t="shared" si="126"/>
        <v>658.99803169014081</v>
      </c>
    </row>
    <row r="445" spans="1:10" ht="34.5" thickBot="1" x14ac:dyDescent="0.55000000000000004">
      <c r="C445" s="98" t="s">
        <v>2229</v>
      </c>
    </row>
    <row r="446" spans="1:10" ht="15.75" thickBot="1" x14ac:dyDescent="0.3">
      <c r="A446" s="10" t="s">
        <v>32</v>
      </c>
      <c r="B446" s="10" t="s">
        <v>33</v>
      </c>
      <c r="C446" s="10" t="s">
        <v>34</v>
      </c>
      <c r="D446" s="10" t="s">
        <v>35</v>
      </c>
      <c r="E446" s="10" t="s">
        <v>36</v>
      </c>
      <c r="F446" s="10" t="s">
        <v>37</v>
      </c>
      <c r="G446" s="10" t="s">
        <v>38</v>
      </c>
      <c r="H446" s="132" t="s">
        <v>40</v>
      </c>
      <c r="I446" s="46" t="s">
        <v>415</v>
      </c>
      <c r="J446" s="46" t="s">
        <v>420</v>
      </c>
    </row>
    <row r="447" spans="1:10" x14ac:dyDescent="0.25">
      <c r="A447" s="72" t="s">
        <v>298</v>
      </c>
      <c r="B447" s="58" t="s">
        <v>349</v>
      </c>
      <c r="C447" s="90">
        <v>32060</v>
      </c>
      <c r="D447" s="90">
        <f t="shared" ref="D447:D453" si="127">+C447*10%</f>
        <v>3206</v>
      </c>
      <c r="E447" s="90">
        <f t="shared" ref="E447:E452" si="128">+C447-D447</f>
        <v>28854</v>
      </c>
      <c r="F447" s="74">
        <v>45539</v>
      </c>
      <c r="G447" s="87" t="s">
        <v>350</v>
      </c>
      <c r="H447" s="75"/>
      <c r="I447" s="133">
        <f t="shared" ref="I447:I453" si="129">E447*15%</f>
        <v>4328.0999999999995</v>
      </c>
      <c r="J447" s="64">
        <f t="shared" ref="J447:J454" si="130">+I447/56.8</f>
        <v>76.198943661971825</v>
      </c>
    </row>
    <row r="448" spans="1:10" x14ac:dyDescent="0.25">
      <c r="A448" s="72" t="s">
        <v>53</v>
      </c>
      <c r="B448" s="47" t="s">
        <v>351</v>
      </c>
      <c r="C448" s="90">
        <v>56124</v>
      </c>
      <c r="D448" s="90">
        <f t="shared" si="127"/>
        <v>5612.4000000000005</v>
      </c>
      <c r="E448" s="90">
        <f t="shared" si="128"/>
        <v>50511.6</v>
      </c>
      <c r="F448" s="74">
        <v>45540</v>
      </c>
      <c r="G448" s="87">
        <v>45570</v>
      </c>
      <c r="H448" s="75"/>
      <c r="I448" s="133">
        <f t="shared" si="129"/>
        <v>7576.74</v>
      </c>
      <c r="J448" s="64">
        <f t="shared" si="130"/>
        <v>133.39330985915493</v>
      </c>
    </row>
    <row r="449" spans="1:10" x14ac:dyDescent="0.25">
      <c r="A449" s="72" t="s">
        <v>336</v>
      </c>
      <c r="B449" s="153" t="s">
        <v>352</v>
      </c>
      <c r="C449" s="90">
        <v>33501.089999999997</v>
      </c>
      <c r="D449" s="90">
        <f t="shared" si="127"/>
        <v>3350.1089999999999</v>
      </c>
      <c r="E449" s="90">
        <f t="shared" si="128"/>
        <v>30150.980999999996</v>
      </c>
      <c r="F449" s="74">
        <v>45540</v>
      </c>
      <c r="G449" s="87">
        <v>45570</v>
      </c>
      <c r="H449" s="75"/>
      <c r="I449" s="133">
        <f t="shared" si="129"/>
        <v>4522.6471499999989</v>
      </c>
      <c r="J449" s="64">
        <f t="shared" si="130"/>
        <v>79.624069542253508</v>
      </c>
    </row>
    <row r="450" spans="1:10" x14ac:dyDescent="0.25">
      <c r="A450" s="72" t="s">
        <v>47</v>
      </c>
      <c r="B450" s="153" t="s">
        <v>353</v>
      </c>
      <c r="C450" s="90">
        <v>102411.5</v>
      </c>
      <c r="D450" s="90">
        <f t="shared" si="127"/>
        <v>10241.150000000001</v>
      </c>
      <c r="E450" s="90">
        <f t="shared" si="128"/>
        <v>92170.35</v>
      </c>
      <c r="F450" s="74">
        <v>45540</v>
      </c>
      <c r="G450" s="87">
        <v>45585</v>
      </c>
      <c r="H450" s="75"/>
      <c r="I450" s="133">
        <f t="shared" si="129"/>
        <v>13825.5525</v>
      </c>
      <c r="J450" s="64">
        <f t="shared" si="130"/>
        <v>243.40761443661972</v>
      </c>
    </row>
    <row r="451" spans="1:10" x14ac:dyDescent="0.25">
      <c r="A451" s="72" t="s">
        <v>83</v>
      </c>
      <c r="B451" s="153" t="s">
        <v>354</v>
      </c>
      <c r="C451" s="90">
        <v>34300</v>
      </c>
      <c r="D451" s="90">
        <f t="shared" si="127"/>
        <v>3430</v>
      </c>
      <c r="E451" s="90">
        <f t="shared" si="128"/>
        <v>30870</v>
      </c>
      <c r="F451" s="74">
        <v>45540</v>
      </c>
      <c r="G451" s="87">
        <v>45586</v>
      </c>
      <c r="H451" s="75"/>
      <c r="I451" s="133">
        <f t="shared" si="129"/>
        <v>4630.5</v>
      </c>
      <c r="J451" s="64">
        <f t="shared" si="130"/>
        <v>81.522887323943664</v>
      </c>
    </row>
    <row r="452" spans="1:10" x14ac:dyDescent="0.25">
      <c r="A452" s="72" t="s">
        <v>237</v>
      </c>
      <c r="B452" s="153" t="s">
        <v>355</v>
      </c>
      <c r="C452" s="90">
        <v>21468.7</v>
      </c>
      <c r="D452" s="90">
        <f t="shared" si="127"/>
        <v>2146.8700000000003</v>
      </c>
      <c r="E452" s="90">
        <f t="shared" si="128"/>
        <v>19321.830000000002</v>
      </c>
      <c r="F452" s="74">
        <v>45540</v>
      </c>
      <c r="G452" s="87">
        <v>45570</v>
      </c>
      <c r="H452" s="75"/>
      <c r="I452" s="133">
        <f t="shared" si="129"/>
        <v>2898.2745</v>
      </c>
      <c r="J452" s="64">
        <f t="shared" si="130"/>
        <v>51.025959507042259</v>
      </c>
    </row>
    <row r="453" spans="1:10" x14ac:dyDescent="0.25">
      <c r="A453" s="72" t="s">
        <v>187</v>
      </c>
      <c r="B453" s="153" t="s">
        <v>356</v>
      </c>
      <c r="C453" s="90">
        <v>6760.38</v>
      </c>
      <c r="D453" s="90">
        <f t="shared" si="127"/>
        <v>676.03800000000001</v>
      </c>
      <c r="E453" s="90">
        <v>4056.24</v>
      </c>
      <c r="F453" s="74"/>
      <c r="G453" s="87"/>
      <c r="H453" s="75"/>
      <c r="I453" s="133">
        <f t="shared" si="129"/>
        <v>608.43599999999992</v>
      </c>
      <c r="J453" s="64">
        <f t="shared" si="130"/>
        <v>10.711901408450704</v>
      </c>
    </row>
    <row r="454" spans="1:10" ht="19.5" thickBot="1" x14ac:dyDescent="0.35">
      <c r="A454" s="65" t="s">
        <v>398</v>
      </c>
      <c r="B454" s="66"/>
      <c r="C454" s="67">
        <f>SUM(C447:C453)</f>
        <v>286625.67</v>
      </c>
      <c r="D454" s="67">
        <f>SUM(D447:D453)</f>
        <v>28662.567000000003</v>
      </c>
      <c r="E454" s="85">
        <f>SUM(E447:E453)</f>
        <v>255935.00099999999</v>
      </c>
      <c r="F454" s="4"/>
      <c r="G454" s="4"/>
      <c r="H454" s="21"/>
      <c r="I454" s="136">
        <f>SUM(I447:I453)</f>
        <v>38390.25015</v>
      </c>
      <c r="J454" s="63">
        <f t="shared" si="130"/>
        <v>675.88468573943669</v>
      </c>
    </row>
    <row r="458" spans="1:10" ht="34.5" thickBot="1" x14ac:dyDescent="0.55000000000000004">
      <c r="C458" s="98" t="s">
        <v>445</v>
      </c>
    </row>
    <row r="459" spans="1:10" ht="15.75" thickBot="1" x14ac:dyDescent="0.3">
      <c r="A459" s="10" t="s">
        <v>32</v>
      </c>
      <c r="B459" s="10" t="s">
        <v>33</v>
      </c>
      <c r="C459" s="10" t="s">
        <v>34</v>
      </c>
      <c r="D459" s="10" t="s">
        <v>35</v>
      </c>
      <c r="E459" s="10" t="s">
        <v>36</v>
      </c>
      <c r="F459" s="10" t="s">
        <v>37</v>
      </c>
      <c r="G459" s="10" t="s">
        <v>38</v>
      </c>
      <c r="H459" s="132" t="s">
        <v>40</v>
      </c>
      <c r="I459" s="46" t="s">
        <v>415</v>
      </c>
      <c r="J459" s="46" t="s">
        <v>420</v>
      </c>
    </row>
    <row r="460" spans="1:10" x14ac:dyDescent="0.25">
      <c r="A460" s="72" t="s">
        <v>298</v>
      </c>
      <c r="B460" s="58" t="s">
        <v>357</v>
      </c>
      <c r="C460" s="90">
        <v>191243</v>
      </c>
      <c r="D460" s="90">
        <f t="shared" ref="D460:D463" si="131">+C460*10%</f>
        <v>19124.3</v>
      </c>
      <c r="E460" s="90">
        <f t="shared" ref="E460:E463" si="132">+C460-D460</f>
        <v>172118.7</v>
      </c>
      <c r="F460" s="74">
        <v>45569</v>
      </c>
      <c r="G460" s="87">
        <v>45608</v>
      </c>
      <c r="H460" s="75"/>
      <c r="I460" s="133">
        <f t="shared" ref="I460:I463" si="133">E460*15%</f>
        <v>25817.805</v>
      </c>
      <c r="J460" s="64">
        <f t="shared" ref="J460:J464" si="134">+I460/56.8</f>
        <v>454.53882042253525</v>
      </c>
    </row>
    <row r="461" spans="1:10" x14ac:dyDescent="0.25">
      <c r="A461" s="72" t="s">
        <v>336</v>
      </c>
      <c r="B461" s="154" t="s">
        <v>358</v>
      </c>
      <c r="C461" s="90">
        <v>18753</v>
      </c>
      <c r="D461" s="90">
        <f t="shared" si="131"/>
        <v>1875.3000000000002</v>
      </c>
      <c r="E461" s="90">
        <f t="shared" si="132"/>
        <v>16877.7</v>
      </c>
      <c r="F461" s="74">
        <v>45569</v>
      </c>
      <c r="G461" s="87">
        <v>45601</v>
      </c>
      <c r="H461" s="75"/>
      <c r="I461" s="133">
        <f t="shared" si="133"/>
        <v>2531.6550000000002</v>
      </c>
      <c r="J461" s="64">
        <f t="shared" si="134"/>
        <v>44.571390845070425</v>
      </c>
    </row>
    <row r="462" spans="1:10" x14ac:dyDescent="0.25">
      <c r="A462" s="72" t="s">
        <v>68</v>
      </c>
      <c r="B462" s="154" t="s">
        <v>359</v>
      </c>
      <c r="C462" s="90">
        <v>136000</v>
      </c>
      <c r="D462" s="90">
        <f t="shared" si="131"/>
        <v>13600</v>
      </c>
      <c r="E462" s="90">
        <f t="shared" si="132"/>
        <v>122400</v>
      </c>
      <c r="F462" s="74">
        <v>45569</v>
      </c>
      <c r="G462" s="87">
        <v>45606</v>
      </c>
      <c r="H462" s="75"/>
      <c r="I462" s="133">
        <f t="shared" si="133"/>
        <v>18360</v>
      </c>
      <c r="J462" s="64">
        <f t="shared" si="134"/>
        <v>323.23943661971833</v>
      </c>
    </row>
    <row r="463" spans="1:10" x14ac:dyDescent="0.25">
      <c r="A463" s="72" t="s">
        <v>287</v>
      </c>
      <c r="B463" s="153" t="s">
        <v>361</v>
      </c>
      <c r="C463" s="90">
        <v>31125</v>
      </c>
      <c r="D463" s="90">
        <f t="shared" si="131"/>
        <v>3112.5</v>
      </c>
      <c r="E463" s="90">
        <f t="shared" si="132"/>
        <v>28012.5</v>
      </c>
      <c r="F463" s="74">
        <v>45569</v>
      </c>
      <c r="G463" s="87">
        <v>45608</v>
      </c>
      <c r="H463" s="75"/>
      <c r="I463" s="133">
        <f t="shared" si="133"/>
        <v>4201.875</v>
      </c>
      <c r="J463" s="64">
        <f t="shared" si="134"/>
        <v>73.976672535211264</v>
      </c>
    </row>
    <row r="464" spans="1:10" ht="19.5" thickBot="1" x14ac:dyDescent="0.35">
      <c r="A464" s="65" t="s">
        <v>398</v>
      </c>
      <c r="B464" s="66"/>
      <c r="C464" s="67">
        <f>SUM(C460:C463)</f>
        <v>377121</v>
      </c>
      <c r="D464" s="67">
        <f>SUM(D460:D463)</f>
        <v>37712.1</v>
      </c>
      <c r="E464" s="85">
        <f>SUM(E460:E463)</f>
        <v>339408.9</v>
      </c>
      <c r="F464" s="4"/>
      <c r="G464" s="4"/>
      <c r="H464" s="21"/>
      <c r="I464" s="136">
        <f>SUM(I460:I463)</f>
        <v>50911.334999999999</v>
      </c>
      <c r="J464" s="63">
        <f t="shared" si="134"/>
        <v>896.32632042253522</v>
      </c>
    </row>
    <row r="468" spans="1:10" ht="34.5" thickBot="1" x14ac:dyDescent="0.55000000000000004">
      <c r="C468" s="98" t="s">
        <v>446</v>
      </c>
    </row>
    <row r="469" spans="1:10" ht="15.75" thickBot="1" x14ac:dyDescent="0.3">
      <c r="A469" s="10" t="s">
        <v>32</v>
      </c>
      <c r="B469" s="10" t="s">
        <v>33</v>
      </c>
      <c r="C469" s="10" t="s">
        <v>34</v>
      </c>
      <c r="D469" s="10" t="s">
        <v>35</v>
      </c>
      <c r="E469" s="10" t="s">
        <v>36</v>
      </c>
      <c r="F469" s="10" t="s">
        <v>37</v>
      </c>
      <c r="G469" s="10" t="s">
        <v>38</v>
      </c>
      <c r="H469" s="132" t="s">
        <v>40</v>
      </c>
      <c r="I469" s="46" t="s">
        <v>415</v>
      </c>
      <c r="J469" s="46" t="s">
        <v>420</v>
      </c>
    </row>
    <row r="470" spans="1:10" x14ac:dyDescent="0.25">
      <c r="A470" s="72" t="s">
        <v>298</v>
      </c>
      <c r="B470" s="58" t="s">
        <v>362</v>
      </c>
      <c r="C470" s="90">
        <v>97200</v>
      </c>
      <c r="D470" s="90">
        <f t="shared" ref="D470:D473" si="135">+C470*10%</f>
        <v>9720</v>
      </c>
      <c r="E470" s="90">
        <f t="shared" ref="E470:E473" si="136">+C470-D470</f>
        <v>87480</v>
      </c>
      <c r="F470" s="74">
        <v>45601</v>
      </c>
      <c r="G470" s="87">
        <v>45638</v>
      </c>
      <c r="H470" s="75"/>
      <c r="I470" s="133">
        <f t="shared" ref="I470:I473" si="137">E470*15%</f>
        <v>13122</v>
      </c>
      <c r="J470" s="64">
        <f t="shared" ref="J470:J474" si="138">+I470/56.8</f>
        <v>231.02112676056339</v>
      </c>
    </row>
    <row r="471" spans="1:10" x14ac:dyDescent="0.25">
      <c r="A471" s="72" t="s">
        <v>363</v>
      </c>
      <c r="B471" s="47" t="s">
        <v>364</v>
      </c>
      <c r="C471" s="90">
        <v>2275</v>
      </c>
      <c r="D471" s="90">
        <f t="shared" si="135"/>
        <v>227.5</v>
      </c>
      <c r="E471" s="90">
        <f t="shared" si="136"/>
        <v>2047.5</v>
      </c>
      <c r="F471" s="74">
        <v>45631</v>
      </c>
      <c r="G471" s="87">
        <v>45631</v>
      </c>
      <c r="H471" s="75"/>
      <c r="I471" s="133">
        <f t="shared" si="137"/>
        <v>307.125</v>
      </c>
      <c r="J471" s="64">
        <f t="shared" si="138"/>
        <v>5.407130281690141</v>
      </c>
    </row>
    <row r="472" spans="1:10" x14ac:dyDescent="0.25">
      <c r="A472" s="72" t="s">
        <v>239</v>
      </c>
      <c r="B472" s="154" t="s">
        <v>367</v>
      </c>
      <c r="C472" s="90">
        <v>3638.4</v>
      </c>
      <c r="D472" s="90">
        <f t="shared" si="135"/>
        <v>363.84000000000003</v>
      </c>
      <c r="E472" s="90">
        <f t="shared" si="136"/>
        <v>3274.56</v>
      </c>
      <c r="F472" s="74">
        <v>45601</v>
      </c>
      <c r="G472" s="87">
        <v>45647</v>
      </c>
      <c r="H472" s="75"/>
      <c r="I472" s="133">
        <f t="shared" si="137"/>
        <v>491.18399999999997</v>
      </c>
      <c r="J472" s="64">
        <f t="shared" si="138"/>
        <v>8.6476056338028169</v>
      </c>
    </row>
    <row r="473" spans="1:10" x14ac:dyDescent="0.25">
      <c r="A473" s="72" t="s">
        <v>336</v>
      </c>
      <c r="B473" s="154" t="s">
        <v>369</v>
      </c>
      <c r="C473" s="90">
        <v>31140.29</v>
      </c>
      <c r="D473" s="90">
        <f t="shared" si="135"/>
        <v>3114.0290000000005</v>
      </c>
      <c r="E473" s="90">
        <f t="shared" si="136"/>
        <v>28026.260999999999</v>
      </c>
      <c r="F473" s="74">
        <v>45601</v>
      </c>
      <c r="G473" s="87">
        <v>45631</v>
      </c>
      <c r="H473" s="75"/>
      <c r="I473" s="133">
        <f t="shared" si="137"/>
        <v>4203.9391499999992</v>
      </c>
      <c r="J473" s="64">
        <f t="shared" si="138"/>
        <v>74.013013204225345</v>
      </c>
    </row>
    <row r="474" spans="1:10" ht="19.5" thickBot="1" x14ac:dyDescent="0.35">
      <c r="A474" s="65" t="s">
        <v>398</v>
      </c>
      <c r="B474" s="66"/>
      <c r="C474" s="67">
        <f>SUM(C470:C473)</f>
        <v>134253.69</v>
      </c>
      <c r="D474" s="67">
        <f>SUM(D470:D473)</f>
        <v>13425.369000000001</v>
      </c>
      <c r="E474" s="85">
        <f>SUM(E470:E473)</f>
        <v>120828.321</v>
      </c>
      <c r="F474" s="4"/>
      <c r="G474" s="4"/>
      <c r="H474" s="21"/>
      <c r="I474" s="136">
        <f>SUM(I470:I473)</f>
        <v>18124.248149999999</v>
      </c>
      <c r="J474" s="63">
        <f t="shared" si="138"/>
        <v>319.08887588028171</v>
      </c>
    </row>
    <row r="477" spans="1:10" ht="34.5" thickBot="1" x14ac:dyDescent="0.55000000000000004">
      <c r="C477" s="98" t="s">
        <v>447</v>
      </c>
    </row>
    <row r="478" spans="1:10" ht="15.75" thickBot="1" x14ac:dyDescent="0.3">
      <c r="A478" s="10" t="s">
        <v>32</v>
      </c>
      <c r="B478" s="10" t="s">
        <v>33</v>
      </c>
      <c r="C478" s="10" t="s">
        <v>34</v>
      </c>
      <c r="D478" s="10" t="s">
        <v>35</v>
      </c>
      <c r="E478" s="10" t="s">
        <v>36</v>
      </c>
      <c r="F478" s="10" t="s">
        <v>37</v>
      </c>
      <c r="G478" s="10" t="s">
        <v>38</v>
      </c>
      <c r="H478" s="132" t="s">
        <v>40</v>
      </c>
      <c r="I478" s="46" t="s">
        <v>415</v>
      </c>
      <c r="J478" s="46" t="s">
        <v>420</v>
      </c>
    </row>
    <row r="479" spans="1:10" x14ac:dyDescent="0.25">
      <c r="A479" s="72" t="s">
        <v>298</v>
      </c>
      <c r="B479" s="58" t="s">
        <v>371</v>
      </c>
      <c r="C479" s="90">
        <v>23056</v>
      </c>
      <c r="D479" s="90">
        <f t="shared" ref="D479:D481" si="139">+C479*10%</f>
        <v>2305.6</v>
      </c>
      <c r="E479" s="90">
        <f t="shared" ref="E479:E481" si="140">+C479-D479</f>
        <v>20750.400000000001</v>
      </c>
      <c r="F479" s="74">
        <v>45629</v>
      </c>
      <c r="G479" s="87">
        <v>45669</v>
      </c>
      <c r="H479" s="75"/>
      <c r="I479" s="133">
        <f t="shared" ref="I479:I481" si="141">E479*15%</f>
        <v>3112.56</v>
      </c>
      <c r="J479" s="64">
        <f t="shared" ref="J479:J484" si="142">+I479/56.8</f>
        <v>54.798591549295779</v>
      </c>
    </row>
    <row r="480" spans="1:10" x14ac:dyDescent="0.25">
      <c r="A480" s="72" t="s">
        <v>239</v>
      </c>
      <c r="B480" s="154" t="s">
        <v>373</v>
      </c>
      <c r="C480" s="90">
        <v>23857</v>
      </c>
      <c r="D480" s="90">
        <f t="shared" si="139"/>
        <v>2385.7000000000003</v>
      </c>
      <c r="E480" s="90">
        <f t="shared" si="140"/>
        <v>21471.3</v>
      </c>
      <c r="F480" s="74">
        <v>45629</v>
      </c>
      <c r="G480" s="87">
        <v>45678</v>
      </c>
      <c r="H480" s="75"/>
      <c r="I480" s="133">
        <f t="shared" si="141"/>
        <v>3220.6949999999997</v>
      </c>
      <c r="J480" s="64">
        <f t="shared" si="142"/>
        <v>56.702376760563375</v>
      </c>
    </row>
    <row r="481" spans="1:10" x14ac:dyDescent="0.25">
      <c r="A481" s="72" t="s">
        <v>336</v>
      </c>
      <c r="B481" s="154" t="s">
        <v>375</v>
      </c>
      <c r="C481" s="90">
        <v>1500</v>
      </c>
      <c r="D481" s="90">
        <f t="shared" si="139"/>
        <v>150</v>
      </c>
      <c r="E481" s="90">
        <f t="shared" si="140"/>
        <v>1350</v>
      </c>
      <c r="F481" s="74">
        <v>45629</v>
      </c>
      <c r="G481" s="87">
        <v>45662</v>
      </c>
      <c r="H481" s="75"/>
      <c r="I481" s="133">
        <f t="shared" si="141"/>
        <v>202.5</v>
      </c>
      <c r="J481" s="64">
        <f t="shared" si="142"/>
        <v>3.5651408450704225</v>
      </c>
    </row>
    <row r="482" spans="1:10" x14ac:dyDescent="0.25">
      <c r="A482" s="72" t="s">
        <v>155</v>
      </c>
      <c r="B482" s="154" t="s">
        <v>377</v>
      </c>
      <c r="C482" s="90">
        <v>16200</v>
      </c>
      <c r="D482" s="90">
        <f>+C482*10%</f>
        <v>1620</v>
      </c>
      <c r="E482" s="90">
        <f>+C482-D482</f>
        <v>14580</v>
      </c>
      <c r="F482" s="74">
        <v>45629</v>
      </c>
      <c r="G482" s="87">
        <v>45662</v>
      </c>
      <c r="H482" s="75"/>
      <c r="I482" s="133">
        <f>E482*15%</f>
        <v>2187</v>
      </c>
      <c r="J482" s="64">
        <f>+I482/56.8</f>
        <v>38.503521126760567</v>
      </c>
    </row>
    <row r="483" spans="1:10" x14ac:dyDescent="0.25">
      <c r="A483" s="72" t="s">
        <v>378</v>
      </c>
      <c r="B483" s="154" t="s">
        <v>379</v>
      </c>
      <c r="C483" s="90">
        <v>14880</v>
      </c>
      <c r="D483" s="90">
        <f>+C483*10%</f>
        <v>1488</v>
      </c>
      <c r="E483" s="90">
        <f>+C483-D483</f>
        <v>13392</v>
      </c>
      <c r="F483" s="74"/>
      <c r="G483" s="87"/>
      <c r="H483" s="75"/>
      <c r="I483" s="133">
        <f>E483*15%</f>
        <v>2008.8</v>
      </c>
      <c r="J483" s="64">
        <f>+I483/56.8</f>
        <v>35.366197183098592</v>
      </c>
    </row>
    <row r="484" spans="1:10" ht="19.5" thickBot="1" x14ac:dyDescent="0.35">
      <c r="A484" s="65" t="s">
        <v>398</v>
      </c>
      <c r="B484" s="66"/>
      <c r="C484" s="67">
        <f>SUM(C479:C481)</f>
        <v>48413</v>
      </c>
      <c r="D484" s="67">
        <f>SUM(D479:D481)</f>
        <v>4841.3</v>
      </c>
      <c r="E484" s="85">
        <f>SUM(E479:E481)</f>
        <v>43571.7</v>
      </c>
      <c r="F484" s="4"/>
      <c r="G484" s="4"/>
      <c r="H484" s="21"/>
      <c r="I484" s="136">
        <f>SUM(I479:I481)</f>
        <v>6535.7549999999992</v>
      </c>
      <c r="J484" s="63">
        <f t="shared" si="142"/>
        <v>115.06610915492956</v>
      </c>
    </row>
    <row r="487" spans="1:10" ht="34.5" thickBot="1" x14ac:dyDescent="0.55000000000000004">
      <c r="C487" s="98" t="s">
        <v>448</v>
      </c>
    </row>
    <row r="488" spans="1:10" ht="15.75" thickBot="1" x14ac:dyDescent="0.3">
      <c r="A488" s="10" t="s">
        <v>32</v>
      </c>
      <c r="B488" s="10" t="s">
        <v>33</v>
      </c>
      <c r="C488" s="10" t="s">
        <v>34</v>
      </c>
      <c r="D488" s="10" t="s">
        <v>35</v>
      </c>
      <c r="E488" s="10" t="s">
        <v>36</v>
      </c>
      <c r="F488" s="10" t="s">
        <v>37</v>
      </c>
      <c r="G488" s="10" t="s">
        <v>38</v>
      </c>
      <c r="H488" s="132" t="s">
        <v>40</v>
      </c>
      <c r="I488" s="46" t="s">
        <v>415</v>
      </c>
      <c r="J488" s="46" t="s">
        <v>420</v>
      </c>
    </row>
    <row r="489" spans="1:10" x14ac:dyDescent="0.25">
      <c r="A489" s="72" t="s">
        <v>298</v>
      </c>
      <c r="B489" s="58" t="s">
        <v>380</v>
      </c>
      <c r="C489" s="190">
        <v>59884</v>
      </c>
      <c r="D489" s="90">
        <f t="shared" ref="D489:D490" si="143">+C489*10%</f>
        <v>5988.4000000000005</v>
      </c>
      <c r="E489" s="90">
        <f t="shared" ref="E489:E490" si="144">+C489-D489</f>
        <v>53895.6</v>
      </c>
      <c r="F489" s="74">
        <v>45693</v>
      </c>
      <c r="G489" s="87">
        <v>45728</v>
      </c>
      <c r="H489" s="75"/>
      <c r="I489" s="133">
        <f t="shared" ref="I489:I490" si="145">E489*15%</f>
        <v>8084.3399999999992</v>
      </c>
      <c r="J489" s="64">
        <f t="shared" ref="J489:J490" si="146">+I489/56.8</f>
        <v>142.32992957746478</v>
      </c>
    </row>
    <row r="490" spans="1:10" x14ac:dyDescent="0.25">
      <c r="A490" s="72" t="s">
        <v>336</v>
      </c>
      <c r="B490" s="154" t="s">
        <v>382</v>
      </c>
      <c r="C490" s="90">
        <v>1275</v>
      </c>
      <c r="D490" s="90">
        <f t="shared" si="143"/>
        <v>127.5</v>
      </c>
      <c r="E490" s="90">
        <f t="shared" si="144"/>
        <v>1147.5</v>
      </c>
      <c r="F490" s="74">
        <v>45693</v>
      </c>
      <c r="G490" s="87">
        <v>45721</v>
      </c>
      <c r="H490" s="75"/>
      <c r="I490" s="133">
        <f t="shared" si="145"/>
        <v>172.125</v>
      </c>
      <c r="J490" s="64">
        <f t="shared" si="146"/>
        <v>3.0303697183098595</v>
      </c>
    </row>
    <row r="491" spans="1:10" x14ac:dyDescent="0.25">
      <c r="A491" s="72" t="s">
        <v>153</v>
      </c>
      <c r="B491" s="154" t="s">
        <v>383</v>
      </c>
      <c r="C491" s="90">
        <v>6291</v>
      </c>
      <c r="D491" s="90">
        <f>+C491*10%</f>
        <v>629.1</v>
      </c>
      <c r="E491" s="90">
        <f>+C491-D491</f>
        <v>5661.9</v>
      </c>
      <c r="F491" s="74">
        <v>45693</v>
      </c>
      <c r="G491" s="87">
        <v>45721</v>
      </c>
      <c r="H491" s="75"/>
      <c r="I491" s="133">
        <f>E491*15%</f>
        <v>849.28499999999997</v>
      </c>
      <c r="J491" s="64">
        <f>+I491/56.8</f>
        <v>14.952200704225353</v>
      </c>
    </row>
    <row r="492" spans="1:10" x14ac:dyDescent="0.25">
      <c r="A492" s="72" t="s">
        <v>51</v>
      </c>
      <c r="B492" s="47" t="s">
        <v>385</v>
      </c>
      <c r="C492" s="90">
        <v>17280</v>
      </c>
      <c r="D492" s="90">
        <f t="shared" ref="D492" si="147">+C492*10%</f>
        <v>1728</v>
      </c>
      <c r="E492" s="90">
        <f t="shared" ref="E492" si="148">+C492-D492</f>
        <v>15552</v>
      </c>
      <c r="F492" s="74">
        <v>45693</v>
      </c>
      <c r="G492" s="87">
        <v>45722</v>
      </c>
      <c r="H492" s="75"/>
      <c r="I492" s="133">
        <f t="shared" ref="I492" si="149">E492*15%</f>
        <v>2332.7999999999997</v>
      </c>
      <c r="J492" s="64">
        <f t="shared" ref="J492" si="150">+I492/56.8</f>
        <v>41.070422535211264</v>
      </c>
    </row>
    <row r="493" spans="1:10" ht="19.5" thickBot="1" x14ac:dyDescent="0.35">
      <c r="A493" s="65" t="s">
        <v>398</v>
      </c>
      <c r="B493" s="66"/>
      <c r="C493" s="67">
        <f>SUM(C489:C492)</f>
        <v>84730</v>
      </c>
      <c r="D493" s="67">
        <f>SUM(D489:D492)</f>
        <v>8473</v>
      </c>
      <c r="E493" s="85">
        <f>SUM(E489:E492)</f>
        <v>76257</v>
      </c>
      <c r="F493" s="4"/>
      <c r="G493" s="4"/>
      <c r="H493" s="21"/>
      <c r="I493" s="136">
        <f>SUM(I489:I490)</f>
        <v>8256.4650000000001</v>
      </c>
      <c r="J493" s="63">
        <f t="shared" ref="J493" si="151">+I493/56.8</f>
        <v>145.36029929577467</v>
      </c>
    </row>
    <row r="495" spans="1:10" ht="34.5" thickBot="1" x14ac:dyDescent="0.55000000000000004">
      <c r="C495" s="98" t="s">
        <v>449</v>
      </c>
    </row>
    <row r="496" spans="1:10" ht="15.75" thickBot="1" x14ac:dyDescent="0.3">
      <c r="A496" s="10" t="s">
        <v>32</v>
      </c>
      <c r="B496" s="10" t="s">
        <v>33</v>
      </c>
      <c r="C496" s="10" t="s">
        <v>34</v>
      </c>
      <c r="D496" s="10" t="s">
        <v>35</v>
      </c>
      <c r="E496" s="10" t="s">
        <v>36</v>
      </c>
      <c r="F496" s="10" t="s">
        <v>37</v>
      </c>
      <c r="G496" s="10" t="s">
        <v>38</v>
      </c>
      <c r="H496" s="132" t="s">
        <v>40</v>
      </c>
      <c r="I496" s="46" t="s">
        <v>415</v>
      </c>
      <c r="J496" s="46" t="s">
        <v>420</v>
      </c>
    </row>
    <row r="497" spans="1:10" x14ac:dyDescent="0.25">
      <c r="A497" s="72" t="s">
        <v>298</v>
      </c>
      <c r="B497" s="58" t="s">
        <v>387</v>
      </c>
      <c r="C497" s="333">
        <v>103680</v>
      </c>
      <c r="D497" s="90">
        <f t="shared" ref="D497:D498" si="152">+C497*10%</f>
        <v>10368</v>
      </c>
      <c r="E497" s="90">
        <f t="shared" ref="E497:E498" si="153">+C497-D497</f>
        <v>93312</v>
      </c>
      <c r="F497" s="74">
        <v>45693</v>
      </c>
      <c r="G497" s="87">
        <v>45728</v>
      </c>
      <c r="H497" s="75"/>
      <c r="I497" s="133">
        <f t="shared" ref="I497:I498" si="154">E497*15%</f>
        <v>13996.8</v>
      </c>
      <c r="J497" s="64">
        <f t="shared" ref="J497:J498" si="155">+I497/56.8</f>
        <v>246.42253521126761</v>
      </c>
    </row>
    <row r="498" spans="1:10" x14ac:dyDescent="0.25">
      <c r="A498" s="72" t="s">
        <v>239</v>
      </c>
      <c r="B498" s="153" t="s">
        <v>388</v>
      </c>
      <c r="C498" s="90">
        <v>4752</v>
      </c>
      <c r="D498" s="90">
        <f t="shared" si="152"/>
        <v>475.20000000000005</v>
      </c>
      <c r="E498" s="90">
        <f t="shared" si="153"/>
        <v>4276.8</v>
      </c>
      <c r="F498" s="74">
        <v>45693</v>
      </c>
      <c r="G498" s="87">
        <v>45721</v>
      </c>
      <c r="H498" s="75"/>
      <c r="I498" s="133">
        <f t="shared" si="154"/>
        <v>641.52</v>
      </c>
      <c r="J498" s="64">
        <f t="shared" si="155"/>
        <v>11.294366197183098</v>
      </c>
    </row>
    <row r="499" spans="1:10" x14ac:dyDescent="0.25">
      <c r="A499" s="72" t="s">
        <v>130</v>
      </c>
      <c r="B499" s="154" t="s">
        <v>389</v>
      </c>
      <c r="C499" s="90">
        <v>8925</v>
      </c>
      <c r="D499" s="90">
        <f>+C499*10%</f>
        <v>892.5</v>
      </c>
      <c r="E499" s="90">
        <f>+C499-D499</f>
        <v>8032.5</v>
      </c>
      <c r="F499" s="74">
        <v>45693</v>
      </c>
      <c r="G499" s="87">
        <v>45721</v>
      </c>
      <c r="H499" s="75"/>
      <c r="I499" s="133">
        <f>E499*15%</f>
        <v>1204.875</v>
      </c>
      <c r="J499" s="64">
        <f>+I499/56.8</f>
        <v>21.212588028169016</v>
      </c>
    </row>
    <row r="500" spans="1:10" ht="19.5" thickBot="1" x14ac:dyDescent="0.35">
      <c r="A500" s="65" t="s">
        <v>398</v>
      </c>
      <c r="B500" s="66"/>
      <c r="C500" s="67">
        <f>SUM(C497:C499)</f>
        <v>117357</v>
      </c>
      <c r="D500" s="67">
        <f>SUM(D497:D499)</f>
        <v>11735.7</v>
      </c>
      <c r="E500" s="85">
        <f>SUM(E497:E499)</f>
        <v>105621.3</v>
      </c>
      <c r="F500" s="4"/>
      <c r="G500" s="4"/>
      <c r="H500" s="21"/>
      <c r="I500" s="136">
        <f>SUM(I497:I498)</f>
        <v>14638.32</v>
      </c>
      <c r="J500" s="63">
        <f t="shared" ref="J500" si="156">+I500/56.8</f>
        <v>257.71690140845072</v>
      </c>
    </row>
    <row r="503" spans="1:10" ht="34.5" thickBot="1" x14ac:dyDescent="0.55000000000000004">
      <c r="C503" s="98" t="s">
        <v>450</v>
      </c>
    </row>
    <row r="504" spans="1:10" ht="15.75" thickBot="1" x14ac:dyDescent="0.3">
      <c r="A504" s="10" t="s">
        <v>32</v>
      </c>
      <c r="B504" s="10" t="s">
        <v>33</v>
      </c>
      <c r="C504" s="10" t="s">
        <v>34</v>
      </c>
      <c r="D504" s="10" t="s">
        <v>35</v>
      </c>
      <c r="E504" s="10" t="s">
        <v>36</v>
      </c>
      <c r="F504" s="10" t="s">
        <v>37</v>
      </c>
      <c r="G504" s="10" t="s">
        <v>38</v>
      </c>
      <c r="H504" s="132" t="s">
        <v>40</v>
      </c>
      <c r="I504" s="46" t="s">
        <v>415</v>
      </c>
      <c r="J504" s="46" t="s">
        <v>420</v>
      </c>
    </row>
    <row r="505" spans="1:10" x14ac:dyDescent="0.25">
      <c r="A505" s="72" t="s">
        <v>298</v>
      </c>
      <c r="B505" s="58" t="s">
        <v>390</v>
      </c>
      <c r="C505" s="333">
        <v>17496</v>
      </c>
      <c r="D505" s="90">
        <f t="shared" ref="D505:D506" si="157">+C505*10%</f>
        <v>1749.6000000000001</v>
      </c>
      <c r="E505" s="90">
        <f t="shared" ref="E505:E506" si="158">+C505-D505</f>
        <v>15746.4</v>
      </c>
      <c r="F505" s="74">
        <v>45752</v>
      </c>
      <c r="G505" s="87">
        <v>45789</v>
      </c>
      <c r="H505" s="75"/>
      <c r="I505" s="133">
        <f t="shared" ref="I505:I506" si="159">E505*15%</f>
        <v>2361.96</v>
      </c>
      <c r="J505" s="64">
        <f t="shared" ref="J505:J506" si="160">+I505/56.8</f>
        <v>41.583802816901411</v>
      </c>
    </row>
    <row r="506" spans="1:10" x14ac:dyDescent="0.25">
      <c r="A506" s="72" t="s">
        <v>239</v>
      </c>
      <c r="B506" s="153" t="s">
        <v>389</v>
      </c>
      <c r="C506" s="90">
        <v>2138.4</v>
      </c>
      <c r="D506" s="90">
        <f t="shared" si="157"/>
        <v>213.84000000000003</v>
      </c>
      <c r="E506" s="90">
        <f t="shared" si="158"/>
        <v>1924.56</v>
      </c>
      <c r="F506" s="74">
        <v>45752</v>
      </c>
      <c r="G506" s="87">
        <v>45782</v>
      </c>
      <c r="H506" s="75"/>
      <c r="I506" s="133">
        <f t="shared" si="159"/>
        <v>288.68399999999997</v>
      </c>
      <c r="J506" s="64">
        <f t="shared" si="160"/>
        <v>5.0824647887323939</v>
      </c>
    </row>
    <row r="507" spans="1:10" x14ac:dyDescent="0.25">
      <c r="A507" s="72" t="s">
        <v>155</v>
      </c>
      <c r="B507" s="154" t="s">
        <v>392</v>
      </c>
      <c r="C507" s="90">
        <v>4204.4399999999996</v>
      </c>
      <c r="D507" s="90">
        <f t="shared" ref="D507" si="161">+C507*10%</f>
        <v>420.44399999999996</v>
      </c>
      <c r="E507" s="90">
        <f t="shared" ref="E507" si="162">+C507-D507</f>
        <v>3783.9959999999996</v>
      </c>
      <c r="F507" s="74">
        <v>45752</v>
      </c>
      <c r="G507" s="87">
        <v>45783</v>
      </c>
      <c r="H507" s="75"/>
      <c r="I507" s="133">
        <f t="shared" ref="I507" si="163">E507*15%</f>
        <v>567.59939999999995</v>
      </c>
      <c r="J507" s="64">
        <f t="shared" ref="J507:J508" si="164">+I507/56.8</f>
        <v>9.9929471830985914</v>
      </c>
    </row>
    <row r="508" spans="1:10" ht="19.5" thickBot="1" x14ac:dyDescent="0.35">
      <c r="A508" s="65" t="s">
        <v>398</v>
      </c>
      <c r="B508" s="66"/>
      <c r="C508" s="67">
        <f>SUM(C505:C507)</f>
        <v>23838.84</v>
      </c>
      <c r="D508" s="67">
        <f>SUM(D505:D507)</f>
        <v>2383.884</v>
      </c>
      <c r="E508" s="85">
        <f>SUM(E505:E507)</f>
        <v>21454.955999999998</v>
      </c>
      <c r="F508" s="4"/>
      <c r="G508" s="4"/>
      <c r="H508" s="21"/>
      <c r="I508" s="136">
        <f>SUM(I505:I506)</f>
        <v>2650.6440000000002</v>
      </c>
      <c r="J508" s="63">
        <f t="shared" si="164"/>
        <v>46.666267605633806</v>
      </c>
    </row>
    <row r="511" spans="1:10" ht="34.5" thickBot="1" x14ac:dyDescent="0.55000000000000004">
      <c r="C511" s="98" t="s">
        <v>2207</v>
      </c>
    </row>
    <row r="512" spans="1:10" ht="15.75" thickBot="1" x14ac:dyDescent="0.3">
      <c r="A512" s="10" t="s">
        <v>32</v>
      </c>
      <c r="B512" s="10" t="s">
        <v>33</v>
      </c>
      <c r="C512" s="10" t="s">
        <v>34</v>
      </c>
      <c r="D512" s="10" t="s">
        <v>35</v>
      </c>
      <c r="E512" s="10" t="s">
        <v>36</v>
      </c>
      <c r="F512" s="10" t="s">
        <v>37</v>
      </c>
      <c r="G512" s="10" t="s">
        <v>38</v>
      </c>
      <c r="H512" s="132" t="s">
        <v>40</v>
      </c>
      <c r="I512" s="46" t="s">
        <v>415</v>
      </c>
      <c r="J512" s="46" t="s">
        <v>420</v>
      </c>
    </row>
    <row r="513" spans="1:10" x14ac:dyDescent="0.25">
      <c r="A513" s="72" t="s">
        <v>2209</v>
      </c>
      <c r="B513" s="154" t="s">
        <v>2208</v>
      </c>
      <c r="C513" s="90">
        <v>4825.7700000000004</v>
      </c>
      <c r="D513" s="90">
        <f t="shared" ref="D513" si="165">+C513*10%</f>
        <v>482.57700000000006</v>
      </c>
      <c r="E513" s="90">
        <f t="shared" ref="E513" si="166">+C513-D513</f>
        <v>4343.1930000000002</v>
      </c>
      <c r="F513" s="74">
        <v>45825</v>
      </c>
      <c r="G513" s="87">
        <v>45825</v>
      </c>
      <c r="H513" s="75"/>
      <c r="I513" s="133">
        <f t="shared" ref="I513" si="167">E513*15%</f>
        <v>651.47895000000005</v>
      </c>
      <c r="J513" s="64">
        <f t="shared" ref="J513:J514" si="168">+I513/56.8</f>
        <v>11.469699823943664</v>
      </c>
    </row>
    <row r="514" spans="1:10" ht="19.5" thickBot="1" x14ac:dyDescent="0.35">
      <c r="A514" s="65" t="s">
        <v>398</v>
      </c>
      <c r="B514" s="66"/>
      <c r="C514" s="67">
        <f>SUM(C513:C513)</f>
        <v>4825.7700000000004</v>
      </c>
      <c r="D514" s="67">
        <f>SUM(D513:D513)</f>
        <v>482.57700000000006</v>
      </c>
      <c r="E514" s="85">
        <f>SUM(E513:E513)</f>
        <v>4343.1930000000002</v>
      </c>
      <c r="F514" s="4"/>
      <c r="G514" s="4"/>
      <c r="H514" s="21"/>
      <c r="I514" s="136">
        <f>SUM(I513)</f>
        <v>651.47895000000005</v>
      </c>
      <c r="J514" s="63">
        <f t="shared" si="168"/>
        <v>11.469699823943664</v>
      </c>
    </row>
    <row r="517" spans="1:10" ht="34.5" thickBot="1" x14ac:dyDescent="0.55000000000000004">
      <c r="C517" s="98" t="s">
        <v>2210</v>
      </c>
    </row>
    <row r="518" spans="1:10" ht="15.75" thickBot="1" x14ac:dyDescent="0.3">
      <c r="A518" s="10" t="s">
        <v>32</v>
      </c>
      <c r="B518" s="10" t="s">
        <v>33</v>
      </c>
      <c r="C518" s="10" t="s">
        <v>34</v>
      </c>
      <c r="D518" s="10" t="s">
        <v>35</v>
      </c>
      <c r="E518" s="10" t="s">
        <v>36</v>
      </c>
      <c r="F518" s="10" t="s">
        <v>37</v>
      </c>
      <c r="G518" s="10" t="s">
        <v>38</v>
      </c>
      <c r="H518" s="132" t="s">
        <v>40</v>
      </c>
      <c r="I518" s="46" t="s">
        <v>415</v>
      </c>
      <c r="J518" s="46" t="s">
        <v>420</v>
      </c>
    </row>
    <row r="519" spans="1:10" x14ac:dyDescent="0.25">
      <c r="A519" s="72" t="s">
        <v>298</v>
      </c>
      <c r="B519" s="58" t="s">
        <v>2211</v>
      </c>
      <c r="C519" s="90">
        <v>31510</v>
      </c>
      <c r="D519" s="90">
        <f t="shared" ref="D519:D521" si="169">+C519*10%</f>
        <v>3151</v>
      </c>
      <c r="E519" s="90">
        <f t="shared" ref="E519:E521" si="170">+C519-D519</f>
        <v>28359</v>
      </c>
      <c r="F519" s="74">
        <v>45841</v>
      </c>
      <c r="G519" s="87">
        <v>45881</v>
      </c>
      <c r="H519" s="75"/>
      <c r="I519" s="133">
        <f t="shared" ref="I519:I521" si="171">E519*15%</f>
        <v>4253.8499999999995</v>
      </c>
      <c r="J519" s="64">
        <f t="shared" ref="J519:J521" si="172">+I519/56.8</f>
        <v>74.891725352112672</v>
      </c>
    </row>
    <row r="520" spans="1:10" x14ac:dyDescent="0.25">
      <c r="A520" s="72" t="s">
        <v>239</v>
      </c>
      <c r="B520" s="154" t="s">
        <v>2212</v>
      </c>
      <c r="C520" s="90">
        <v>19440</v>
      </c>
      <c r="D520" s="90">
        <f t="shared" si="169"/>
        <v>1944</v>
      </c>
      <c r="E520" s="90">
        <f t="shared" si="170"/>
        <v>17496</v>
      </c>
      <c r="F520" s="74">
        <v>45841</v>
      </c>
      <c r="G520" s="87">
        <v>45890</v>
      </c>
      <c r="H520" s="75"/>
      <c r="I520" s="133">
        <f t="shared" si="171"/>
        <v>2624.4</v>
      </c>
      <c r="J520" s="64">
        <f t="shared" si="172"/>
        <v>46.20422535211268</v>
      </c>
    </row>
    <row r="521" spans="1:10" x14ac:dyDescent="0.25">
      <c r="A521" s="72" t="s">
        <v>336</v>
      </c>
      <c r="B521" s="154" t="s">
        <v>2213</v>
      </c>
      <c r="C521" s="90">
        <v>2012</v>
      </c>
      <c r="D521" s="90">
        <f t="shared" si="169"/>
        <v>201.20000000000002</v>
      </c>
      <c r="E521" s="90">
        <f t="shared" si="170"/>
        <v>1810.8</v>
      </c>
      <c r="F521" s="74">
        <v>45841</v>
      </c>
      <c r="G521" s="87">
        <v>45874</v>
      </c>
      <c r="H521" s="75"/>
      <c r="I521" s="133">
        <f t="shared" si="171"/>
        <v>271.62</v>
      </c>
      <c r="J521" s="64">
        <f t="shared" si="172"/>
        <v>4.7820422535211273</v>
      </c>
    </row>
    <row r="522" spans="1:10" x14ac:dyDescent="0.25">
      <c r="A522" s="72" t="s">
        <v>237</v>
      </c>
      <c r="B522" s="154" t="s">
        <v>2214</v>
      </c>
      <c r="C522" s="90">
        <v>19253.89</v>
      </c>
      <c r="D522" s="90">
        <f>+C522*10%</f>
        <v>1925.3890000000001</v>
      </c>
      <c r="E522" s="90">
        <f>+C522-D522</f>
        <v>17328.501</v>
      </c>
      <c r="F522" s="74">
        <v>45841</v>
      </c>
      <c r="G522" s="87">
        <v>45874</v>
      </c>
      <c r="H522" s="75"/>
      <c r="I522" s="133">
        <f>E522*15%</f>
        <v>2599.2751499999999</v>
      </c>
      <c r="J522" s="64">
        <f>+I522/56.8</f>
        <v>45.761886443661972</v>
      </c>
    </row>
    <row r="523" spans="1:10" x14ac:dyDescent="0.25">
      <c r="A523" s="72" t="s">
        <v>287</v>
      </c>
      <c r="B523" s="154" t="s">
        <v>2215</v>
      </c>
      <c r="C523" s="90">
        <v>9875.25</v>
      </c>
      <c r="D523" s="90">
        <f>+C523*10%</f>
        <v>987.52500000000009</v>
      </c>
      <c r="E523" s="90">
        <f>+C523-D523</f>
        <v>8887.7250000000004</v>
      </c>
      <c r="F523" s="74">
        <v>45841</v>
      </c>
      <c r="G523" s="87">
        <v>45895</v>
      </c>
      <c r="H523" s="75"/>
      <c r="I523" s="133">
        <f>E523*15%</f>
        <v>1333.1587500000001</v>
      </c>
      <c r="J523" s="64">
        <f>+I523/56.8</f>
        <v>23.471104753521129</v>
      </c>
    </row>
    <row r="524" spans="1:10" ht="19.5" thickBot="1" x14ac:dyDescent="0.35">
      <c r="A524" s="65" t="s">
        <v>398</v>
      </c>
      <c r="B524" s="66"/>
      <c r="C524" s="67">
        <f>SUM(C519:C521)</f>
        <v>52962</v>
      </c>
      <c r="D524" s="67">
        <f>SUM(D519:D521)</f>
        <v>5296.2</v>
      </c>
      <c r="E524" s="85">
        <f>SUM(E519:E521)</f>
        <v>47665.8</v>
      </c>
      <c r="F524" s="4"/>
      <c r="G524" s="4"/>
      <c r="H524" s="21"/>
      <c r="I524" s="136">
        <f>SUM(I519:I521)</f>
        <v>7149.87</v>
      </c>
      <c r="J524" s="63">
        <f t="shared" ref="J524" si="173">+I524/56.8</f>
        <v>125.87799295774649</v>
      </c>
    </row>
    <row r="527" spans="1:10" ht="34.5" thickBot="1" x14ac:dyDescent="0.55000000000000004">
      <c r="C527" s="98" t="s">
        <v>2216</v>
      </c>
    </row>
    <row r="528" spans="1:10" ht="15.75" thickBot="1" x14ac:dyDescent="0.3">
      <c r="A528" s="10" t="s">
        <v>32</v>
      </c>
      <c r="B528" s="10" t="s">
        <v>33</v>
      </c>
      <c r="C528" s="10" t="s">
        <v>34</v>
      </c>
      <c r="D528" s="10" t="s">
        <v>35</v>
      </c>
      <c r="E528" s="10" t="s">
        <v>36</v>
      </c>
      <c r="F528" s="10" t="s">
        <v>37</v>
      </c>
      <c r="G528" s="10" t="s">
        <v>38</v>
      </c>
      <c r="H528" s="132" t="s">
        <v>40</v>
      </c>
      <c r="I528" s="46" t="s">
        <v>415</v>
      </c>
      <c r="J528" s="46" t="s">
        <v>420</v>
      </c>
    </row>
    <row r="529" spans="1:10" x14ac:dyDescent="0.25">
      <c r="A529" s="72" t="s">
        <v>298</v>
      </c>
      <c r="B529" s="58" t="s">
        <v>2217</v>
      </c>
      <c r="C529" s="90">
        <v>40280</v>
      </c>
      <c r="D529" s="90">
        <f t="shared" ref="D529:D531" si="174">+C529*10%</f>
        <v>4028</v>
      </c>
      <c r="E529" s="90">
        <f t="shared" ref="E529:E531" si="175">+C529-D529</f>
        <v>36252</v>
      </c>
      <c r="F529" s="74">
        <v>45876</v>
      </c>
      <c r="G529" s="87">
        <v>45912</v>
      </c>
      <c r="H529" s="75"/>
      <c r="I529" s="133">
        <f t="shared" ref="I529:I531" si="176">E529*15%</f>
        <v>5437.8</v>
      </c>
      <c r="J529" s="64">
        <f t="shared" ref="J529:J531" si="177">+I529/56.8</f>
        <v>95.735915492957758</v>
      </c>
    </row>
    <row r="530" spans="1:10" x14ac:dyDescent="0.25">
      <c r="A530" s="72" t="s">
        <v>239</v>
      </c>
      <c r="B530" s="154" t="s">
        <v>2218</v>
      </c>
      <c r="C530" s="90">
        <v>9020</v>
      </c>
      <c r="D530" s="90">
        <f t="shared" si="174"/>
        <v>902</v>
      </c>
      <c r="E530" s="90">
        <f t="shared" si="175"/>
        <v>8118</v>
      </c>
      <c r="F530" s="74">
        <v>45876</v>
      </c>
      <c r="G530" s="87">
        <v>45921</v>
      </c>
      <c r="H530" s="75"/>
      <c r="I530" s="133">
        <f t="shared" si="176"/>
        <v>1217.7</v>
      </c>
      <c r="J530" s="64">
        <f t="shared" si="177"/>
        <v>21.438380281690144</v>
      </c>
    </row>
    <row r="531" spans="1:10" x14ac:dyDescent="0.25">
      <c r="A531" s="72" t="s">
        <v>336</v>
      </c>
      <c r="B531" s="154" t="s">
        <v>2219</v>
      </c>
      <c r="C531" s="90">
        <v>1275</v>
      </c>
      <c r="D531" s="90">
        <f t="shared" si="174"/>
        <v>127.5</v>
      </c>
      <c r="E531" s="90">
        <f t="shared" si="175"/>
        <v>1147.5</v>
      </c>
      <c r="F531" s="74">
        <v>45876</v>
      </c>
      <c r="G531" s="87">
        <v>45905</v>
      </c>
      <c r="H531" s="75"/>
      <c r="I531" s="133">
        <f t="shared" si="176"/>
        <v>172.125</v>
      </c>
      <c r="J531" s="64">
        <f t="shared" si="177"/>
        <v>3.0303697183098595</v>
      </c>
    </row>
    <row r="532" spans="1:10" x14ac:dyDescent="0.25">
      <c r="A532" s="72" t="s">
        <v>237</v>
      </c>
      <c r="B532" s="154" t="s">
        <v>2220</v>
      </c>
      <c r="C532" s="90">
        <v>5024</v>
      </c>
      <c r="D532" s="90">
        <f>+C532*10%</f>
        <v>502.40000000000003</v>
      </c>
      <c r="E532" s="90">
        <f>+C532-D532</f>
        <v>4521.6000000000004</v>
      </c>
      <c r="F532" s="74">
        <v>45876</v>
      </c>
      <c r="G532" s="87">
        <v>45905</v>
      </c>
      <c r="H532" s="75"/>
      <c r="I532" s="133">
        <f>E532*15%</f>
        <v>678.24</v>
      </c>
      <c r="J532" s="64">
        <f>+I532/56.8</f>
        <v>11.940845070422537</v>
      </c>
    </row>
    <row r="533" spans="1:10" x14ac:dyDescent="0.25">
      <c r="A533" s="72" t="s">
        <v>287</v>
      </c>
      <c r="B533" s="154" t="s">
        <v>2221</v>
      </c>
      <c r="C533" s="90">
        <v>81900</v>
      </c>
      <c r="D533" s="90">
        <f>+C533*10%</f>
        <v>8190</v>
      </c>
      <c r="E533" s="90">
        <f>+C533-D533</f>
        <v>73710</v>
      </c>
      <c r="F533" s="74">
        <v>45876</v>
      </c>
      <c r="G533" s="87">
        <v>45895</v>
      </c>
      <c r="H533" s="75"/>
      <c r="I533" s="133">
        <f>E533*15%</f>
        <v>11056.5</v>
      </c>
      <c r="J533" s="64">
        <f>+I533/56.8</f>
        <v>194.65669014084509</v>
      </c>
    </row>
    <row r="534" spans="1:10" x14ac:dyDescent="0.25">
      <c r="A534" s="146"/>
      <c r="B534" s="334"/>
      <c r="C534" s="140"/>
      <c r="D534" s="140"/>
      <c r="E534" s="140"/>
      <c r="F534" s="70"/>
      <c r="G534" s="122"/>
      <c r="H534" s="71"/>
      <c r="I534" s="136"/>
      <c r="J534" s="63"/>
    </row>
    <row r="535" spans="1:10" ht="19.5" thickBot="1" x14ac:dyDescent="0.35">
      <c r="A535" s="65" t="s">
        <v>398</v>
      </c>
      <c r="B535" s="66"/>
      <c r="C535" s="67">
        <f>SUM(C529:C534)</f>
        <v>137499</v>
      </c>
      <c r="D535" s="67">
        <f>SUM(D529:D534)</f>
        <v>13749.9</v>
      </c>
      <c r="E535" s="85">
        <f>SUM(E529:E534)</f>
        <v>123749.1</v>
      </c>
      <c r="F535" s="4"/>
      <c r="G535" s="4"/>
      <c r="H535" s="21"/>
      <c r="I535" s="136">
        <f>SUM(I529:I534)</f>
        <v>18562.364999999998</v>
      </c>
      <c r="J535" s="63">
        <f>+I535/56.8</f>
        <v>326.80220070422536</v>
      </c>
    </row>
    <row r="538" spans="1:10" ht="34.5" thickBot="1" x14ac:dyDescent="0.55000000000000004">
      <c r="C538" s="98" t="s">
        <v>2222</v>
      </c>
    </row>
    <row r="539" spans="1:10" ht="15.75" thickBot="1" x14ac:dyDescent="0.3">
      <c r="A539" s="10" t="s">
        <v>32</v>
      </c>
      <c r="B539" s="10" t="s">
        <v>33</v>
      </c>
      <c r="C539" s="10" t="s">
        <v>34</v>
      </c>
      <c r="D539" s="10" t="s">
        <v>35</v>
      </c>
      <c r="E539" s="10" t="s">
        <v>36</v>
      </c>
      <c r="F539" s="10" t="s">
        <v>37</v>
      </c>
      <c r="G539" s="10" t="s">
        <v>38</v>
      </c>
      <c r="H539" s="132" t="s">
        <v>40</v>
      </c>
      <c r="I539" s="46" t="s">
        <v>415</v>
      </c>
      <c r="J539" s="46" t="s">
        <v>420</v>
      </c>
    </row>
    <row r="540" spans="1:10" x14ac:dyDescent="0.25">
      <c r="A540" s="72" t="s">
        <v>298</v>
      </c>
      <c r="B540" s="58" t="s">
        <v>2223</v>
      </c>
      <c r="C540" s="90">
        <v>32776</v>
      </c>
      <c r="D540" s="90">
        <f t="shared" ref="D540:D542" si="178">+C540*10%</f>
        <v>3277.6000000000004</v>
      </c>
      <c r="E540" s="90">
        <f t="shared" ref="E540:E542" si="179">+C540-D540</f>
        <v>29498.400000000001</v>
      </c>
      <c r="F540" s="74">
        <v>45908</v>
      </c>
      <c r="G540" s="87">
        <v>45942</v>
      </c>
      <c r="H540" s="75"/>
      <c r="I540" s="133">
        <f t="shared" ref="I540:I542" si="180">E540*15%</f>
        <v>4424.76</v>
      </c>
      <c r="J540" s="64">
        <f t="shared" ref="J540:J542" si="181">+I540/56.8</f>
        <v>77.900704225352115</v>
      </c>
    </row>
    <row r="541" spans="1:10" x14ac:dyDescent="0.25">
      <c r="A541" s="72" t="s">
        <v>239</v>
      </c>
      <c r="B541" s="154" t="s">
        <v>2224</v>
      </c>
      <c r="C541" s="90">
        <v>128061.9</v>
      </c>
      <c r="D541" s="90">
        <f t="shared" si="178"/>
        <v>12806.19</v>
      </c>
      <c r="E541" s="90">
        <f t="shared" si="179"/>
        <v>115255.70999999999</v>
      </c>
      <c r="F541" s="74">
        <v>45908</v>
      </c>
      <c r="G541" s="87">
        <v>45951</v>
      </c>
      <c r="H541" s="75"/>
      <c r="I541" s="133">
        <f t="shared" si="180"/>
        <v>17288.356499999998</v>
      </c>
      <c r="J541" s="64">
        <f t="shared" si="181"/>
        <v>304.37247359154929</v>
      </c>
    </row>
    <row r="542" spans="1:10" x14ac:dyDescent="0.25">
      <c r="A542" s="72" t="s">
        <v>336</v>
      </c>
      <c r="B542" s="154" t="s">
        <v>2225</v>
      </c>
      <c r="C542" s="90">
        <v>1860.8</v>
      </c>
      <c r="D542" s="90">
        <f t="shared" si="178"/>
        <v>186.08</v>
      </c>
      <c r="E542" s="90">
        <f t="shared" si="179"/>
        <v>1674.72</v>
      </c>
      <c r="F542" s="74">
        <v>45908</v>
      </c>
      <c r="G542" s="87">
        <v>45935</v>
      </c>
      <c r="H542" s="75"/>
      <c r="I542" s="133">
        <f t="shared" si="180"/>
        <v>251.208</v>
      </c>
      <c r="J542" s="64">
        <f t="shared" si="181"/>
        <v>4.4226760563380285</v>
      </c>
    </row>
    <row r="543" spans="1:10" x14ac:dyDescent="0.25">
      <c r="A543" s="72" t="s">
        <v>237</v>
      </c>
      <c r="B543" s="154" t="s">
        <v>2226</v>
      </c>
      <c r="C543" s="90">
        <v>45872.69</v>
      </c>
      <c r="D543" s="90">
        <f>+C543*10%</f>
        <v>4587.2690000000002</v>
      </c>
      <c r="E543" s="90">
        <f>+C543-D543</f>
        <v>41285.421000000002</v>
      </c>
      <c r="F543" s="74">
        <v>45908</v>
      </c>
      <c r="G543" s="87">
        <v>45935</v>
      </c>
      <c r="H543" s="75"/>
      <c r="I543" s="133">
        <f>E543*15%</f>
        <v>6192.81315</v>
      </c>
      <c r="J543" s="64">
        <f>+I543/56.8</f>
        <v>109.02840052816902</v>
      </c>
    </row>
    <row r="544" spans="1:10" x14ac:dyDescent="0.25">
      <c r="A544" s="72" t="s">
        <v>2209</v>
      </c>
      <c r="B544" s="154" t="s">
        <v>2228</v>
      </c>
      <c r="C544" s="90">
        <v>3369.6</v>
      </c>
      <c r="D544" s="90">
        <f>+C544*10%</f>
        <v>336.96000000000004</v>
      </c>
      <c r="E544" s="90">
        <f>+C544-D544</f>
        <v>3032.64</v>
      </c>
      <c r="F544" s="74"/>
      <c r="G544" s="87"/>
      <c r="H544" s="75"/>
      <c r="I544" s="133">
        <f>E544*15%</f>
        <v>454.89599999999996</v>
      </c>
      <c r="J544" s="64">
        <f>+I544/56.8</f>
        <v>8.0087323943661968</v>
      </c>
    </row>
    <row r="545" spans="1:10" ht="19.5" thickBot="1" x14ac:dyDescent="0.35">
      <c r="A545" s="65" t="s">
        <v>398</v>
      </c>
      <c r="B545" s="66"/>
      <c r="C545" s="67">
        <f>SUM(C540:C544)</f>
        <v>211940.99</v>
      </c>
      <c r="D545" s="67">
        <f>SUM(D540:D544)</f>
        <v>21194.099000000002</v>
      </c>
      <c r="E545" s="85">
        <f>SUM(E540:E544)</f>
        <v>190746.891</v>
      </c>
      <c r="F545" s="4"/>
      <c r="G545" s="4"/>
      <c r="H545" s="21"/>
      <c r="I545" s="136">
        <f>SUM(I540:I544)</f>
        <v>28612.033649999998</v>
      </c>
      <c r="J545" s="63">
        <f>+I545/56.8</f>
        <v>503.73298679577465</v>
      </c>
    </row>
    <row r="548" spans="1:10" ht="34.5" thickBot="1" x14ac:dyDescent="0.55000000000000004">
      <c r="C548" s="98" t="s">
        <v>2230</v>
      </c>
    </row>
    <row r="549" spans="1:10" ht="15.75" thickBot="1" x14ac:dyDescent="0.3">
      <c r="A549" s="10" t="s">
        <v>32</v>
      </c>
      <c r="B549" s="10" t="s">
        <v>33</v>
      </c>
      <c r="C549" s="10" t="s">
        <v>34</v>
      </c>
      <c r="D549" s="10" t="s">
        <v>35</v>
      </c>
      <c r="E549" s="10" t="s">
        <v>36</v>
      </c>
      <c r="F549" s="10" t="s">
        <v>37</v>
      </c>
      <c r="G549" s="10" t="s">
        <v>38</v>
      </c>
      <c r="H549" s="132" t="s">
        <v>40</v>
      </c>
      <c r="I549" s="46" t="s">
        <v>415</v>
      </c>
      <c r="J549" s="46" t="s">
        <v>420</v>
      </c>
    </row>
    <row r="550" spans="1:10" x14ac:dyDescent="0.25">
      <c r="A550" s="72" t="s">
        <v>298</v>
      </c>
      <c r="B550" s="58" t="s">
        <v>2232</v>
      </c>
      <c r="C550" s="90">
        <v>31264</v>
      </c>
      <c r="D550" s="90">
        <f t="shared" ref="D550:D551" si="182">+C550*10%</f>
        <v>3126.4</v>
      </c>
      <c r="E550" s="90">
        <f t="shared" ref="E550:E551" si="183">+C550-D550</f>
        <v>28137.599999999999</v>
      </c>
      <c r="F550" s="74">
        <v>45938</v>
      </c>
      <c r="G550" s="87">
        <v>45973</v>
      </c>
      <c r="H550" s="75"/>
      <c r="I550" s="133">
        <f t="shared" ref="I550:I551" si="184">E550*15%</f>
        <v>4220.6399999999994</v>
      </c>
      <c r="J550" s="64">
        <f t="shared" ref="J550:J551" si="185">+I550/56.8</f>
        <v>74.307042253521118</v>
      </c>
    </row>
    <row r="551" spans="1:10" s="38" customFormat="1" x14ac:dyDescent="0.25">
      <c r="A551" s="72" t="s">
        <v>83</v>
      </c>
      <c r="B551" s="154" t="s">
        <v>2233</v>
      </c>
      <c r="C551" s="90">
        <v>16200</v>
      </c>
      <c r="D551" s="90">
        <f t="shared" si="182"/>
        <v>1620</v>
      </c>
      <c r="E551" s="90">
        <f t="shared" si="183"/>
        <v>14580</v>
      </c>
      <c r="F551" s="74">
        <v>45938</v>
      </c>
      <c r="G551" s="87">
        <v>45966</v>
      </c>
      <c r="H551" s="75"/>
      <c r="I551" s="133">
        <f t="shared" si="184"/>
        <v>2187</v>
      </c>
      <c r="J551" s="64">
        <f t="shared" si="185"/>
        <v>38.503521126760567</v>
      </c>
    </row>
    <row r="552" spans="1:10" s="38" customFormat="1" x14ac:dyDescent="0.25">
      <c r="A552" s="72" t="s">
        <v>300</v>
      </c>
      <c r="B552" s="154" t="s">
        <v>2234</v>
      </c>
      <c r="C552" s="90">
        <v>16200</v>
      </c>
      <c r="D552" s="90">
        <f>+C552*10%</f>
        <v>1620</v>
      </c>
      <c r="E552" s="90">
        <f>+C552-D552</f>
        <v>14580</v>
      </c>
      <c r="F552" s="74">
        <v>45938</v>
      </c>
      <c r="G552" s="87">
        <v>45966</v>
      </c>
      <c r="H552" s="75"/>
      <c r="I552" s="133">
        <f>E552*15%</f>
        <v>2187</v>
      </c>
      <c r="J552" s="64">
        <f>+I552/56.8</f>
        <v>38.503521126760567</v>
      </c>
    </row>
    <row r="553" spans="1:10" s="38" customFormat="1" x14ac:dyDescent="0.25">
      <c r="A553" s="72" t="s">
        <v>72</v>
      </c>
      <c r="B553" s="154" t="s">
        <v>2227</v>
      </c>
      <c r="C553" s="90">
        <v>29300</v>
      </c>
      <c r="D553" s="90">
        <f>+C553*10%</f>
        <v>2930</v>
      </c>
      <c r="E553" s="90">
        <f>+C553-D553</f>
        <v>26370</v>
      </c>
      <c r="F553" s="74">
        <v>45938</v>
      </c>
      <c r="G553" s="87">
        <v>45987</v>
      </c>
      <c r="H553" s="75"/>
      <c r="I553" s="133">
        <f>E553*15%</f>
        <v>3955.5</v>
      </c>
      <c r="J553" s="64">
        <f>+I553/56.8</f>
        <v>69.639084507042256</v>
      </c>
    </row>
    <row r="554" spans="1:10" s="38" customFormat="1" x14ac:dyDescent="0.25">
      <c r="A554" s="72" t="s">
        <v>2231</v>
      </c>
      <c r="B554" s="154" t="s">
        <v>2235</v>
      </c>
      <c r="C554" s="90">
        <v>19440</v>
      </c>
      <c r="D554" s="90">
        <f>+C554*10%</f>
        <v>1944</v>
      </c>
      <c r="E554" s="90">
        <f>+C554-D554</f>
        <v>17496</v>
      </c>
      <c r="F554" s="74"/>
      <c r="G554" s="87"/>
      <c r="H554" s="75"/>
      <c r="I554" s="133">
        <f>E554*15%</f>
        <v>2624.4</v>
      </c>
      <c r="J554" s="64">
        <f>+I554/56.8</f>
        <v>46.20422535211268</v>
      </c>
    </row>
    <row r="555" spans="1:10" ht="19.5" thickBot="1" x14ac:dyDescent="0.35">
      <c r="A555" s="65" t="s">
        <v>398</v>
      </c>
      <c r="B555" s="66"/>
      <c r="C555" s="67">
        <f>SUM(C550:C554)</f>
        <v>112404</v>
      </c>
      <c r="D555" s="67">
        <f>SUM(D550:D554)</f>
        <v>11240.4</v>
      </c>
      <c r="E555" s="85">
        <f>SUM(E550:E554)</f>
        <v>101163.6</v>
      </c>
      <c r="F555" s="4"/>
      <c r="G555" s="4"/>
      <c r="H555" s="21"/>
      <c r="I555" s="136">
        <f>SUM(I550:I554)</f>
        <v>15174.539999999999</v>
      </c>
      <c r="J555" s="63">
        <f>+I555/56.8</f>
        <v>267.1573943661972</v>
      </c>
    </row>
    <row r="559" spans="1:10" ht="34.5" thickBot="1" x14ac:dyDescent="0.55000000000000004">
      <c r="C559" s="98" t="s">
        <v>2236</v>
      </c>
    </row>
    <row r="560" spans="1:10" ht="15.75" thickBot="1" x14ac:dyDescent="0.3">
      <c r="A560" s="20" t="s">
        <v>32</v>
      </c>
      <c r="B560" s="20" t="s">
        <v>33</v>
      </c>
      <c r="C560" s="10" t="s">
        <v>34</v>
      </c>
      <c r="D560" s="10" t="s">
        <v>35</v>
      </c>
      <c r="E560" s="10" t="s">
        <v>36</v>
      </c>
      <c r="F560" s="10" t="s">
        <v>37</v>
      </c>
      <c r="G560" s="10" t="s">
        <v>38</v>
      </c>
      <c r="H560" s="132" t="s">
        <v>40</v>
      </c>
      <c r="I560" s="46" t="s">
        <v>415</v>
      </c>
      <c r="J560" s="46" t="s">
        <v>420</v>
      </c>
    </row>
    <row r="561" spans="1:10" x14ac:dyDescent="0.25">
      <c r="A561" s="47" t="s">
        <v>298</v>
      </c>
      <c r="B561" s="47" t="s">
        <v>2242</v>
      </c>
      <c r="C561" s="90">
        <v>27376</v>
      </c>
      <c r="D561" s="90">
        <f t="shared" ref="D561:D562" si="186">+C561*10%</f>
        <v>2737.6000000000004</v>
      </c>
      <c r="E561" s="90">
        <f t="shared" ref="E561:E562" si="187">+C561-D561</f>
        <v>24638.400000000001</v>
      </c>
      <c r="F561" s="74">
        <v>46030</v>
      </c>
      <c r="G561" s="87">
        <v>46079</v>
      </c>
      <c r="H561" s="75"/>
      <c r="I561" s="133">
        <f t="shared" ref="I561:I562" si="188">E561*15%</f>
        <v>3695.76</v>
      </c>
      <c r="J561" s="64">
        <f t="shared" ref="J561:J562" si="189">+I561/56.8</f>
        <v>65.066197183098595</v>
      </c>
    </row>
    <row r="562" spans="1:10" x14ac:dyDescent="0.25">
      <c r="A562" s="47" t="s">
        <v>2237</v>
      </c>
      <c r="B562" s="154" t="s">
        <v>2243</v>
      </c>
      <c r="C562" s="90">
        <v>74352</v>
      </c>
      <c r="D562" s="90">
        <f t="shared" si="186"/>
        <v>7435.2000000000007</v>
      </c>
      <c r="E562" s="90">
        <f t="shared" si="187"/>
        <v>66916.800000000003</v>
      </c>
      <c r="F562" s="74">
        <v>46030</v>
      </c>
      <c r="G562" s="87">
        <v>46073</v>
      </c>
      <c r="H562" s="75"/>
      <c r="I562" s="133">
        <f t="shared" si="188"/>
        <v>10037.52</v>
      </c>
      <c r="J562" s="64">
        <f t="shared" si="189"/>
        <v>176.71690140845072</v>
      </c>
    </row>
    <row r="563" spans="1:10" x14ac:dyDescent="0.25">
      <c r="A563" s="408" t="s">
        <v>2238</v>
      </c>
      <c r="B563" s="154" t="s">
        <v>2244</v>
      </c>
      <c r="C563" s="90">
        <v>18753.88</v>
      </c>
      <c r="D563" s="90">
        <f>+C563*10%</f>
        <v>1875.3880000000001</v>
      </c>
      <c r="E563" s="90">
        <f>+C563-D563</f>
        <v>16878.492000000002</v>
      </c>
      <c r="F563" s="74">
        <v>46030</v>
      </c>
      <c r="G563" s="87">
        <v>46058</v>
      </c>
      <c r="H563" s="75"/>
      <c r="I563" s="133">
        <f>E563*15%</f>
        <v>2531.7738000000004</v>
      </c>
      <c r="J563" s="64">
        <f>+I563/56.8</f>
        <v>44.573482394366209</v>
      </c>
    </row>
    <row r="564" spans="1:10" x14ac:dyDescent="0.25">
      <c r="A564" s="47" t="s">
        <v>2239</v>
      </c>
      <c r="B564" s="154" t="s">
        <v>2245</v>
      </c>
      <c r="C564" s="90">
        <v>5896.8</v>
      </c>
      <c r="D564" s="90">
        <f>+C564*10%</f>
        <v>589.68000000000006</v>
      </c>
      <c r="E564" s="90">
        <f>+C564-D564</f>
        <v>5307.12</v>
      </c>
      <c r="F564" s="74">
        <v>46030</v>
      </c>
      <c r="G564" s="87">
        <v>46058</v>
      </c>
      <c r="H564" s="75"/>
      <c r="I564" s="133">
        <f>E564*15%</f>
        <v>796.06799999999998</v>
      </c>
      <c r="J564" s="64">
        <f>+I564/56.8</f>
        <v>14.015281690140846</v>
      </c>
    </row>
    <row r="565" spans="1:10" x14ac:dyDescent="0.25">
      <c r="A565" s="47" t="s">
        <v>2240</v>
      </c>
      <c r="B565" s="409" t="s">
        <v>2246</v>
      </c>
      <c r="C565" s="90">
        <v>22380</v>
      </c>
      <c r="D565" s="90">
        <f>+C565*10%</f>
        <v>2238</v>
      </c>
      <c r="E565" s="90">
        <f>+C565-D565</f>
        <v>20142</v>
      </c>
      <c r="F565" s="74">
        <v>46030</v>
      </c>
      <c r="G565" s="87">
        <v>46058</v>
      </c>
      <c r="H565" s="75"/>
      <c r="I565" s="133">
        <f>E565*15%</f>
        <v>3021.2999999999997</v>
      </c>
      <c r="J565" s="64">
        <f>+I565/56.8</f>
        <v>53.191901408450704</v>
      </c>
    </row>
    <row r="566" spans="1:10" ht="19.5" thickBot="1" x14ac:dyDescent="0.35">
      <c r="A566" s="65" t="s">
        <v>398</v>
      </c>
      <c r="B566" s="66"/>
      <c r="C566" s="67">
        <f>SUM(C561:C565)</f>
        <v>148758.68</v>
      </c>
      <c r="D566" s="67">
        <f>SUM(D561:D565)</f>
        <v>14875.868000000002</v>
      </c>
      <c r="E566" s="85">
        <f>SUM(E561:E565)</f>
        <v>133882.81200000001</v>
      </c>
      <c r="F566" s="4"/>
      <c r="G566" s="4"/>
      <c r="H566" s="21"/>
      <c r="I566" s="136">
        <f>SUM(I561:I565)</f>
        <v>20082.4218</v>
      </c>
      <c r="J566" s="63">
        <f>+I566/56.8</f>
        <v>353.56376408450706</v>
      </c>
    </row>
    <row r="569" spans="1:10" ht="34.5" thickBot="1" x14ac:dyDescent="0.55000000000000004">
      <c r="C569" s="98" t="s">
        <v>2247</v>
      </c>
    </row>
    <row r="570" spans="1:10" ht="15.75" thickBot="1" x14ac:dyDescent="0.3">
      <c r="A570" s="20" t="s">
        <v>32</v>
      </c>
      <c r="B570" s="20" t="s">
        <v>33</v>
      </c>
      <c r="C570" s="10" t="s">
        <v>34</v>
      </c>
      <c r="D570" s="10" t="s">
        <v>35</v>
      </c>
      <c r="E570" s="10" t="s">
        <v>36</v>
      </c>
      <c r="F570" s="10" t="s">
        <v>37</v>
      </c>
      <c r="G570" s="10" t="s">
        <v>38</v>
      </c>
      <c r="H570" s="132" t="s">
        <v>40</v>
      </c>
      <c r="I570" s="46" t="s">
        <v>415</v>
      </c>
      <c r="J570" s="46" t="s">
        <v>420</v>
      </c>
    </row>
    <row r="571" spans="1:10" x14ac:dyDescent="0.25">
      <c r="A571" s="47" t="s">
        <v>298</v>
      </c>
      <c r="B571" s="47" t="s">
        <v>2248</v>
      </c>
      <c r="C571" s="90">
        <v>40380</v>
      </c>
      <c r="D571" s="90">
        <f t="shared" ref="D571" si="190">+C571*10%</f>
        <v>4038</v>
      </c>
      <c r="E571" s="90">
        <f t="shared" ref="E571" si="191">+C571-D571</f>
        <v>36342</v>
      </c>
      <c r="F571" s="74">
        <v>46062</v>
      </c>
      <c r="G571" s="87">
        <v>46107</v>
      </c>
      <c r="H571" s="75"/>
      <c r="I571" s="133">
        <f t="shared" ref="I571" si="192">E571*15%</f>
        <v>5451.3</v>
      </c>
      <c r="J571" s="64">
        <f t="shared" ref="J571" si="193">+I571/56.8</f>
        <v>95.973591549295776</v>
      </c>
    </row>
    <row r="572" spans="1:10" ht="19.5" thickBot="1" x14ac:dyDescent="0.35">
      <c r="A572" s="65" t="s">
        <v>398</v>
      </c>
      <c r="B572" s="66"/>
      <c r="C572" s="67">
        <f>SUM(C571:C571)</f>
        <v>40380</v>
      </c>
      <c r="D572" s="67">
        <f>SUM(D571:D571)</f>
        <v>4038</v>
      </c>
      <c r="E572" s="85">
        <f>SUM(E571:E571)</f>
        <v>36342</v>
      </c>
      <c r="F572" s="4"/>
      <c r="G572" s="4"/>
      <c r="H572" s="21"/>
      <c r="I572" s="136">
        <f>SUM(I571:I571)</f>
        <v>5451.3</v>
      </c>
      <c r="J572" s="63">
        <f>+I572/56.8</f>
        <v>95.973591549295776</v>
      </c>
    </row>
    <row r="575" spans="1:10" ht="34.5" thickBot="1" x14ac:dyDescent="0.55000000000000004">
      <c r="C575" s="98" t="s">
        <v>2341</v>
      </c>
    </row>
    <row r="576" spans="1:10" ht="15.75" thickBot="1" x14ac:dyDescent="0.3">
      <c r="A576" s="20" t="s">
        <v>32</v>
      </c>
      <c r="B576" s="20" t="s">
        <v>33</v>
      </c>
      <c r="C576" s="10" t="s">
        <v>34</v>
      </c>
      <c r="D576" s="10" t="s">
        <v>35</v>
      </c>
      <c r="E576" s="10" t="s">
        <v>36</v>
      </c>
      <c r="F576" s="10" t="s">
        <v>37</v>
      </c>
      <c r="G576" s="10" t="s">
        <v>38</v>
      </c>
      <c r="H576" s="132" t="s">
        <v>40</v>
      </c>
      <c r="I576" s="46" t="s">
        <v>415</v>
      </c>
      <c r="J576" s="46" t="s">
        <v>420</v>
      </c>
    </row>
    <row r="577" spans="1:10" x14ac:dyDescent="0.25">
      <c r="A577" s="45" t="s">
        <v>298</v>
      </c>
      <c r="B577" s="45" t="s">
        <v>2335</v>
      </c>
      <c r="C577" s="140">
        <v>14442</v>
      </c>
      <c r="D577" s="140">
        <f t="shared" ref="D577" si="194">+C577*10%</f>
        <v>1444.2</v>
      </c>
      <c r="E577" s="140">
        <f t="shared" ref="E577" si="195">+C577-D577</f>
        <v>12997.8</v>
      </c>
      <c r="F577" s="70">
        <v>46118</v>
      </c>
      <c r="G577" s="122">
        <v>46168</v>
      </c>
      <c r="H577" s="71"/>
      <c r="I577" s="136">
        <f t="shared" ref="I577" si="196">E577*15%</f>
        <v>1949.6699999999998</v>
      </c>
      <c r="J577" s="63">
        <f t="shared" ref="J577" si="197">+I577/56.8</f>
        <v>34.32517605633803</v>
      </c>
    </row>
    <row r="578" spans="1:10" x14ac:dyDescent="0.25">
      <c r="A578" s="408" t="s">
        <v>2238</v>
      </c>
      <c r="B578" s="154" t="s">
        <v>2336</v>
      </c>
      <c r="C578" s="90">
        <v>2250</v>
      </c>
      <c r="D578" s="90">
        <f>+C578*10%</f>
        <v>225</v>
      </c>
      <c r="E578" s="90">
        <f>+C578-D578</f>
        <v>2025</v>
      </c>
      <c r="F578" s="74">
        <v>46118</v>
      </c>
      <c r="G578" s="87">
        <v>46147</v>
      </c>
      <c r="H578" s="75"/>
      <c r="I578" s="133">
        <f>E578*15%</f>
        <v>303.75</v>
      </c>
      <c r="J578" s="64">
        <f t="shared" ref="J578:J583" si="198">+I578/56.8</f>
        <v>5.347711267605634</v>
      </c>
    </row>
    <row r="579" spans="1:10" x14ac:dyDescent="0.25">
      <c r="A579" s="47" t="s">
        <v>2239</v>
      </c>
      <c r="B579" s="154" t="s">
        <v>2337</v>
      </c>
      <c r="C579" s="90">
        <v>1500</v>
      </c>
      <c r="D579" s="90">
        <f>+C579*10%</f>
        <v>150</v>
      </c>
      <c r="E579" s="90">
        <f>+C579-D579</f>
        <v>1350</v>
      </c>
      <c r="F579" s="74">
        <v>46118</v>
      </c>
      <c r="G579" s="87">
        <v>46147</v>
      </c>
      <c r="H579" s="75"/>
      <c r="I579" s="133">
        <f>E579*15%</f>
        <v>202.5</v>
      </c>
      <c r="J579" s="64">
        <f t="shared" si="198"/>
        <v>3.5651408450704225</v>
      </c>
    </row>
    <row r="580" spans="1:10" x14ac:dyDescent="0.25">
      <c r="A580" s="47" t="s">
        <v>2339</v>
      </c>
      <c r="B580" s="409" t="s">
        <v>2338</v>
      </c>
      <c r="C580" s="90">
        <v>9780.75</v>
      </c>
      <c r="D580" s="90">
        <f>+C580*10%</f>
        <v>978.07500000000005</v>
      </c>
      <c r="E580" s="90">
        <f>+C580-D580</f>
        <v>8802.6749999999993</v>
      </c>
      <c r="F580" s="74">
        <v>46118</v>
      </c>
      <c r="G580" s="87">
        <v>46147</v>
      </c>
      <c r="H580" s="75"/>
      <c r="I580" s="133">
        <f>E580*15%</f>
        <v>1320.4012499999999</v>
      </c>
      <c r="J580" s="64">
        <f t="shared" si="198"/>
        <v>23.24650088028169</v>
      </c>
    </row>
    <row r="581" spans="1:10" x14ac:dyDescent="0.25">
      <c r="A581" s="47" t="s">
        <v>2340</v>
      </c>
      <c r="B581" s="409" t="s">
        <v>2342</v>
      </c>
      <c r="C581" s="90">
        <v>12312</v>
      </c>
      <c r="D581" s="90">
        <f>+C581*10%</f>
        <v>1231.2</v>
      </c>
      <c r="E581" s="90">
        <f>+C581-D581</f>
        <v>11080.8</v>
      </c>
      <c r="F581" s="74">
        <v>46118</v>
      </c>
      <c r="G581" s="87">
        <v>46168</v>
      </c>
      <c r="H581" s="75"/>
      <c r="I581" s="133">
        <f t="shared" ref="I581" si="199">E581*15%</f>
        <v>1662.12</v>
      </c>
      <c r="J581" s="64">
        <f t="shared" si="198"/>
        <v>29.262676056338027</v>
      </c>
    </row>
    <row r="582" spans="1:10" x14ac:dyDescent="0.25">
      <c r="A582" s="47" t="s">
        <v>2340</v>
      </c>
      <c r="B582" s="409" t="s">
        <v>2343</v>
      </c>
      <c r="C582" s="90">
        <v>3499.2</v>
      </c>
      <c r="D582" s="90">
        <f>+C582*10%</f>
        <v>349.92</v>
      </c>
      <c r="E582" s="90">
        <f>+C582-D582</f>
        <v>3149.2799999999997</v>
      </c>
      <c r="F582" s="74">
        <v>46118</v>
      </c>
      <c r="G582" s="87">
        <v>46168</v>
      </c>
      <c r="H582" s="75"/>
      <c r="I582" s="133">
        <f t="shared" ref="I582" si="200">E582*15%</f>
        <v>472.39199999999994</v>
      </c>
      <c r="J582" s="64">
        <f t="shared" si="198"/>
        <v>8.3167605633802815</v>
      </c>
    </row>
    <row r="583" spans="1:10" ht="19.5" thickBot="1" x14ac:dyDescent="0.35">
      <c r="A583" s="65" t="s">
        <v>398</v>
      </c>
      <c r="B583" s="66"/>
      <c r="C583" s="67">
        <f>SUM(C577:C580)</f>
        <v>27972.75</v>
      </c>
      <c r="D583" s="67">
        <f>SUM(D577:D582)</f>
        <v>4378.3950000000004</v>
      </c>
      <c r="E583" s="85">
        <f>SUM(E577:E582)</f>
        <v>39405.554999999993</v>
      </c>
      <c r="F583" s="4"/>
      <c r="G583" s="4"/>
      <c r="H583" s="21"/>
      <c r="I583" s="136">
        <f>SUM(I577:I582)</f>
        <v>5910.8332499999997</v>
      </c>
      <c r="J583" s="63">
        <f t="shared" si="198"/>
        <v>104.06396566901408</v>
      </c>
    </row>
    <row r="586" spans="1:10" ht="34.5" thickBot="1" x14ac:dyDescent="0.55000000000000004">
      <c r="C586" s="98" t="s">
        <v>2344</v>
      </c>
    </row>
    <row r="587" spans="1:10" ht="15.75" thickBot="1" x14ac:dyDescent="0.3">
      <c r="A587" s="20" t="s">
        <v>32</v>
      </c>
      <c r="B587" s="20" t="s">
        <v>33</v>
      </c>
      <c r="C587" s="10" t="s">
        <v>34</v>
      </c>
      <c r="D587" s="10" t="s">
        <v>35</v>
      </c>
      <c r="E587" s="10" t="s">
        <v>36</v>
      </c>
      <c r="F587" s="10" t="s">
        <v>37</v>
      </c>
      <c r="G587" s="10" t="s">
        <v>38</v>
      </c>
      <c r="H587" s="132" t="s">
        <v>40</v>
      </c>
      <c r="I587" s="46" t="s">
        <v>415</v>
      </c>
      <c r="J587" s="46" t="s">
        <v>420</v>
      </c>
    </row>
    <row r="588" spans="1:10" x14ac:dyDescent="0.25">
      <c r="A588" s="45" t="s">
        <v>298</v>
      </c>
      <c r="B588" s="45" t="s">
        <v>2345</v>
      </c>
      <c r="C588" s="140">
        <v>20940</v>
      </c>
      <c r="D588" s="140">
        <f t="shared" ref="D588" si="201">+C588*10%</f>
        <v>2094</v>
      </c>
      <c r="E588" s="140">
        <f t="shared" ref="E588" si="202">+C588-D588</f>
        <v>18846</v>
      </c>
      <c r="F588" s="70">
        <v>46148</v>
      </c>
      <c r="G588" s="122">
        <v>46199</v>
      </c>
      <c r="H588" s="71"/>
      <c r="I588" s="136">
        <f t="shared" ref="I588" si="203">E588*15%</f>
        <v>2826.9</v>
      </c>
      <c r="J588" s="63">
        <f t="shared" ref="J588:J592" si="204">+I588/56.8</f>
        <v>49.769366197183103</v>
      </c>
    </row>
    <row r="589" spans="1:10" x14ac:dyDescent="0.25">
      <c r="A589" s="411" t="s">
        <v>2238</v>
      </c>
      <c r="B589" s="410" t="s">
        <v>2346</v>
      </c>
      <c r="C589" s="140">
        <v>37507.760000000002</v>
      </c>
      <c r="D589" s="140">
        <f>+C589*10%</f>
        <v>3750.7760000000003</v>
      </c>
      <c r="E589" s="140">
        <f>+C589-D589</f>
        <v>33756.984000000004</v>
      </c>
      <c r="F589" s="70">
        <v>46148</v>
      </c>
      <c r="G589" s="122">
        <v>46178</v>
      </c>
      <c r="H589" s="71"/>
      <c r="I589" s="136">
        <f>E589*15%</f>
        <v>5063.5476000000008</v>
      </c>
      <c r="J589" s="63">
        <f t="shared" si="204"/>
        <v>89.146964788732419</v>
      </c>
    </row>
    <row r="590" spans="1:10" x14ac:dyDescent="0.25">
      <c r="A590" s="45" t="s">
        <v>2239</v>
      </c>
      <c r="B590" s="410" t="s">
        <v>2347</v>
      </c>
      <c r="C590" s="140">
        <v>31140.28</v>
      </c>
      <c r="D590" s="140">
        <f>+C590*10%</f>
        <v>3114.0280000000002</v>
      </c>
      <c r="E590" s="140">
        <f>+C590-D590</f>
        <v>28026.252</v>
      </c>
      <c r="F590" s="70">
        <v>46148</v>
      </c>
      <c r="G590" s="122">
        <v>46178</v>
      </c>
      <c r="H590" s="71"/>
      <c r="I590" s="136">
        <f>E590*15%</f>
        <v>4203.9377999999997</v>
      </c>
      <c r="J590" s="63">
        <f t="shared" si="204"/>
        <v>74.012989436619719</v>
      </c>
    </row>
    <row r="591" spans="1:10" x14ac:dyDescent="0.25">
      <c r="A591" s="45" t="s">
        <v>2240</v>
      </c>
      <c r="B591" s="412" t="s">
        <v>2348</v>
      </c>
      <c r="C591" s="140">
        <v>6000</v>
      </c>
      <c r="D591" s="140">
        <f>+C591*10%</f>
        <v>600</v>
      </c>
      <c r="E591" s="140">
        <f>+C591-D591</f>
        <v>5400</v>
      </c>
      <c r="F591" s="70">
        <v>46150</v>
      </c>
      <c r="G591" s="122">
        <v>46178</v>
      </c>
      <c r="H591" s="71"/>
      <c r="I591" s="136">
        <f>E591*15%</f>
        <v>810</v>
      </c>
      <c r="J591" s="63">
        <f>+I591/56.8</f>
        <v>14.26056338028169</v>
      </c>
    </row>
    <row r="592" spans="1:10" ht="19.5" thickBot="1" x14ac:dyDescent="0.35">
      <c r="A592" s="65" t="s">
        <v>398</v>
      </c>
      <c r="B592" s="66"/>
      <c r="C592" s="67">
        <f>SUM(C588:C591)</f>
        <v>95588.040000000008</v>
      </c>
      <c r="D592" s="67">
        <f>SUM(D588:D591)</f>
        <v>9558.8040000000001</v>
      </c>
      <c r="E592" s="85">
        <f>SUM(E588:E591)</f>
        <v>86029.236000000004</v>
      </c>
      <c r="F592" s="4"/>
      <c r="G592" s="4"/>
      <c r="H592" s="21"/>
      <c r="I592" s="136">
        <f>SUM(I588:I591)</f>
        <v>12904.385400000001</v>
      </c>
      <c r="J592" s="63">
        <f t="shared" si="204"/>
        <v>227.18988380281692</v>
      </c>
    </row>
    <row r="596" spans="1:10" ht="34.5" thickBot="1" x14ac:dyDescent="0.55000000000000004">
      <c r="C596" s="98" t="s">
        <v>2349</v>
      </c>
    </row>
    <row r="597" spans="1:10" ht="15.75" thickBot="1" x14ac:dyDescent="0.3">
      <c r="A597" s="20" t="s">
        <v>32</v>
      </c>
      <c r="B597" s="20" t="s">
        <v>33</v>
      </c>
      <c r="C597" s="10" t="s">
        <v>34</v>
      </c>
      <c r="D597" s="10" t="s">
        <v>35</v>
      </c>
      <c r="E597" s="10" t="s">
        <v>36</v>
      </c>
      <c r="F597" s="10" t="s">
        <v>37</v>
      </c>
      <c r="G597" s="10" t="s">
        <v>38</v>
      </c>
      <c r="H597" s="132" t="s">
        <v>40</v>
      </c>
      <c r="I597" s="46" t="s">
        <v>415</v>
      </c>
      <c r="J597" s="46" t="s">
        <v>420</v>
      </c>
    </row>
    <row r="598" spans="1:10" x14ac:dyDescent="0.25">
      <c r="A598" s="45" t="s">
        <v>298</v>
      </c>
      <c r="B598" s="45" t="s">
        <v>2350</v>
      </c>
      <c r="C598" s="140">
        <v>117390</v>
      </c>
      <c r="D598" s="140">
        <f t="shared" ref="D598" si="205">+C598*10%</f>
        <v>11739</v>
      </c>
      <c r="E598" s="140">
        <f t="shared" ref="E598" si="206">+C598-D598</f>
        <v>105651</v>
      </c>
      <c r="F598" s="70">
        <v>46176</v>
      </c>
      <c r="G598" s="122">
        <v>46229</v>
      </c>
      <c r="H598" s="71"/>
      <c r="I598" s="136">
        <f t="shared" ref="I598" si="207">E598*15%</f>
        <v>15847.65</v>
      </c>
      <c r="J598" s="63">
        <f t="shared" ref="J598:J600" si="208">+I598/56.8</f>
        <v>279.00792253521126</v>
      </c>
    </row>
    <row r="599" spans="1:10" x14ac:dyDescent="0.25">
      <c r="A599" s="411" t="s">
        <v>2238</v>
      </c>
      <c r="B599" s="410" t="s">
        <v>2351</v>
      </c>
      <c r="C599" s="140">
        <v>2025</v>
      </c>
      <c r="D599" s="140">
        <f>+C599*10%</f>
        <v>202.5</v>
      </c>
      <c r="E599" s="140">
        <f>+C599-D599</f>
        <v>1822.5</v>
      </c>
      <c r="F599" s="70">
        <v>46176</v>
      </c>
      <c r="G599" s="122">
        <v>46208</v>
      </c>
      <c r="H599" s="71"/>
      <c r="I599" s="136">
        <f>E599*15%</f>
        <v>273.375</v>
      </c>
      <c r="J599" s="63">
        <f t="shared" si="208"/>
        <v>4.8129401408450709</v>
      </c>
    </row>
    <row r="600" spans="1:10" x14ac:dyDescent="0.25">
      <c r="A600" s="45" t="s">
        <v>2239</v>
      </c>
      <c r="B600" s="410" t="s">
        <v>2352</v>
      </c>
      <c r="C600" s="140">
        <v>1512</v>
      </c>
      <c r="D600" s="140">
        <f>+C600*10%</f>
        <v>151.20000000000002</v>
      </c>
      <c r="E600" s="140">
        <f>+C600-D600</f>
        <v>1360.8</v>
      </c>
      <c r="F600" s="70">
        <v>46176</v>
      </c>
      <c r="G600" s="122">
        <v>46208</v>
      </c>
      <c r="H600" s="71"/>
      <c r="I600" s="136">
        <f>E600*15%</f>
        <v>204.11999999999998</v>
      </c>
      <c r="J600" s="63">
        <f t="shared" si="208"/>
        <v>3.5936619718309855</v>
      </c>
    </row>
    <row r="601" spans="1:10" x14ac:dyDescent="0.25">
      <c r="A601" s="45" t="s">
        <v>2240</v>
      </c>
      <c r="B601" s="412" t="s">
        <v>2353</v>
      </c>
      <c r="C601" s="140">
        <v>20880</v>
      </c>
      <c r="D601" s="140">
        <f>+C601*10%</f>
        <v>2088</v>
      </c>
      <c r="E601" s="140">
        <f>+C601-D601</f>
        <v>18792</v>
      </c>
      <c r="F601" s="70">
        <v>46178</v>
      </c>
      <c r="G601" s="122">
        <v>46208</v>
      </c>
      <c r="H601" s="71"/>
      <c r="I601" s="136">
        <f>E601*15%</f>
        <v>2818.7999999999997</v>
      </c>
      <c r="J601" s="63">
        <f>+I601/56.8</f>
        <v>49.62676056338028</v>
      </c>
    </row>
    <row r="602" spans="1:10" ht="19.5" thickBot="1" x14ac:dyDescent="0.35">
      <c r="A602" s="65" t="s">
        <v>398</v>
      </c>
      <c r="B602" s="66"/>
      <c r="C602" s="67">
        <f>SUM(C598:C601)</f>
        <v>141807</v>
      </c>
      <c r="D602" s="67">
        <f>SUM(D598:D601)</f>
        <v>14180.7</v>
      </c>
      <c r="E602" s="85">
        <f>SUM(E598:E601)</f>
        <v>127626.3</v>
      </c>
      <c r="F602" s="4"/>
      <c r="G602" s="4"/>
      <c r="H602" s="21"/>
      <c r="I602" s="136">
        <f>SUM(I598:I600)</f>
        <v>16325.145</v>
      </c>
      <c r="J602" s="63">
        <f t="shared" ref="J602" si="209">+I602/56.8</f>
        <v>287.41452464788733</v>
      </c>
    </row>
  </sheetData>
  <autoFilter ref="G3:G8" xr:uid="{00000000-0009-0000-0000-000003000000}"/>
  <mergeCells count="1">
    <mergeCell ref="A1:K1"/>
  </mergeCells>
  <phoneticPr fontId="13" type="noConversion"/>
  <pageMargins left="0.7" right="0.7" top="0.75" bottom="0.75" header="0.3" footer="0.3"/>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P88"/>
  <sheetViews>
    <sheetView workbookViewId="0">
      <pane xSplit="1" ySplit="2" topLeftCell="B57" activePane="bottomRight" state="frozen"/>
      <selection pane="topRight" activeCell="B1" sqref="B1"/>
      <selection pane="bottomLeft" activeCell="A3" sqref="A3"/>
      <selection pane="bottomRight" activeCell="D63" sqref="D63"/>
    </sheetView>
  </sheetViews>
  <sheetFormatPr baseColWidth="10" defaultColWidth="11.42578125" defaultRowHeight="15" x14ac:dyDescent="0.25"/>
  <cols>
    <col min="2" max="2" width="16.7109375" customWidth="1"/>
    <col min="3" max="3" width="13.5703125" customWidth="1"/>
    <col min="4" max="4" width="13.140625" bestFit="1" customWidth="1"/>
    <col min="5" max="5" width="17.85546875" customWidth="1"/>
    <col min="6" max="6" width="14.28515625" customWidth="1"/>
    <col min="7" max="7" width="16.5703125" customWidth="1"/>
    <col min="8" max="8" width="19" bestFit="1" customWidth="1"/>
    <col min="9" max="9" width="14.140625" bestFit="1" customWidth="1"/>
    <col min="10" max="10" width="16.7109375" customWidth="1"/>
    <col min="11" max="11" width="11.42578125" bestFit="1" customWidth="1"/>
    <col min="12" max="23" width="14.140625" bestFit="1" customWidth="1"/>
    <col min="24" max="26" width="12.5703125" bestFit="1" customWidth="1"/>
    <col min="27" max="27" width="14.140625" bestFit="1" customWidth="1"/>
    <col min="28" max="28" width="21.42578125" bestFit="1" customWidth="1"/>
    <col min="29" max="34" width="11.85546875" bestFit="1" customWidth="1"/>
    <col min="35" max="35" width="13.42578125" bestFit="1" customWidth="1"/>
    <col min="36" max="36" width="23" bestFit="1" customWidth="1"/>
    <col min="37" max="37" width="20.85546875" bestFit="1" customWidth="1"/>
    <col min="38" max="38" width="17.42578125" bestFit="1" customWidth="1"/>
    <col min="39" max="39" width="26.42578125" bestFit="1" customWidth="1"/>
  </cols>
  <sheetData>
    <row r="1" spans="1:12" ht="60" customHeight="1" thickBot="1" x14ac:dyDescent="0.3">
      <c r="B1" s="413" t="s">
        <v>451</v>
      </c>
      <c r="C1" s="413"/>
      <c r="D1" s="413"/>
      <c r="E1" s="413"/>
      <c r="F1" s="413"/>
      <c r="G1" s="413"/>
      <c r="H1" s="52"/>
    </row>
    <row r="2" spans="1:12" ht="15.75" thickBot="1" x14ac:dyDescent="0.3">
      <c r="A2" s="300" t="s">
        <v>452</v>
      </c>
      <c r="B2" s="300" t="s">
        <v>453</v>
      </c>
      <c r="C2" s="301" t="s">
        <v>454</v>
      </c>
      <c r="D2" s="301" t="s">
        <v>15</v>
      </c>
      <c r="E2" s="301" t="s">
        <v>18</v>
      </c>
      <c r="F2" s="301" t="s">
        <v>455</v>
      </c>
      <c r="G2" s="301" t="s">
        <v>456</v>
      </c>
      <c r="H2" s="301" t="s">
        <v>457</v>
      </c>
    </row>
    <row r="3" spans="1:12" x14ac:dyDescent="0.25">
      <c r="A3" s="291">
        <v>2021</v>
      </c>
      <c r="B3" s="292" t="s">
        <v>458</v>
      </c>
      <c r="C3" s="293">
        <v>35925</v>
      </c>
      <c r="D3" s="294">
        <v>58466.92</v>
      </c>
      <c r="E3" s="293">
        <v>34954.57</v>
      </c>
      <c r="F3" s="293">
        <v>121000</v>
      </c>
      <c r="G3" s="293"/>
      <c r="H3" s="295">
        <f t="shared" ref="H3:H8" si="0">SUM(C3:F3)</f>
        <v>250346.49</v>
      </c>
    </row>
    <row r="4" spans="1:12" x14ac:dyDescent="0.25">
      <c r="A4" s="296">
        <v>2021</v>
      </c>
      <c r="B4" s="292" t="s">
        <v>459</v>
      </c>
      <c r="C4" s="293">
        <v>35925</v>
      </c>
      <c r="D4" s="294">
        <v>58466.92</v>
      </c>
      <c r="E4" s="293">
        <v>34954.57</v>
      </c>
      <c r="F4" s="293">
        <f>+'CONSOLIDADOS DE PAGOS'!E9</f>
        <v>61445.25</v>
      </c>
      <c r="G4" s="293"/>
      <c r="H4" s="295">
        <f t="shared" si="0"/>
        <v>190791.74</v>
      </c>
      <c r="K4" s="183" t="s">
        <v>2202</v>
      </c>
      <c r="L4" t="s">
        <v>1890</v>
      </c>
    </row>
    <row r="5" spans="1:12" x14ac:dyDescent="0.25">
      <c r="A5" s="297">
        <v>2021</v>
      </c>
      <c r="B5" s="292" t="s">
        <v>460</v>
      </c>
      <c r="C5" s="293">
        <v>35925</v>
      </c>
      <c r="D5" s="294">
        <v>58466.92</v>
      </c>
      <c r="E5" s="293">
        <v>34954.57</v>
      </c>
      <c r="F5" s="293">
        <v>331913.01</v>
      </c>
      <c r="G5" s="293"/>
      <c r="H5" s="295">
        <f t="shared" si="0"/>
        <v>461259.5</v>
      </c>
      <c r="K5" s="148" t="s">
        <v>464</v>
      </c>
      <c r="L5" s="97">
        <v>1349555.611</v>
      </c>
    </row>
    <row r="6" spans="1:12" x14ac:dyDescent="0.25">
      <c r="A6" s="296">
        <v>2021</v>
      </c>
      <c r="B6" s="292" t="s">
        <v>461</v>
      </c>
      <c r="C6" s="293">
        <v>35925</v>
      </c>
      <c r="D6" s="294">
        <v>58466.92</v>
      </c>
      <c r="E6" s="293">
        <v>34954.57</v>
      </c>
      <c r="F6" s="293">
        <f>+'CONSOLIDADOS DE PAGOS'!E34</f>
        <v>195013.04399999999</v>
      </c>
      <c r="G6" s="293"/>
      <c r="H6" s="295">
        <f t="shared" si="0"/>
        <v>324359.53399999999</v>
      </c>
      <c r="K6" s="148" t="s">
        <v>465</v>
      </c>
      <c r="L6" s="97">
        <v>1189739.75</v>
      </c>
    </row>
    <row r="7" spans="1:12" x14ac:dyDescent="0.25">
      <c r="A7" s="297">
        <v>2021</v>
      </c>
      <c r="B7" s="292" t="s">
        <v>462</v>
      </c>
      <c r="C7" s="293">
        <v>26500</v>
      </c>
      <c r="D7" s="294">
        <v>58886.92</v>
      </c>
      <c r="E7" s="293">
        <v>57700</v>
      </c>
      <c r="F7" s="293">
        <f>+'CONSOLIDADOS DE PAGOS'!E54</f>
        <v>123506.96400000001</v>
      </c>
      <c r="G7" s="293"/>
      <c r="H7" s="295">
        <f t="shared" si="0"/>
        <v>266593.88399999996</v>
      </c>
      <c r="K7" s="148" t="s">
        <v>466</v>
      </c>
      <c r="L7" s="97">
        <v>1285348.1319999998</v>
      </c>
    </row>
    <row r="8" spans="1:12" x14ac:dyDescent="0.25">
      <c r="A8" s="296">
        <v>2021</v>
      </c>
      <c r="B8" s="292" t="s">
        <v>463</v>
      </c>
      <c r="C8" s="293">
        <v>26500</v>
      </c>
      <c r="D8" s="294">
        <v>58466.92</v>
      </c>
      <c r="E8" s="293">
        <v>57700</v>
      </c>
      <c r="F8" s="293">
        <f>+'CONSOLIDADOS DE PAGOS'!E66</f>
        <v>102406.5</v>
      </c>
      <c r="G8" s="293"/>
      <c r="H8" s="295">
        <f t="shared" si="0"/>
        <v>245073.41999999998</v>
      </c>
      <c r="K8" s="148" t="s">
        <v>467</v>
      </c>
      <c r="L8" s="97">
        <v>1508792.0109999999</v>
      </c>
    </row>
    <row r="9" spans="1:12" x14ac:dyDescent="0.25">
      <c r="A9" s="297">
        <v>2022</v>
      </c>
      <c r="B9" s="292" t="s">
        <v>464</v>
      </c>
      <c r="C9" s="293">
        <v>26500</v>
      </c>
      <c r="D9" s="294">
        <v>58889.87</v>
      </c>
      <c r="E9" s="293">
        <v>57365.93</v>
      </c>
      <c r="F9" s="293">
        <f>+'CONSOLIDADOS DE PAGOS'!E79</f>
        <v>80956.97099999999</v>
      </c>
      <c r="G9" s="293"/>
      <c r="H9" s="295">
        <f>SUM(C9:F9)</f>
        <v>223712.77099999998</v>
      </c>
      <c r="K9" s="148" t="s">
        <v>468</v>
      </c>
      <c r="L9" s="97">
        <v>1348325.55</v>
      </c>
    </row>
    <row r="10" spans="1:12" x14ac:dyDescent="0.25">
      <c r="A10" s="296">
        <v>2022</v>
      </c>
      <c r="B10" s="292" t="s">
        <v>465</v>
      </c>
      <c r="C10" s="293">
        <v>26500</v>
      </c>
      <c r="D10" s="294">
        <v>58886</v>
      </c>
      <c r="E10" s="293">
        <v>57365.93</v>
      </c>
      <c r="F10" s="293">
        <f>+'CONSOLIDADOS DE PAGOS'!E93</f>
        <v>75409.649999999994</v>
      </c>
      <c r="G10" s="293"/>
      <c r="H10" s="295">
        <f>SUM(C10:F10)</f>
        <v>218161.58</v>
      </c>
      <c r="K10" s="148" t="s">
        <v>469</v>
      </c>
      <c r="L10" s="97">
        <v>1319047.3169999998</v>
      </c>
    </row>
    <row r="11" spans="1:12" x14ac:dyDescent="0.25">
      <c r="A11" s="297">
        <v>2022</v>
      </c>
      <c r="B11" s="292" t="s">
        <v>466</v>
      </c>
      <c r="C11" s="293">
        <v>71300</v>
      </c>
      <c r="D11" s="294">
        <v>74886</v>
      </c>
      <c r="E11" s="293">
        <v>57365.93</v>
      </c>
      <c r="F11" s="293">
        <v>129321</v>
      </c>
      <c r="G11" s="293"/>
      <c r="H11" s="295">
        <f>+C11+D11+E11+F11</f>
        <v>332872.93</v>
      </c>
      <c r="K11" s="148" t="s">
        <v>458</v>
      </c>
      <c r="L11" s="97">
        <v>1387573.06</v>
      </c>
    </row>
    <row r="12" spans="1:12" x14ac:dyDescent="0.25">
      <c r="A12" s="296">
        <v>2022</v>
      </c>
      <c r="B12" s="292" t="s">
        <v>467</v>
      </c>
      <c r="C12" s="293">
        <v>72655.11</v>
      </c>
      <c r="D12" s="294">
        <v>58886</v>
      </c>
      <c r="E12" s="293">
        <v>57365.93</v>
      </c>
      <c r="F12" s="294">
        <v>169756.02</v>
      </c>
      <c r="G12" s="294"/>
      <c r="H12" s="295">
        <f t="shared" ref="H12:H20" si="1">SUM(C12:F12)</f>
        <v>358663.05999999994</v>
      </c>
      <c r="K12" s="148" t="s">
        <v>459</v>
      </c>
      <c r="L12" s="97">
        <v>1875101.662</v>
      </c>
    </row>
    <row r="13" spans="1:12" x14ac:dyDescent="0.25">
      <c r="A13" s="297">
        <v>2022</v>
      </c>
      <c r="B13" s="292" t="s">
        <v>468</v>
      </c>
      <c r="C13" s="293">
        <v>72655.11</v>
      </c>
      <c r="D13" s="294">
        <v>58886</v>
      </c>
      <c r="E13" s="293">
        <v>57365.93</v>
      </c>
      <c r="F13" s="293">
        <v>130658.40000000002</v>
      </c>
      <c r="G13" s="293"/>
      <c r="H13" s="295">
        <f t="shared" si="1"/>
        <v>319565.44</v>
      </c>
      <c r="K13" s="148" t="s">
        <v>460</v>
      </c>
      <c r="L13" s="97">
        <v>2714837.9290000005</v>
      </c>
    </row>
    <row r="14" spans="1:12" x14ac:dyDescent="0.25">
      <c r="A14" s="296">
        <v>2022</v>
      </c>
      <c r="B14" s="292" t="s">
        <v>469</v>
      </c>
      <c r="C14" s="293">
        <v>72655.11</v>
      </c>
      <c r="D14" s="294">
        <v>58886</v>
      </c>
      <c r="E14" s="293">
        <v>57365.93</v>
      </c>
      <c r="F14" s="293">
        <v>39941.1</v>
      </c>
      <c r="G14" s="293"/>
      <c r="H14" s="295">
        <f t="shared" si="1"/>
        <v>228848.13999999998</v>
      </c>
      <c r="K14" s="148" t="s">
        <v>461</v>
      </c>
      <c r="L14" s="97">
        <v>1852981.0719999999</v>
      </c>
    </row>
    <row r="15" spans="1:12" x14ac:dyDescent="0.25">
      <c r="A15" s="297">
        <v>2022</v>
      </c>
      <c r="B15" s="292" t="s">
        <v>458</v>
      </c>
      <c r="C15" s="293">
        <v>72655.11</v>
      </c>
      <c r="D15" s="294">
        <v>58886</v>
      </c>
      <c r="E15" s="293">
        <v>57365.93</v>
      </c>
      <c r="F15" s="293">
        <f>+'CONSOLIDADOS DE PAGOS'!E177</f>
        <v>65691</v>
      </c>
      <c r="G15" s="293"/>
      <c r="H15" s="295">
        <f t="shared" si="1"/>
        <v>254598.03999999998</v>
      </c>
      <c r="K15" s="148" t="s">
        <v>462</v>
      </c>
      <c r="L15" s="97">
        <v>1789729.7599999998</v>
      </c>
    </row>
    <row r="16" spans="1:12" x14ac:dyDescent="0.25">
      <c r="A16" s="296">
        <v>2022</v>
      </c>
      <c r="B16" s="292" t="s">
        <v>459</v>
      </c>
      <c r="C16" s="293">
        <v>72655.11</v>
      </c>
      <c r="D16" s="294">
        <v>58886</v>
      </c>
      <c r="E16" s="293">
        <v>57365.93</v>
      </c>
      <c r="F16" s="293">
        <f>+'CONSOLIDADOS DE PAGOS'!E188</f>
        <v>246284.87399999998</v>
      </c>
      <c r="G16" s="293"/>
      <c r="H16" s="295">
        <f t="shared" si="1"/>
        <v>435191.91399999999</v>
      </c>
      <c r="K16" s="148" t="s">
        <v>463</v>
      </c>
      <c r="L16" s="97">
        <v>1566250.63</v>
      </c>
    </row>
    <row r="17" spans="1:16" x14ac:dyDescent="0.25">
      <c r="A17" s="297">
        <v>2022</v>
      </c>
      <c r="B17" s="292" t="s">
        <v>460</v>
      </c>
      <c r="C17" s="293">
        <v>72655.11</v>
      </c>
      <c r="D17" s="294">
        <v>58886</v>
      </c>
      <c r="E17" s="293">
        <v>57365.93</v>
      </c>
      <c r="F17" s="293">
        <f>+'CONSOLIDADOS DE PAGOS'!E204</f>
        <v>829822.23800000013</v>
      </c>
      <c r="G17" s="293"/>
      <c r="H17" s="295">
        <f>SUM(C17:F17)</f>
        <v>1018729.2780000002</v>
      </c>
    </row>
    <row r="18" spans="1:16" x14ac:dyDescent="0.25">
      <c r="A18" s="296">
        <v>2022</v>
      </c>
      <c r="B18" s="292" t="s">
        <v>461</v>
      </c>
      <c r="C18" s="293">
        <v>72655.11</v>
      </c>
      <c r="D18" s="294">
        <v>58886</v>
      </c>
      <c r="E18" s="293">
        <v>57365.93</v>
      </c>
      <c r="F18" s="295">
        <f>+'CONSOLIDADOS DE PAGOS'!E214</f>
        <v>200775.008</v>
      </c>
      <c r="G18" s="295"/>
      <c r="H18" s="295">
        <f t="shared" si="1"/>
        <v>389682.04799999995</v>
      </c>
    </row>
    <row r="19" spans="1:16" x14ac:dyDescent="0.25">
      <c r="A19" s="297">
        <v>2022</v>
      </c>
      <c r="B19" s="292" t="s">
        <v>462</v>
      </c>
      <c r="C19" s="293">
        <v>72655.11</v>
      </c>
      <c r="D19" s="294">
        <v>58886</v>
      </c>
      <c r="E19" s="293">
        <v>57365.93</v>
      </c>
      <c r="F19" s="293">
        <f>+'CONSOLIDADOS DE PAGOS'!E230</f>
        <v>308422.81799999997</v>
      </c>
      <c r="G19" s="293"/>
      <c r="H19" s="295">
        <f t="shared" si="1"/>
        <v>497329.85799999995</v>
      </c>
    </row>
    <row r="20" spans="1:16" x14ac:dyDescent="0.25">
      <c r="A20" s="296">
        <v>2022</v>
      </c>
      <c r="B20" s="292" t="s">
        <v>463</v>
      </c>
      <c r="C20" s="293">
        <v>72655.11</v>
      </c>
      <c r="D20" s="294">
        <v>58886</v>
      </c>
      <c r="E20" s="293">
        <v>57365.93</v>
      </c>
      <c r="F20" s="293">
        <f>+'CONSOLIDADOS DE PAGOS'!E241</f>
        <v>309126.59999999998</v>
      </c>
      <c r="G20" s="293"/>
      <c r="H20" s="295">
        <f t="shared" si="1"/>
        <v>498033.63999999996</v>
      </c>
    </row>
    <row r="21" spans="1:16" x14ac:dyDescent="0.25">
      <c r="A21" s="297">
        <v>2023</v>
      </c>
      <c r="B21" s="292" t="s">
        <v>464</v>
      </c>
      <c r="C21" s="293">
        <v>72655.11</v>
      </c>
      <c r="D21" s="294">
        <v>58889.87</v>
      </c>
      <c r="E21" s="293">
        <v>57365.93</v>
      </c>
      <c r="F21" s="293">
        <v>160148.53</v>
      </c>
      <c r="G21" s="293">
        <v>6000</v>
      </c>
      <c r="H21" s="295">
        <f>+C21+D21+E21+F21+G21</f>
        <v>355059.44</v>
      </c>
      <c r="I21" s="139"/>
    </row>
    <row r="22" spans="1:16" x14ac:dyDescent="0.25">
      <c r="A22" s="296">
        <v>2023</v>
      </c>
      <c r="B22" s="292" t="s">
        <v>465</v>
      </c>
      <c r="C22" s="293">
        <v>72655.11</v>
      </c>
      <c r="D22" s="294">
        <v>58886</v>
      </c>
      <c r="E22" s="293">
        <v>57365.93</v>
      </c>
      <c r="F22" s="293">
        <f>+'CONSOLIDADOS DE PAGOS'!E260</f>
        <v>23911.200000000001</v>
      </c>
      <c r="G22" s="293">
        <v>30000</v>
      </c>
      <c r="H22" s="295">
        <f>+C22+D22+E22+F22+G22</f>
        <v>242818.24</v>
      </c>
      <c r="I22" s="156"/>
    </row>
    <row r="23" spans="1:16" x14ac:dyDescent="0.25">
      <c r="A23" s="297">
        <v>2023</v>
      </c>
      <c r="B23" s="292" t="s">
        <v>466</v>
      </c>
      <c r="C23" s="293">
        <v>72655.11</v>
      </c>
      <c r="D23" s="294">
        <v>58886</v>
      </c>
      <c r="E23" s="293">
        <v>57365.93</v>
      </c>
      <c r="F23" s="293">
        <f>+'CONSOLIDADOS DE PAGOS'!E270</f>
        <v>230489.53199999998</v>
      </c>
      <c r="G23" s="293">
        <v>30000</v>
      </c>
      <c r="H23" s="295">
        <f t="shared" ref="H23:H32" si="2">+C23+D23+E23+F23+G23</f>
        <v>449396.57199999993</v>
      </c>
    </row>
    <row r="24" spans="1:16" x14ac:dyDescent="0.25">
      <c r="A24" s="296">
        <v>2023</v>
      </c>
      <c r="B24" s="292" t="s">
        <v>467</v>
      </c>
      <c r="C24" s="293">
        <v>72655.11</v>
      </c>
      <c r="D24" s="294">
        <v>58886</v>
      </c>
      <c r="E24" s="293">
        <v>57365.93</v>
      </c>
      <c r="F24" s="294">
        <f>+'CONSOLIDADOS DE PAGOS'!E281</f>
        <v>260954.32500000001</v>
      </c>
      <c r="G24" s="293">
        <v>0</v>
      </c>
      <c r="H24" s="295">
        <f t="shared" si="2"/>
        <v>449861.36499999999</v>
      </c>
    </row>
    <row r="25" spans="1:16" x14ac:dyDescent="0.25">
      <c r="A25" s="297">
        <v>2023</v>
      </c>
      <c r="B25" s="292" t="s">
        <v>468</v>
      </c>
      <c r="C25" s="293">
        <v>72655.11</v>
      </c>
      <c r="D25" s="294">
        <v>58886</v>
      </c>
      <c r="E25" s="293">
        <v>57365.93</v>
      </c>
      <c r="F25" s="293">
        <f>+'CONSOLIDADOS DE PAGOS'!E290</f>
        <v>278545.14</v>
      </c>
      <c r="G25" s="293">
        <v>10000</v>
      </c>
      <c r="H25" s="295">
        <f t="shared" si="2"/>
        <v>477452.18</v>
      </c>
    </row>
    <row r="26" spans="1:16" x14ac:dyDescent="0.25">
      <c r="A26" s="296">
        <v>2023</v>
      </c>
      <c r="B26" s="292" t="s">
        <v>469</v>
      </c>
      <c r="C26" s="293">
        <v>72655.11</v>
      </c>
      <c r="D26" s="294">
        <v>58886</v>
      </c>
      <c r="E26" s="293">
        <v>57365.93</v>
      </c>
      <c r="F26" s="293">
        <f>+'CONSOLIDADOS DE PAGOS'!E305</f>
        <v>286613.09999999998</v>
      </c>
      <c r="G26" s="293">
        <v>20000</v>
      </c>
      <c r="H26" s="295">
        <f t="shared" si="2"/>
        <v>495520.13999999996</v>
      </c>
    </row>
    <row r="27" spans="1:16" x14ac:dyDescent="0.25">
      <c r="A27" s="297">
        <v>2023</v>
      </c>
      <c r="B27" s="292" t="s">
        <v>458</v>
      </c>
      <c r="C27" s="293">
        <v>72655.11</v>
      </c>
      <c r="D27" s="294">
        <v>58886</v>
      </c>
      <c r="E27" s="293">
        <v>57365.93</v>
      </c>
      <c r="F27" s="293">
        <f>+'CONSOLIDADOS DE PAGOS'!E316</f>
        <v>189596.15999999997</v>
      </c>
      <c r="G27" s="293"/>
      <c r="H27" s="295">
        <f t="shared" si="2"/>
        <v>378503.19999999995</v>
      </c>
    </row>
    <row r="28" spans="1:16" x14ac:dyDescent="0.25">
      <c r="A28" s="296">
        <v>2023</v>
      </c>
      <c r="B28" s="292" t="s">
        <v>459</v>
      </c>
      <c r="C28" s="293">
        <v>72655.11</v>
      </c>
      <c r="D28" s="294">
        <v>58886</v>
      </c>
      <c r="E28" s="293">
        <v>57365.93</v>
      </c>
      <c r="F28" s="293">
        <f>'CONSOLIDADOS DE PAGOS'!E329</f>
        <v>403213.05</v>
      </c>
      <c r="G28" s="293">
        <v>10000</v>
      </c>
      <c r="H28" s="295">
        <f t="shared" si="2"/>
        <v>602120.09</v>
      </c>
      <c r="J28" s="332" t="s">
        <v>2203</v>
      </c>
      <c r="K28">
        <v>44</v>
      </c>
      <c r="O28" t="s">
        <v>2205</v>
      </c>
      <c r="P28" t="s">
        <v>2206</v>
      </c>
    </row>
    <row r="29" spans="1:16" x14ac:dyDescent="0.25">
      <c r="A29" s="297">
        <v>2023</v>
      </c>
      <c r="B29" s="292" t="s">
        <v>460</v>
      </c>
      <c r="C29" s="293">
        <v>72655.11</v>
      </c>
      <c r="D29" s="294">
        <v>58886</v>
      </c>
      <c r="E29" s="293">
        <v>57365.93</v>
      </c>
      <c r="F29" s="293">
        <f>+'CONSOLIDADOS DE PAGOS'!E343</f>
        <v>372549.78</v>
      </c>
      <c r="G29" s="293">
        <v>20000</v>
      </c>
      <c r="H29" s="295">
        <f t="shared" si="2"/>
        <v>581456.82000000007</v>
      </c>
      <c r="J29" s="332" t="s">
        <v>2204</v>
      </c>
      <c r="K29">
        <v>54</v>
      </c>
      <c r="O29" t="str" cm="1">
        <f t="array" aca="1" ref="O29:O82" ca="1">OFFSET(SUELDOS!B3,SUELDOS!K28,0,SUELDOS!K29,1)</f>
        <v>Marzo</v>
      </c>
      <c r="P29" s="184" cm="1">
        <f t="array" aca="1" ref="P29:P82" ca="1">OFFSET(SUELDOS!H3,SUELDOS!K28,0,SUELDOS!K29,1)</f>
        <v>314171.58999999997</v>
      </c>
    </row>
    <row r="30" spans="1:16" x14ac:dyDescent="0.25">
      <c r="A30" s="296">
        <v>2023</v>
      </c>
      <c r="B30" s="292" t="s">
        <v>461</v>
      </c>
      <c r="C30" s="293">
        <v>72655.11</v>
      </c>
      <c r="D30" s="294">
        <v>58886</v>
      </c>
      <c r="E30" s="293">
        <v>57365.93</v>
      </c>
      <c r="F30" s="295">
        <f>+'CONSOLIDADOS DE PAGOS'!E357</f>
        <v>208166.21999999997</v>
      </c>
      <c r="G30" s="293">
        <v>5000</v>
      </c>
      <c r="H30" s="295">
        <f t="shared" si="2"/>
        <v>402073.25999999995</v>
      </c>
      <c r="O30" t="str">
        <f ca="1"/>
        <v>Abril</v>
      </c>
      <c r="P30" s="184">
        <f ca="1"/>
        <v>230005.24599999998</v>
      </c>
    </row>
    <row r="31" spans="1:16" x14ac:dyDescent="0.25">
      <c r="A31" s="297">
        <v>2023</v>
      </c>
      <c r="B31" s="292" t="s">
        <v>462</v>
      </c>
      <c r="C31" s="293">
        <v>89000</v>
      </c>
      <c r="D31" s="294">
        <v>58886</v>
      </c>
      <c r="E31" s="293">
        <v>57365.93</v>
      </c>
      <c r="F31" s="295">
        <f>+'CONSOLIDADOS DE PAGOS'!E364</f>
        <v>285923.54700000002</v>
      </c>
      <c r="G31" s="293">
        <v>0</v>
      </c>
      <c r="H31" s="295">
        <f>+C31+D31+E31+F31+G31</f>
        <v>491175.47700000001</v>
      </c>
      <c r="O31" t="str">
        <f ca="1"/>
        <v>Mayo</v>
      </c>
      <c r="P31" s="184">
        <f ca="1"/>
        <v>218550.28999999998</v>
      </c>
    </row>
    <row r="32" spans="1:16" x14ac:dyDescent="0.25">
      <c r="A32" s="296">
        <v>2023</v>
      </c>
      <c r="B32" s="292" t="s">
        <v>463</v>
      </c>
      <c r="C32" s="293">
        <v>72655.11</v>
      </c>
      <c r="D32" s="294">
        <v>58886</v>
      </c>
      <c r="E32" s="293">
        <v>57365.93</v>
      </c>
      <c r="F32" s="295">
        <f>+'CONSOLIDADOS DE PAGOS'!E373</f>
        <v>193207.5</v>
      </c>
      <c r="G32" s="293">
        <v>0</v>
      </c>
      <c r="H32" s="295">
        <f t="shared" si="2"/>
        <v>382114.54</v>
      </c>
      <c r="O32" t="str">
        <f ca="1"/>
        <v>Junio</v>
      </c>
      <c r="P32" s="184">
        <f ca="1"/>
        <v>212893.48299999998</v>
      </c>
    </row>
    <row r="33" spans="1:16" x14ac:dyDescent="0.25">
      <c r="A33" s="297">
        <v>2024</v>
      </c>
      <c r="B33" s="292" t="s">
        <v>464</v>
      </c>
      <c r="C33" s="293">
        <v>72655.11</v>
      </c>
      <c r="D33" s="294">
        <v>58889.87</v>
      </c>
      <c r="E33" s="293">
        <v>57365.93</v>
      </c>
      <c r="F33" s="293">
        <f>+'CONSOLIDADOS DE PAGOS'!E380</f>
        <v>369322.2</v>
      </c>
      <c r="G33" s="293">
        <v>2000</v>
      </c>
      <c r="H33" s="295">
        <f>+C33+D33+E33+F33+G33</f>
        <v>560233.11</v>
      </c>
      <c r="O33" t="str">
        <f ca="1"/>
        <v>Julio</v>
      </c>
      <c r="P33" s="184">
        <f ca="1"/>
        <v>256216.08999999997</v>
      </c>
    </row>
    <row r="34" spans="1:16" x14ac:dyDescent="0.25">
      <c r="A34" s="296">
        <v>2024</v>
      </c>
      <c r="B34" s="292" t="s">
        <v>465</v>
      </c>
      <c r="C34" s="293">
        <v>72655.11</v>
      </c>
      <c r="D34" s="294">
        <v>58886</v>
      </c>
      <c r="E34" s="293">
        <v>57365.93</v>
      </c>
      <c r="F34" s="293">
        <f>+'CONSOLIDADOS DE PAGOS'!E388</f>
        <v>255045.6</v>
      </c>
      <c r="G34" s="293"/>
      <c r="H34" s="295">
        <f>+C34+D34+E34+F34+G34</f>
        <v>443952.64000000001</v>
      </c>
      <c r="O34" t="str">
        <f ca="1"/>
        <v>Agosto</v>
      </c>
      <c r="P34" s="184">
        <f ca="1"/>
        <v>332299.39</v>
      </c>
    </row>
    <row r="35" spans="1:16" x14ac:dyDescent="0.25">
      <c r="A35" s="297">
        <v>2024</v>
      </c>
      <c r="B35" s="292" t="s">
        <v>466</v>
      </c>
      <c r="C35" s="293">
        <v>72655.11</v>
      </c>
      <c r="D35" s="294">
        <v>58886</v>
      </c>
      <c r="E35" s="293">
        <v>57365.93</v>
      </c>
      <c r="F35" s="293">
        <v>0</v>
      </c>
      <c r="G35" s="293"/>
      <c r="H35" s="295">
        <f t="shared" ref="H35:H42" si="3">+C35+D35+E35+F35+G35</f>
        <v>188907.03999999998</v>
      </c>
      <c r="O35" t="str">
        <f ca="1"/>
        <v>Septiembre</v>
      </c>
      <c r="P35" s="184">
        <f ca="1"/>
        <v>399297.18099999998</v>
      </c>
    </row>
    <row r="36" spans="1:16" x14ac:dyDescent="0.25">
      <c r="A36" s="296">
        <v>2024</v>
      </c>
      <c r="B36" s="292" t="s">
        <v>467</v>
      </c>
      <c r="C36" s="293">
        <v>72655.11</v>
      </c>
      <c r="D36" s="294">
        <v>58886</v>
      </c>
      <c r="E36" s="293">
        <v>57365.93</v>
      </c>
      <c r="F36" s="294">
        <f>+'CONSOLIDADOS DE PAGOS'!E401</f>
        <v>281355.3</v>
      </c>
      <c r="G36" s="293"/>
      <c r="H36" s="295">
        <f t="shared" si="3"/>
        <v>470262.33999999997</v>
      </c>
      <c r="I36" s="139"/>
      <c r="O36" t="str">
        <f ca="1"/>
        <v>Octubre</v>
      </c>
      <c r="P36" s="184">
        <f ca="1"/>
        <v>309713.89</v>
      </c>
    </row>
    <row r="37" spans="1:16" x14ac:dyDescent="0.25">
      <c r="A37" s="297">
        <v>2024</v>
      </c>
      <c r="B37" s="292" t="s">
        <v>468</v>
      </c>
      <c r="C37" s="293">
        <v>72655.11</v>
      </c>
      <c r="D37" s="294">
        <v>58886</v>
      </c>
      <c r="E37" s="293">
        <v>57365.93</v>
      </c>
      <c r="F37" s="293">
        <f>+'CONSOLIDADOS DE PAGOS'!E412</f>
        <v>143850.6</v>
      </c>
      <c r="G37" s="293"/>
      <c r="H37" s="295">
        <f t="shared" si="3"/>
        <v>332757.64</v>
      </c>
      <c r="O37" t="str">
        <f ca="1"/>
        <v>Noviembre</v>
      </c>
      <c r="P37" s="184">
        <f ca="1"/>
        <v>208550.28999999998</v>
      </c>
    </row>
    <row r="38" spans="1:16" x14ac:dyDescent="0.25">
      <c r="A38" s="296">
        <v>2024</v>
      </c>
      <c r="B38" s="292" t="s">
        <v>469</v>
      </c>
      <c r="C38" s="293">
        <v>72655.11</v>
      </c>
      <c r="D38" s="294">
        <v>58886</v>
      </c>
      <c r="E38" s="293">
        <v>57365.93</v>
      </c>
      <c r="F38" s="293">
        <f>+'CONSOLIDADOS DE PAGOS'!E424</f>
        <v>197221.70699999999</v>
      </c>
      <c r="G38" s="293"/>
      <c r="H38" s="295">
        <f t="shared" si="3"/>
        <v>386128.74699999997</v>
      </c>
      <c r="I38" s="155"/>
      <c r="O38" t="str">
        <f ca="1"/>
        <v>Diciembre/doble</v>
      </c>
      <c r="P38" s="184">
        <f ca="1"/>
        <v>265588.71999999997</v>
      </c>
    </row>
    <row r="39" spans="1:16" x14ac:dyDescent="0.25">
      <c r="A39" s="297">
        <v>2024</v>
      </c>
      <c r="B39" s="292" t="s">
        <v>458</v>
      </c>
      <c r="C39" s="293">
        <v>72655.11</v>
      </c>
      <c r="D39" s="294">
        <v>58886</v>
      </c>
      <c r="E39" s="293">
        <v>57365.93</v>
      </c>
      <c r="F39" s="293">
        <f>+'CONSOLIDADOS DE PAGOS'!E430</f>
        <v>106668</v>
      </c>
      <c r="G39" s="293"/>
      <c r="H39" s="295">
        <f t="shared" si="3"/>
        <v>295575.03999999998</v>
      </c>
      <c r="O39" t="str">
        <f ca="1"/>
        <v>Diciembre</v>
      </c>
      <c r="P39" s="184">
        <f ca="1"/>
        <v>220443.68</v>
      </c>
    </row>
    <row r="40" spans="1:16" x14ac:dyDescent="0.25">
      <c r="A40" s="296">
        <v>2024</v>
      </c>
      <c r="B40" s="292" t="s">
        <v>459</v>
      </c>
      <c r="C40" s="293">
        <v>72655.11</v>
      </c>
      <c r="D40" s="294">
        <v>58886</v>
      </c>
      <c r="E40" s="293">
        <v>57365.93</v>
      </c>
      <c r="F40" s="293">
        <f>+'CONSOLIDADOS DE PAGOS'!E441</f>
        <v>249540.58799999999</v>
      </c>
      <c r="G40" s="293"/>
      <c r="H40" s="295">
        <f t="shared" si="3"/>
        <v>438447.62799999997</v>
      </c>
      <c r="O40" t="str">
        <f ca="1"/>
        <v>Enero</v>
      </c>
      <c r="P40" s="184">
        <f ca="1"/>
        <v>354326.49199999997</v>
      </c>
    </row>
    <row r="41" spans="1:16" x14ac:dyDescent="0.25">
      <c r="A41" s="297">
        <v>2024</v>
      </c>
      <c r="B41" s="292" t="s">
        <v>460</v>
      </c>
      <c r="C41" s="293">
        <v>72655.11</v>
      </c>
      <c r="D41" s="294">
        <v>58886</v>
      </c>
      <c r="E41" s="293">
        <v>57365.93</v>
      </c>
      <c r="F41" s="293">
        <f>'CONSOLIDADOS DE PAGOS'!E454</f>
        <v>255935.00099999999</v>
      </c>
      <c r="G41" s="293"/>
      <c r="H41" s="295">
        <f t="shared" si="3"/>
        <v>444842.04099999997</v>
      </c>
      <c r="O41" t="str">
        <f ca="1"/>
        <v>Febrero</v>
      </c>
      <c r="P41" s="184">
        <f ca="1"/>
        <v>270322.68</v>
      </c>
    </row>
    <row r="42" spans="1:16" x14ac:dyDescent="0.25">
      <c r="A42" s="296">
        <v>2024</v>
      </c>
      <c r="B42" s="292" t="s">
        <v>461</v>
      </c>
      <c r="C42" s="293">
        <v>72655.11</v>
      </c>
      <c r="D42" s="294">
        <v>58886</v>
      </c>
      <c r="E42" s="293">
        <v>57365.93</v>
      </c>
      <c r="F42" s="295">
        <f>'CONSOLIDADOS DE PAGOS'!E464</f>
        <v>339408.9</v>
      </c>
      <c r="G42" s="293"/>
      <c r="H42" s="295">
        <f t="shared" si="3"/>
        <v>528315.93999999994</v>
      </c>
      <c r="O42" t="str">
        <f ca="1"/>
        <v>Marzo</v>
      </c>
      <c r="P42" s="184">
        <f ca="1"/>
        <v>276386.23499999999</v>
      </c>
    </row>
    <row r="43" spans="1:16" x14ac:dyDescent="0.25">
      <c r="A43" s="297">
        <v>2024</v>
      </c>
      <c r="B43" s="292" t="s">
        <v>462</v>
      </c>
      <c r="C43" s="293">
        <v>89000</v>
      </c>
      <c r="D43" s="294">
        <v>58886</v>
      </c>
      <c r="E43" s="293">
        <v>57365.93</v>
      </c>
      <c r="F43" s="295">
        <f>+'CONSOLIDADOS DE PAGOS'!E474</f>
        <v>120828.321</v>
      </c>
      <c r="G43" s="293"/>
      <c r="H43" s="295">
        <f>+C43+D43+E43+F43+G43</f>
        <v>326080.25099999999</v>
      </c>
      <c r="O43" t="str">
        <f ca="1"/>
        <v>Abril</v>
      </c>
      <c r="P43" s="184">
        <f ca="1"/>
        <v>313009.91599999997</v>
      </c>
    </row>
    <row r="44" spans="1:16" x14ac:dyDescent="0.25">
      <c r="A44" s="296">
        <v>2024</v>
      </c>
      <c r="B44" s="292" t="s">
        <v>463</v>
      </c>
      <c r="C44" s="293">
        <v>72655.11</v>
      </c>
      <c r="D44" s="294">
        <v>58886</v>
      </c>
      <c r="E44" s="293">
        <v>57365.93</v>
      </c>
      <c r="F44" s="295">
        <f>+'CONSOLIDADOS DE PAGOS'!E484</f>
        <v>43571.7</v>
      </c>
      <c r="G44" s="293"/>
      <c r="H44" s="295">
        <f t="shared" ref="H44" si="4">+C44+D44+E44+F44+G44</f>
        <v>232478.74</v>
      </c>
      <c r="O44" t="str">
        <f ca="1"/>
        <v>Mayo</v>
      </c>
      <c r="P44" s="184">
        <f ca="1"/>
        <v>354606.98</v>
      </c>
    </row>
    <row r="45" spans="1:16" x14ac:dyDescent="0.25">
      <c r="A45" s="297">
        <v>2025</v>
      </c>
      <c r="B45" s="292" t="s">
        <v>464</v>
      </c>
      <c r="C45" s="293">
        <f>57960.94+23200.87</f>
        <v>81161.81</v>
      </c>
      <c r="D45" s="294">
        <v>64778.86</v>
      </c>
      <c r="E45" s="293">
        <v>62609.62</v>
      </c>
      <c r="F45" s="293">
        <v>0</v>
      </c>
      <c r="G45" s="293">
        <v>2000</v>
      </c>
      <c r="H45" s="295">
        <f>+C45+D45+E45+F45+G45</f>
        <v>210550.28999999998</v>
      </c>
      <c r="O45" t="str">
        <f ca="1"/>
        <v>Junio</v>
      </c>
      <c r="P45" s="184">
        <f ca="1"/>
        <v>226980.68</v>
      </c>
    </row>
    <row r="46" spans="1:16" x14ac:dyDescent="0.25">
      <c r="A46" s="296">
        <v>2025</v>
      </c>
      <c r="B46" s="292" t="s">
        <v>465</v>
      </c>
      <c r="C46" s="293">
        <f>57960.94+23200.87</f>
        <v>81161.81</v>
      </c>
      <c r="D46" s="294">
        <v>64778.86</v>
      </c>
      <c r="E46" s="293">
        <v>62609.62</v>
      </c>
      <c r="F46" s="293">
        <f>+'CONSOLIDADOS DE PAGOS'!E493</f>
        <v>76257</v>
      </c>
      <c r="G46" s="293"/>
      <c r="H46" s="295">
        <f>+C46+D46+E46+F46+G46</f>
        <v>284807.28999999998</v>
      </c>
      <c r="O46" t="str">
        <f ca="1"/>
        <v>Julio</v>
      </c>
      <c r="P46" s="184">
        <f ca="1"/>
        <v>226980.68</v>
      </c>
    </row>
    <row r="47" spans="1:16" x14ac:dyDescent="0.25">
      <c r="A47" s="297">
        <v>2025</v>
      </c>
      <c r="B47" s="292" t="s">
        <v>466</v>
      </c>
      <c r="C47" s="293">
        <f t="shared" ref="C47:C55" si="5">57960.94+23200.87</f>
        <v>81161.81</v>
      </c>
      <c r="D47" s="294">
        <v>64778.86</v>
      </c>
      <c r="E47" s="293">
        <v>62609.62</v>
      </c>
      <c r="F47" s="293">
        <f>+'CONSOLIDADOS DE PAGOS'!E500</f>
        <v>105621.3</v>
      </c>
      <c r="G47" s="293"/>
      <c r="H47" s="295">
        <f t="shared" ref="H47:H54" si="6">+C47+D47+E47+F47+G47</f>
        <v>314171.58999999997</v>
      </c>
      <c r="O47" t="str">
        <f ca="1"/>
        <v>Agosto</v>
      </c>
      <c r="P47" s="184">
        <f ca="1"/>
        <v>226980.68</v>
      </c>
    </row>
    <row r="48" spans="1:16" x14ac:dyDescent="0.25">
      <c r="A48" s="296">
        <v>2025</v>
      </c>
      <c r="B48" s="292" t="s">
        <v>467</v>
      </c>
      <c r="C48" s="293">
        <f t="shared" si="5"/>
        <v>81161.81</v>
      </c>
      <c r="D48" s="294">
        <v>64778.86</v>
      </c>
      <c r="E48" s="293">
        <v>62609.62</v>
      </c>
      <c r="F48" s="294">
        <f>+'CONSOLIDADOS DE PAGOS'!E508</f>
        <v>21454.955999999998</v>
      </c>
      <c r="G48" s="293"/>
      <c r="H48" s="295">
        <f t="shared" si="6"/>
        <v>230005.24599999998</v>
      </c>
      <c r="O48" t="str">
        <f ca="1"/>
        <v>Septiembre</v>
      </c>
      <c r="P48" s="184">
        <f ca="1"/>
        <v>226980.68</v>
      </c>
    </row>
    <row r="49" spans="1:16" x14ac:dyDescent="0.25">
      <c r="A49" s="297">
        <v>2025</v>
      </c>
      <c r="B49" s="292" t="s">
        <v>468</v>
      </c>
      <c r="C49" s="293">
        <f t="shared" si="5"/>
        <v>81161.81</v>
      </c>
      <c r="D49" s="294">
        <v>64778.86</v>
      </c>
      <c r="E49" s="293">
        <v>62609.62</v>
      </c>
      <c r="F49" s="293">
        <v>10000</v>
      </c>
      <c r="G49" s="293"/>
      <c r="H49" s="295">
        <f t="shared" si="6"/>
        <v>218550.28999999998</v>
      </c>
      <c r="O49" t="str">
        <f ca="1"/>
        <v>Octubre</v>
      </c>
      <c r="P49" s="184">
        <f ca="1"/>
        <v>226980.68</v>
      </c>
    </row>
    <row r="50" spans="1:16" x14ac:dyDescent="0.25">
      <c r="A50" s="296">
        <v>2025</v>
      </c>
      <c r="B50" s="292" t="s">
        <v>469</v>
      </c>
      <c r="C50" s="293">
        <f t="shared" si="5"/>
        <v>81161.81</v>
      </c>
      <c r="D50" s="294">
        <v>64778.86</v>
      </c>
      <c r="E50" s="293">
        <v>62609.62</v>
      </c>
      <c r="F50" s="293">
        <f>+'CONSOLIDADOS DE PAGOS'!E514</f>
        <v>4343.1930000000002</v>
      </c>
      <c r="G50" s="293"/>
      <c r="H50" s="295">
        <f t="shared" si="6"/>
        <v>212893.48299999998</v>
      </c>
      <c r="O50" t="str">
        <f ca="1"/>
        <v>Noviembre</v>
      </c>
      <c r="P50" s="184">
        <f ca="1"/>
        <v>226980.68</v>
      </c>
    </row>
    <row r="51" spans="1:16" x14ac:dyDescent="0.25">
      <c r="A51" s="297">
        <v>2025</v>
      </c>
      <c r="B51" s="292" t="s">
        <v>458</v>
      </c>
      <c r="C51" s="293">
        <f t="shared" si="5"/>
        <v>81161.81</v>
      </c>
      <c r="D51" s="294">
        <v>64778.86</v>
      </c>
      <c r="E51" s="293">
        <v>62609.62</v>
      </c>
      <c r="F51" s="293">
        <f>+'CONSOLIDADOS DE PAGOS'!E524</f>
        <v>47665.8</v>
      </c>
      <c r="G51" s="293"/>
      <c r="H51" s="295">
        <f t="shared" si="6"/>
        <v>256216.08999999997</v>
      </c>
      <c r="O51" t="str">
        <f ca="1"/>
        <v>Diciembre</v>
      </c>
      <c r="P51" s="184">
        <f ca="1"/>
        <v>226980.68</v>
      </c>
    </row>
    <row r="52" spans="1:16" x14ac:dyDescent="0.25">
      <c r="A52" s="296">
        <v>2025</v>
      </c>
      <c r="B52" s="292" t="s">
        <v>459</v>
      </c>
      <c r="C52" s="293">
        <f t="shared" si="5"/>
        <v>81161.81</v>
      </c>
      <c r="D52" s="294">
        <v>64778.86</v>
      </c>
      <c r="E52" s="293">
        <v>62609.62</v>
      </c>
      <c r="F52" s="293">
        <f>+'CONSOLIDADOS DE PAGOS'!E535</f>
        <v>123749.1</v>
      </c>
      <c r="G52" s="293"/>
      <c r="H52" s="295">
        <f t="shared" si="6"/>
        <v>332299.39</v>
      </c>
      <c r="O52" t="str">
        <f ca="1"/>
        <v>Diciembre/doble</v>
      </c>
      <c r="P52" s="184">
        <f ca="1"/>
        <v>0</v>
      </c>
    </row>
    <row r="53" spans="1:16" x14ac:dyDescent="0.25">
      <c r="A53" s="297">
        <v>2025</v>
      </c>
      <c r="B53" s="292" t="s">
        <v>460</v>
      </c>
      <c r="C53" s="293">
        <f t="shared" si="5"/>
        <v>81161.81</v>
      </c>
      <c r="D53" s="294">
        <v>64778.86</v>
      </c>
      <c r="E53" s="293">
        <v>62609.62</v>
      </c>
      <c r="F53" s="293">
        <f>+'CONSOLIDADOS DE PAGOS'!E545</f>
        <v>190746.891</v>
      </c>
      <c r="G53" s="293"/>
      <c r="H53" s="295">
        <f t="shared" si="6"/>
        <v>399297.18099999998</v>
      </c>
      <c r="O53">
        <f ca="1"/>
        <v>0</v>
      </c>
      <c r="P53" s="184">
        <f ca="1"/>
        <v>3463087.43</v>
      </c>
    </row>
    <row r="54" spans="1:16" x14ac:dyDescent="0.25">
      <c r="A54" s="296">
        <v>2025</v>
      </c>
      <c r="B54" s="292" t="s">
        <v>461</v>
      </c>
      <c r="C54" s="293">
        <f t="shared" si="5"/>
        <v>81161.81</v>
      </c>
      <c r="D54" s="294">
        <v>64778.86</v>
      </c>
      <c r="E54" s="293">
        <v>62609.62</v>
      </c>
      <c r="F54" s="293">
        <f>+'CONSOLIDADOS DE PAGOS'!E555</f>
        <v>101163.6</v>
      </c>
      <c r="G54" s="293"/>
      <c r="H54" s="295">
        <f t="shared" si="6"/>
        <v>309713.89</v>
      </c>
      <c r="O54">
        <f ca="1"/>
        <v>0</v>
      </c>
      <c r="P54" s="184">
        <f ca="1"/>
        <v>0</v>
      </c>
    </row>
    <row r="55" spans="1:16" x14ac:dyDescent="0.25">
      <c r="A55" s="297">
        <v>2025</v>
      </c>
      <c r="B55" s="292" t="s">
        <v>462</v>
      </c>
      <c r="C55" s="293">
        <f t="shared" si="5"/>
        <v>81161.81</v>
      </c>
      <c r="D55" s="294">
        <v>64778.86</v>
      </c>
      <c r="E55" s="293">
        <v>62609.62</v>
      </c>
      <c r="F55" s="293">
        <v>0</v>
      </c>
      <c r="G55" s="293"/>
      <c r="H55" s="295">
        <f>+C55+D55+E55+F55+G55</f>
        <v>208550.28999999998</v>
      </c>
      <c r="O55">
        <f ca="1"/>
        <v>0</v>
      </c>
      <c r="P55" s="184">
        <f ca="1"/>
        <v>0</v>
      </c>
    </row>
    <row r="56" spans="1:16" x14ac:dyDescent="0.25">
      <c r="A56" s="296">
        <v>2025</v>
      </c>
      <c r="B56" s="292" t="s">
        <v>2241</v>
      </c>
      <c r="C56" s="293">
        <v>109552.5</v>
      </c>
      <c r="D56" s="294">
        <v>75575.34</v>
      </c>
      <c r="E56" s="293">
        <v>80460.88</v>
      </c>
      <c r="F56" s="293">
        <v>0</v>
      </c>
      <c r="G56" s="293"/>
      <c r="H56" s="295">
        <f t="shared" ref="H56" si="7">+C56+D56+E56+F56+G56</f>
        <v>265588.71999999997</v>
      </c>
      <c r="O56">
        <f ca="1"/>
        <v>0</v>
      </c>
      <c r="P56" s="184">
        <f ca="1"/>
        <v>0</v>
      </c>
    </row>
    <row r="57" spans="1:16" x14ac:dyDescent="0.25">
      <c r="A57" s="296">
        <v>2025</v>
      </c>
      <c r="B57" s="292" t="s">
        <v>463</v>
      </c>
      <c r="C57" s="293">
        <f>57960.94+23200.87</f>
        <v>81161.81</v>
      </c>
      <c r="D57" s="294">
        <v>71256.740000000005</v>
      </c>
      <c r="E57" s="293">
        <v>68025.13</v>
      </c>
      <c r="F57" s="293">
        <v>0</v>
      </c>
      <c r="G57" s="293"/>
      <c r="H57" s="295">
        <f>+C57+D57+E57+F57+G57</f>
        <v>220443.68</v>
      </c>
      <c r="O57">
        <f ca="1"/>
        <v>0</v>
      </c>
      <c r="P57" s="184">
        <f ca="1"/>
        <v>0</v>
      </c>
    </row>
    <row r="58" spans="1:16" x14ac:dyDescent="0.25">
      <c r="A58" s="296">
        <v>2026</v>
      </c>
      <c r="B58" s="292" t="s">
        <v>464</v>
      </c>
      <c r="C58" s="294">
        <f t="shared" ref="C58:C59" si="8">57960.94+23200.87</f>
        <v>81161.81</v>
      </c>
      <c r="D58" s="294">
        <v>71256.740000000005</v>
      </c>
      <c r="E58" s="293">
        <v>68025.13</v>
      </c>
      <c r="F58" s="293">
        <f>+'CONSOLIDADOS DE PAGOS'!E566</f>
        <v>133882.81200000001</v>
      </c>
      <c r="G58" s="293"/>
      <c r="H58" s="295">
        <f t="shared" ref="H58:H59" si="9">+C58+D58+E58+F58+G58</f>
        <v>354326.49199999997</v>
      </c>
      <c r="O58">
        <f ca="1"/>
        <v>0</v>
      </c>
      <c r="P58" s="184">
        <f ca="1"/>
        <v>0</v>
      </c>
    </row>
    <row r="59" spans="1:16" x14ac:dyDescent="0.25">
      <c r="A59" s="296">
        <v>2026</v>
      </c>
      <c r="B59" s="292" t="s">
        <v>465</v>
      </c>
      <c r="C59" s="167">
        <f t="shared" si="8"/>
        <v>81161.81</v>
      </c>
      <c r="D59" s="294">
        <v>74819.58</v>
      </c>
      <c r="E59" s="293">
        <v>70999.289999999994</v>
      </c>
      <c r="F59" s="362">
        <f>+'CONSOLIDADOS DE PAGOS'!E572</f>
        <v>36342</v>
      </c>
      <c r="G59" s="362">
        <v>7000</v>
      </c>
      <c r="H59" s="363">
        <f t="shared" si="9"/>
        <v>270322.68</v>
      </c>
      <c r="O59">
        <f ca="1"/>
        <v>0</v>
      </c>
      <c r="P59" s="184">
        <f ca="1"/>
        <v>0</v>
      </c>
    </row>
    <row r="60" spans="1:16" x14ac:dyDescent="0.25">
      <c r="A60" s="296">
        <v>2026</v>
      </c>
      <c r="B60" s="338" t="s">
        <v>466</v>
      </c>
      <c r="C60" s="299">
        <f t="shared" ref="C60:C67" si="10">57960.94+23200.87</f>
        <v>81161.81</v>
      </c>
      <c r="D60" s="184">
        <v>74819.58</v>
      </c>
      <c r="E60" s="184">
        <v>70999.289999999994</v>
      </c>
      <c r="F60" s="298">
        <f>+'CONSOLIDADOS DE PAGOS'!E583</f>
        <v>39405.554999999993</v>
      </c>
      <c r="G60" s="298">
        <v>10000</v>
      </c>
      <c r="H60" s="336">
        <f t="shared" ref="H60:H67" si="11">+C60+D60+E60+F60+G60</f>
        <v>276386.23499999999</v>
      </c>
      <c r="O60">
        <f ca="1"/>
        <v>0</v>
      </c>
      <c r="P60" s="184">
        <f ca="1"/>
        <v>0</v>
      </c>
    </row>
    <row r="61" spans="1:16" x14ac:dyDescent="0.25">
      <c r="A61" s="296">
        <v>2026</v>
      </c>
      <c r="B61" s="338" t="s">
        <v>467</v>
      </c>
      <c r="C61" s="176">
        <f t="shared" si="10"/>
        <v>81161.81</v>
      </c>
      <c r="D61" s="184">
        <v>74819.58</v>
      </c>
      <c r="E61" s="184">
        <v>70999.289999999994</v>
      </c>
      <c r="F61" s="335">
        <f>+'CONSOLIDADOS DE PAGOS'!E592</f>
        <v>86029.236000000004</v>
      </c>
      <c r="G61" s="335"/>
      <c r="H61" s="337">
        <f t="shared" si="11"/>
        <v>313009.91599999997</v>
      </c>
      <c r="O61">
        <f ca="1"/>
        <v>0</v>
      </c>
      <c r="P61" s="184">
        <f ca="1"/>
        <v>0</v>
      </c>
    </row>
    <row r="62" spans="1:16" x14ac:dyDescent="0.25">
      <c r="A62" s="296">
        <v>2026</v>
      </c>
      <c r="B62" s="338" t="s">
        <v>468</v>
      </c>
      <c r="C62" s="176">
        <f t="shared" si="10"/>
        <v>81161.81</v>
      </c>
      <c r="D62" s="184">
        <v>74819.58</v>
      </c>
      <c r="E62" s="184">
        <v>70999.289999999994</v>
      </c>
      <c r="F62" s="298">
        <f>+'CONSOLIDADOS DE PAGOS'!E602</f>
        <v>127626.3</v>
      </c>
      <c r="G62" s="298"/>
      <c r="H62" s="337">
        <f t="shared" si="11"/>
        <v>354606.98</v>
      </c>
      <c r="O62">
        <f ca="1"/>
        <v>0</v>
      </c>
      <c r="P62" s="184">
        <f ca="1"/>
        <v>0</v>
      </c>
    </row>
    <row r="63" spans="1:16" x14ac:dyDescent="0.25">
      <c r="A63" s="296">
        <v>2026</v>
      </c>
      <c r="B63" s="338" t="s">
        <v>469</v>
      </c>
      <c r="C63" s="176">
        <f t="shared" si="10"/>
        <v>81161.81</v>
      </c>
      <c r="D63" s="184">
        <v>74819.58</v>
      </c>
      <c r="E63" s="184">
        <v>70999.289999999994</v>
      </c>
      <c r="F63" s="335"/>
      <c r="G63" s="335"/>
      <c r="H63" s="337">
        <f t="shared" si="11"/>
        <v>226980.68</v>
      </c>
      <c r="O63">
        <f ca="1"/>
        <v>0</v>
      </c>
      <c r="P63" s="184">
        <f ca="1"/>
        <v>0</v>
      </c>
    </row>
    <row r="64" spans="1:16" x14ac:dyDescent="0.25">
      <c r="A64" s="296">
        <v>2026</v>
      </c>
      <c r="B64" s="338" t="s">
        <v>458</v>
      </c>
      <c r="C64" s="176">
        <f t="shared" si="10"/>
        <v>81161.81</v>
      </c>
      <c r="D64" s="184">
        <v>74819.58</v>
      </c>
      <c r="E64" s="184">
        <v>70999.289999999994</v>
      </c>
      <c r="F64" s="298"/>
      <c r="G64" s="298"/>
      <c r="H64" s="337">
        <f t="shared" si="11"/>
        <v>226980.68</v>
      </c>
      <c r="I64" s="185"/>
      <c r="J64" s="185"/>
      <c r="K64" s="185"/>
      <c r="O64">
        <f ca="1"/>
        <v>0</v>
      </c>
      <c r="P64" s="184">
        <f ca="1"/>
        <v>0</v>
      </c>
    </row>
    <row r="65" spans="1:16" x14ac:dyDescent="0.25">
      <c r="A65" s="296">
        <v>2026</v>
      </c>
      <c r="B65" s="338" t="s">
        <v>459</v>
      </c>
      <c r="C65" s="176">
        <f t="shared" si="10"/>
        <v>81161.81</v>
      </c>
      <c r="D65" s="184">
        <v>74819.58</v>
      </c>
      <c r="E65" s="184">
        <v>70999.289999999994</v>
      </c>
      <c r="F65" s="335"/>
      <c r="G65" s="335"/>
      <c r="H65" s="337">
        <f t="shared" si="11"/>
        <v>226980.68</v>
      </c>
      <c r="O65">
        <f ca="1"/>
        <v>0</v>
      </c>
      <c r="P65" s="184">
        <f ca="1"/>
        <v>0</v>
      </c>
    </row>
    <row r="66" spans="1:16" x14ac:dyDescent="0.25">
      <c r="A66" s="296">
        <v>2026</v>
      </c>
      <c r="B66" s="338" t="s">
        <v>460</v>
      </c>
      <c r="C66" s="176">
        <f t="shared" si="10"/>
        <v>81161.81</v>
      </c>
      <c r="D66" s="184">
        <v>74819.58</v>
      </c>
      <c r="E66" s="184">
        <v>70999.289999999994</v>
      </c>
      <c r="F66" s="298"/>
      <c r="G66" s="298"/>
      <c r="H66" s="337">
        <f t="shared" si="11"/>
        <v>226980.68</v>
      </c>
      <c r="I66" s="186"/>
      <c r="J66" s="155"/>
      <c r="O66">
        <f ca="1"/>
        <v>0</v>
      </c>
      <c r="P66" s="184">
        <f ca="1"/>
        <v>0</v>
      </c>
    </row>
    <row r="67" spans="1:16" x14ac:dyDescent="0.25">
      <c r="A67" s="296">
        <v>2026</v>
      </c>
      <c r="B67" s="338" t="s">
        <v>461</v>
      </c>
      <c r="C67" s="176">
        <f t="shared" si="10"/>
        <v>81161.81</v>
      </c>
      <c r="D67" s="184">
        <v>74819.58</v>
      </c>
      <c r="E67" s="184">
        <v>70999.289999999994</v>
      </c>
      <c r="F67" s="335"/>
      <c r="G67" s="335"/>
      <c r="H67" s="337">
        <f t="shared" si="11"/>
        <v>226980.68</v>
      </c>
      <c r="I67" s="186"/>
      <c r="J67" s="155"/>
      <c r="O67">
        <f ca="1"/>
        <v>0</v>
      </c>
      <c r="P67" s="184">
        <f ca="1"/>
        <v>0</v>
      </c>
    </row>
    <row r="68" spans="1:16" x14ac:dyDescent="0.25">
      <c r="A68" s="296">
        <v>2026</v>
      </c>
      <c r="B68" s="338" t="s">
        <v>462</v>
      </c>
      <c r="C68" s="299">
        <f t="shared" ref="C68:C69" si="12">57960.94+23200.87</f>
        <v>81161.81</v>
      </c>
      <c r="D68" s="184">
        <v>74819.58</v>
      </c>
      <c r="E68" s="184">
        <v>70999.289999999994</v>
      </c>
      <c r="F68" s="298"/>
      <c r="G68" s="298"/>
      <c r="H68" s="336">
        <f t="shared" ref="H68:H69" si="13">+C68+D68+E68+F68+G68</f>
        <v>226980.68</v>
      </c>
      <c r="I68" s="186"/>
      <c r="J68" s="188"/>
      <c r="O68">
        <f ca="1"/>
        <v>0</v>
      </c>
      <c r="P68" s="184">
        <f ca="1"/>
        <v>0</v>
      </c>
    </row>
    <row r="69" spans="1:16" x14ac:dyDescent="0.25">
      <c r="A69" s="296">
        <v>2026</v>
      </c>
      <c r="B69" s="338" t="s">
        <v>463</v>
      </c>
      <c r="C69" s="176">
        <f t="shared" si="12"/>
        <v>81161.81</v>
      </c>
      <c r="D69" s="184">
        <v>74819.58</v>
      </c>
      <c r="E69" s="184">
        <v>70999.289999999994</v>
      </c>
      <c r="F69" s="335"/>
      <c r="G69" s="335"/>
      <c r="H69" s="337">
        <f t="shared" si="13"/>
        <v>226980.68</v>
      </c>
      <c r="I69" s="187"/>
      <c r="J69" s="187"/>
      <c r="K69" s="187"/>
      <c r="O69">
        <f ca="1"/>
        <v>0</v>
      </c>
      <c r="P69" s="184">
        <f ca="1"/>
        <v>0</v>
      </c>
    </row>
    <row r="70" spans="1:16" x14ac:dyDescent="0.25">
      <c r="A70" s="296">
        <v>20226</v>
      </c>
      <c r="B70" s="338" t="s">
        <v>2241</v>
      </c>
      <c r="C70" s="176"/>
      <c r="D70" s="299"/>
      <c r="E70" s="298"/>
      <c r="F70" s="335"/>
      <c r="G70" s="335"/>
      <c r="H70" s="337">
        <f t="shared" ref="H70" si="14">+C70+D70+E70+F70+G70</f>
        <v>0</v>
      </c>
      <c r="O70">
        <f ca="1"/>
        <v>0</v>
      </c>
      <c r="P70" s="184">
        <f ca="1"/>
        <v>0</v>
      </c>
    </row>
    <row r="71" spans="1:16" x14ac:dyDescent="0.25">
      <c r="A71" s="296"/>
      <c r="B71" s="292"/>
      <c r="C71" s="336"/>
      <c r="D71" s="364"/>
      <c r="E71" s="365"/>
      <c r="F71" s="336"/>
      <c r="G71" s="336"/>
      <c r="H71" s="336">
        <f>SUM(H45:H57)</f>
        <v>3463087.43</v>
      </c>
      <c r="O71">
        <f ca="1"/>
        <v>0</v>
      </c>
      <c r="P71" s="184">
        <f ca="1"/>
        <v>0</v>
      </c>
    </row>
    <row r="72" spans="1:16" x14ac:dyDescent="0.25">
      <c r="O72">
        <f ca="1"/>
        <v>0</v>
      </c>
      <c r="P72" s="184">
        <f ca="1"/>
        <v>0</v>
      </c>
    </row>
    <row r="73" spans="1:16" x14ac:dyDescent="0.25">
      <c r="O73">
        <f ca="1"/>
        <v>0</v>
      </c>
      <c r="P73" s="184">
        <f ca="1"/>
        <v>0</v>
      </c>
    </row>
    <row r="74" spans="1:16" x14ac:dyDescent="0.25">
      <c r="O74">
        <f ca="1"/>
        <v>0</v>
      </c>
      <c r="P74" s="184">
        <f ca="1"/>
        <v>0</v>
      </c>
    </row>
    <row r="75" spans="1:16" x14ac:dyDescent="0.25">
      <c r="O75">
        <f ca="1"/>
        <v>0</v>
      </c>
      <c r="P75" s="184">
        <f ca="1"/>
        <v>0</v>
      </c>
    </row>
    <row r="76" spans="1:16" x14ac:dyDescent="0.25">
      <c r="O76">
        <f ca="1"/>
        <v>0</v>
      </c>
      <c r="P76" s="184">
        <f ca="1"/>
        <v>0</v>
      </c>
    </row>
    <row r="77" spans="1:16" x14ac:dyDescent="0.25">
      <c r="O77">
        <f ca="1"/>
        <v>0</v>
      </c>
      <c r="P77" s="184">
        <f ca="1"/>
        <v>0</v>
      </c>
    </row>
    <row r="78" spans="1:16" x14ac:dyDescent="0.25">
      <c r="O78">
        <f ca="1"/>
        <v>0</v>
      </c>
      <c r="P78" s="184">
        <f ca="1"/>
        <v>0</v>
      </c>
    </row>
    <row r="79" spans="1:16" x14ac:dyDescent="0.25">
      <c r="O79">
        <f ca="1"/>
        <v>0</v>
      </c>
      <c r="P79" s="184">
        <f ca="1"/>
        <v>0</v>
      </c>
    </row>
    <row r="80" spans="1:16" x14ac:dyDescent="0.25">
      <c r="O80">
        <f ca="1"/>
        <v>0</v>
      </c>
      <c r="P80" s="184">
        <f ca="1"/>
        <v>0</v>
      </c>
    </row>
    <row r="81" spans="15:16" x14ac:dyDescent="0.25">
      <c r="O81">
        <f ca="1"/>
        <v>0</v>
      </c>
      <c r="P81" s="184">
        <f ca="1"/>
        <v>0</v>
      </c>
    </row>
    <row r="82" spans="15:16" x14ac:dyDescent="0.25">
      <c r="O82">
        <f ca="1"/>
        <v>0</v>
      </c>
      <c r="P82" s="184">
        <f ca="1"/>
        <v>0</v>
      </c>
    </row>
    <row r="83" spans="15:16" x14ac:dyDescent="0.25">
      <c r="P83" s="184"/>
    </row>
    <row r="84" spans="15:16" x14ac:dyDescent="0.25">
      <c r="P84" s="184"/>
    </row>
    <row r="85" spans="15:16" x14ac:dyDescent="0.25">
      <c r="P85" s="184"/>
    </row>
    <row r="86" spans="15:16" x14ac:dyDescent="0.25">
      <c r="P86" s="184"/>
    </row>
    <row r="87" spans="15:16" x14ac:dyDescent="0.25">
      <c r="P87" s="184"/>
    </row>
    <row r="88" spans="15:16" x14ac:dyDescent="0.25">
      <c r="P88" s="184"/>
    </row>
  </sheetData>
  <mergeCells count="1">
    <mergeCell ref="B1:G1"/>
  </mergeCells>
  <phoneticPr fontId="13" type="noConversion"/>
  <pageMargins left="0.7" right="0.7" top="0.75" bottom="0.75" header="0.3" footer="0.3"/>
  <pageSetup paperSize="9" orientation="portrait" horizontalDpi="0" verticalDpi="0" r:id="rId2"/>
  <drawing r:id="rId3"/>
  <legacyDrawing r:id="rId4"/>
  <mc:AlternateContent xmlns:mc="http://schemas.openxmlformats.org/markup-compatibility/2006">
    <mc:Choice Requires="x14">
      <controls>
        <mc:AlternateContent xmlns:mc="http://schemas.openxmlformats.org/markup-compatibility/2006">
          <mc:Choice Requires="x14">
            <control shapeId="9217" r:id="rId5" name="Scroll Bar 1">
              <controlPr defaultSize="0" autoPict="0">
                <anchor moveWithCells="1">
                  <from>
                    <xdr:col>9</xdr:col>
                    <xdr:colOff>628650</xdr:colOff>
                    <xdr:row>21</xdr:row>
                    <xdr:rowOff>123825</xdr:rowOff>
                  </from>
                  <to>
                    <xdr:col>16</xdr:col>
                    <xdr:colOff>733425</xdr:colOff>
                    <xdr:row>23</xdr:row>
                    <xdr:rowOff>28575</xdr:rowOff>
                  </to>
                </anchor>
              </controlPr>
            </control>
          </mc:Choice>
        </mc:AlternateContent>
        <mc:AlternateContent xmlns:mc="http://schemas.openxmlformats.org/markup-compatibility/2006">
          <mc:Choice Requires="x14">
            <control shapeId="9218" r:id="rId6" name="Scroll Bar 2">
              <controlPr defaultSize="0" autoPict="0">
                <anchor moveWithCells="1">
                  <from>
                    <xdr:col>9</xdr:col>
                    <xdr:colOff>619125</xdr:colOff>
                    <xdr:row>24</xdr:row>
                    <xdr:rowOff>0</xdr:rowOff>
                  </from>
                  <to>
                    <xdr:col>16</xdr:col>
                    <xdr:colOff>723900</xdr:colOff>
                    <xdr:row>25</xdr:row>
                    <xdr:rowOff>95250</xdr:rowOff>
                  </to>
                </anchor>
              </controlPr>
            </control>
          </mc:Choice>
        </mc:AlternateContent>
      </controls>
    </mc:Choice>
  </mc:AlternateContent>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D946-E16B-4091-9B3F-26A5B942E9E5}">
  <dimension ref="A1:V83"/>
  <sheetViews>
    <sheetView workbookViewId="0">
      <selection activeCell="F11" sqref="F11"/>
    </sheetView>
  </sheetViews>
  <sheetFormatPr baseColWidth="10" defaultRowHeight="15" outlineLevelCol="1" x14ac:dyDescent="0.25"/>
  <cols>
    <col min="1" max="1" width="14.28515625" customWidth="1"/>
    <col min="2" max="5" width="19" customWidth="1"/>
    <col min="6" max="6" width="17.140625" customWidth="1"/>
    <col min="7" max="7" width="21" customWidth="1"/>
    <col min="8" max="8" width="17.140625" customWidth="1"/>
    <col min="9" max="9" width="2.85546875" customWidth="1"/>
    <col min="10" max="10" width="19" customWidth="1"/>
    <col min="11" max="11" width="21" customWidth="1"/>
    <col min="12" max="12" width="16.140625" customWidth="1"/>
    <col min="13" max="13" width="21" customWidth="1"/>
    <col min="14" max="14" width="13.140625" bestFit="1" customWidth="1"/>
    <col min="15" max="15" width="19" customWidth="1"/>
    <col min="16" max="16" width="0" hidden="1" customWidth="1" outlineLevel="1"/>
    <col min="17" max="17" width="9.5703125" hidden="1" customWidth="1" outlineLevel="1"/>
    <col min="18" max="21" width="15.28515625" hidden="1" customWidth="1" outlineLevel="1"/>
    <col min="22" max="22" width="11.42578125" collapsed="1"/>
  </cols>
  <sheetData>
    <row r="1" spans="1:21" ht="50.1" customHeight="1" x14ac:dyDescent="0.25">
      <c r="A1" s="418" t="s">
        <v>2288</v>
      </c>
      <c r="B1" s="419"/>
      <c r="C1" s="419"/>
      <c r="D1" s="419"/>
      <c r="E1" s="419"/>
      <c r="F1" s="419"/>
      <c r="G1" s="419"/>
      <c r="H1" s="419"/>
      <c r="I1" s="419"/>
      <c r="J1" s="419"/>
      <c r="K1" s="419"/>
      <c r="L1" s="419"/>
      <c r="M1" s="419"/>
      <c r="N1" s="419"/>
      <c r="O1" s="419"/>
      <c r="P1" s="419"/>
      <c r="Q1" s="419"/>
      <c r="R1" s="419"/>
    </row>
    <row r="2" spans="1:21" ht="21.95" customHeight="1" x14ac:dyDescent="0.25">
      <c r="A2" s="420" t="s">
        <v>2289</v>
      </c>
      <c r="B2" s="421"/>
      <c r="C2" s="421"/>
      <c r="D2" s="421"/>
      <c r="E2" s="421"/>
      <c r="F2" s="421"/>
      <c r="G2" s="421"/>
      <c r="H2" s="421"/>
      <c r="I2" s="421"/>
      <c r="J2" s="421"/>
      <c r="K2" s="421"/>
      <c r="L2" s="421"/>
      <c r="M2" s="421"/>
      <c r="N2" s="421"/>
      <c r="O2" s="421"/>
      <c r="P2" s="421"/>
      <c r="Q2" s="421"/>
      <c r="R2" s="421"/>
    </row>
    <row r="3" spans="1:21" ht="9.9499999999999993" customHeight="1" x14ac:dyDescent="0.25"/>
    <row r="4" spans="1:21" ht="32.1" customHeight="1" x14ac:dyDescent="0.25">
      <c r="A4" s="422" t="s">
        <v>2290</v>
      </c>
      <c r="B4" s="423"/>
      <c r="C4" s="422" t="s">
        <v>2255</v>
      </c>
      <c r="D4" s="423"/>
      <c r="E4" s="422" t="s">
        <v>2291</v>
      </c>
      <c r="F4" s="423"/>
      <c r="G4" s="422" t="s">
        <v>2292</v>
      </c>
      <c r="H4" s="422"/>
      <c r="I4" s="422" t="s">
        <v>2293</v>
      </c>
      <c r="J4" s="423"/>
      <c r="K4" s="422" t="s">
        <v>2294</v>
      </c>
      <c r="L4" s="423"/>
      <c r="M4" s="422" t="s">
        <v>2295</v>
      </c>
      <c r="N4" s="422"/>
      <c r="O4" s="422" t="s">
        <v>2296</v>
      </c>
      <c r="P4" s="423"/>
    </row>
    <row r="5" spans="1:21" ht="39.950000000000003" customHeight="1" thickBot="1" x14ac:dyDescent="0.35">
      <c r="A5" s="424">
        <f>SUM(SUELDOS!H3:H57)</f>
        <v>19932433.177999992</v>
      </c>
      <c r="B5" s="425"/>
      <c r="C5" s="424">
        <f>AVERAGE(SUELDOS!H3:H57)</f>
        <v>362407.87596363621</v>
      </c>
      <c r="D5" s="425"/>
      <c r="E5" s="424">
        <f>MAX(SUELDOS!H3:H57)</f>
        <v>1018729.2780000002</v>
      </c>
      <c r="F5" s="425"/>
      <c r="G5" s="424">
        <f>_xlfn.MINIFS(SUELDOS!H3:H57,SUELDOS!H3:H57,"&gt;0")</f>
        <v>188907.03999999998</v>
      </c>
      <c r="H5" s="425"/>
      <c r="I5" s="424">
        <f>SUM(SUELDOS!C3:C57)</f>
        <v>3834802.6300000008</v>
      </c>
      <c r="J5" s="425"/>
      <c r="K5" s="424">
        <f>SUM(SUELDOS!F3:F57)</f>
        <v>9458518.2880000006</v>
      </c>
      <c r="L5" s="425"/>
      <c r="M5" s="424" cm="1">
        <f t="array" ref="M5">SUMPRODUCT((SUELDOS!A3:A68=2026)*SUELDOS!H3:H68)</f>
        <v>2930536.3830000004</v>
      </c>
      <c r="N5" s="425"/>
      <c r="O5" s="432" cm="1">
        <f t="array" ref="O5">SUMPRODUCT((SUELDOS!A3:A57=2025)*SUELDOS!H3:H57)/SUMPRODUCT((SUELDOS!A3:A57=2024)*SUELDOS!H3:H57)-1</f>
        <v>-0.25492653411804689</v>
      </c>
      <c r="P5" s="425"/>
    </row>
    <row r="6" spans="1:21" ht="9.9499999999999993" customHeight="1" thickTop="1" x14ac:dyDescent="0.25"/>
    <row r="7" spans="1:21" ht="15.75" x14ac:dyDescent="0.25">
      <c r="A7" s="433" t="s">
        <v>2297</v>
      </c>
      <c r="B7" s="419"/>
      <c r="C7" s="419"/>
      <c r="D7" s="419"/>
      <c r="E7" s="419"/>
      <c r="F7" s="419"/>
      <c r="G7" s="419"/>
      <c r="H7" s="419"/>
      <c r="J7" s="434" t="s">
        <v>2302</v>
      </c>
      <c r="K7" s="419"/>
      <c r="L7" s="419"/>
      <c r="N7" s="429" t="s">
        <v>2307</v>
      </c>
      <c r="O7" s="419"/>
      <c r="Q7" s="429" t="s">
        <v>2310</v>
      </c>
      <c r="R7" s="419"/>
      <c r="S7" s="419"/>
      <c r="T7" s="419"/>
      <c r="U7" s="419"/>
    </row>
    <row r="8" spans="1:21" x14ac:dyDescent="0.25">
      <c r="A8" s="368" t="s">
        <v>452</v>
      </c>
      <c r="B8" s="367" t="s">
        <v>454</v>
      </c>
      <c r="C8" s="367" t="s">
        <v>15</v>
      </c>
      <c r="D8" s="367" t="s">
        <v>18</v>
      </c>
      <c r="E8" s="367" t="s">
        <v>1940</v>
      </c>
      <c r="F8" s="367" t="s">
        <v>2298</v>
      </c>
      <c r="G8" s="367" t="s">
        <v>2299</v>
      </c>
      <c r="H8" s="372" t="s">
        <v>2300</v>
      </c>
      <c r="J8" s="368" t="s">
        <v>2303</v>
      </c>
      <c r="K8" s="367" t="s">
        <v>2304</v>
      </c>
      <c r="L8" s="372" t="s">
        <v>2281</v>
      </c>
      <c r="N8" s="339" t="s">
        <v>452</v>
      </c>
      <c r="O8" s="339" t="s">
        <v>1890</v>
      </c>
      <c r="Q8" s="339" t="s">
        <v>452</v>
      </c>
      <c r="R8" s="339" t="s">
        <v>454</v>
      </c>
      <c r="S8" s="339" t="s">
        <v>15</v>
      </c>
      <c r="T8" s="339" t="s">
        <v>18</v>
      </c>
      <c r="U8" s="339" t="s">
        <v>1940</v>
      </c>
    </row>
    <row r="9" spans="1:21" x14ac:dyDescent="0.25">
      <c r="A9" s="369">
        <v>2021</v>
      </c>
      <c r="B9" s="341" cm="1">
        <f t="array" ref="B9">SUMPRODUCT((SUELDOS!A$3:A$68=2021)*SUELDOS!C$3:C$68)</f>
        <v>196700</v>
      </c>
      <c r="C9" s="341" cm="1">
        <f t="array" ref="C9">SUMPRODUCT((SUELDOS!A$3:A$68=2021)*SUELDOS!D$3:D$68)</f>
        <v>351221.51999999996</v>
      </c>
      <c r="D9" s="341" cm="1">
        <f t="array" ref="D9">SUMPRODUCT((SUELDOS!A$3:A$68=2021)*SUELDOS!E$3:E$68)</f>
        <v>255218.28</v>
      </c>
      <c r="E9" s="341" cm="1">
        <f t="array" ref="E9">SUMPRODUCT((SUELDOS!A$3:A$68=2021)*SUELDOS!F$3:F$68)</f>
        <v>935284.76800000004</v>
      </c>
      <c r="F9" s="341" cm="1">
        <f t="array" ref="F9">SUMPRODUCT((SUELDOS!A$3:A$68=2021)*SUELDOS!G$3:G$68)</f>
        <v>0</v>
      </c>
      <c r="G9" s="341" cm="1">
        <f t="array" ref="G9">SUMPRODUCT((SUELDOS!A$3:A$68=2021)*SUELDOS!H$3:H$68)</f>
        <v>1738424.568</v>
      </c>
      <c r="H9" s="373" t="s">
        <v>2301</v>
      </c>
      <c r="J9" s="346" t="s">
        <v>454</v>
      </c>
      <c r="K9" s="341">
        <f>AVERAGE(SUELDOS!C$3:C$56)</f>
        <v>69511.867037037053</v>
      </c>
      <c r="L9" s="355">
        <f>K9/SUM(K$9:K$13)</f>
        <v>0.18639814244260805</v>
      </c>
      <c r="N9" s="366">
        <f t="shared" ref="N9:N14" si="0">A9</f>
        <v>2021</v>
      </c>
      <c r="O9" s="340">
        <f t="shared" ref="O9:O14" si="1">G9</f>
        <v>1738424.568</v>
      </c>
      <c r="Q9" s="366">
        <f t="shared" ref="Q9:U14" si="2">A9</f>
        <v>2021</v>
      </c>
      <c r="R9" s="340">
        <f t="shared" si="2"/>
        <v>196700</v>
      </c>
      <c r="S9" s="340">
        <f t="shared" si="2"/>
        <v>351221.51999999996</v>
      </c>
      <c r="T9" s="340">
        <f t="shared" si="2"/>
        <v>255218.28</v>
      </c>
      <c r="U9" s="340">
        <f t="shared" si="2"/>
        <v>935284.76800000004</v>
      </c>
    </row>
    <row r="10" spans="1:21" x14ac:dyDescent="0.25">
      <c r="A10" s="370">
        <v>2022</v>
      </c>
      <c r="B10" s="348" cm="1">
        <f t="array" ref="B10">SUMPRODUCT((SUELDOS!A$3:A$68=2022)*SUELDOS!C$3:C$68)</f>
        <v>778195.98999999987</v>
      </c>
      <c r="C10" s="348" cm="1">
        <f t="array" ref="C10">SUMPRODUCT((SUELDOS!A$3:A$68=2022)*SUELDOS!D$3:D$68)</f>
        <v>722635.87</v>
      </c>
      <c r="D10" s="348" cm="1">
        <f t="array" ref="D10">SUMPRODUCT((SUELDOS!A$3:A$68=2022)*SUELDOS!E$3:E$68)</f>
        <v>688391.16000000015</v>
      </c>
      <c r="E10" s="348" cm="1">
        <f t="array" ref="E10">SUMPRODUCT((SUELDOS!A$3:A$68=2022)*SUELDOS!F$3:F$68)</f>
        <v>2586165.679</v>
      </c>
      <c r="F10" s="348" cm="1">
        <f t="array" ref="F10">SUMPRODUCT((SUELDOS!A$3:A$68=2022)*SUELDOS!G$3:G$68)</f>
        <v>0</v>
      </c>
      <c r="G10" s="348" cm="1">
        <f t="array" ref="G10">SUMPRODUCT((SUELDOS!A$3:A$68=2022)*SUELDOS!H$3:H$68)</f>
        <v>4775388.6989999991</v>
      </c>
      <c r="H10" s="356">
        <f>IF(G9=0,"—",G10/G9-1)</f>
        <v>1.7469634213084815</v>
      </c>
      <c r="J10" s="347" t="s">
        <v>15</v>
      </c>
      <c r="K10" s="348">
        <f>AVERAGE(SUELDOS!D$3:D$56)</f>
        <v>60653.18388888886</v>
      </c>
      <c r="L10" s="356">
        <f>K10/SUM(K$9:K$13)</f>
        <v>0.16264331965209589</v>
      </c>
      <c r="N10" s="366">
        <f t="shared" si="0"/>
        <v>2022</v>
      </c>
      <c r="O10" s="340">
        <f t="shared" si="1"/>
        <v>4775388.6989999991</v>
      </c>
      <c r="Q10" s="366">
        <f t="shared" si="2"/>
        <v>2022</v>
      </c>
      <c r="R10" s="340">
        <f t="shared" si="2"/>
        <v>778195.98999999987</v>
      </c>
      <c r="S10" s="340">
        <f t="shared" si="2"/>
        <v>722635.87</v>
      </c>
      <c r="T10" s="340">
        <f t="shared" si="2"/>
        <v>688391.16000000015</v>
      </c>
      <c r="U10" s="340">
        <f t="shared" si="2"/>
        <v>2586165.679</v>
      </c>
    </row>
    <row r="11" spans="1:21" x14ac:dyDescent="0.25">
      <c r="A11" s="369">
        <v>2023</v>
      </c>
      <c r="B11" s="341" cm="1">
        <f t="array" ref="B11">SUMPRODUCT((SUELDOS!A$3:A$68=2023)*SUELDOS!C$3:C$68)</f>
        <v>888206.21</v>
      </c>
      <c r="C11" s="341" cm="1">
        <f t="array" ref="C11">SUMPRODUCT((SUELDOS!A$3:A$68=2023)*SUELDOS!D$3:D$68)</f>
        <v>706635.87</v>
      </c>
      <c r="D11" s="341" cm="1">
        <f t="array" ref="D11">SUMPRODUCT((SUELDOS!A$3:A$68=2023)*SUELDOS!E$3:E$68)</f>
        <v>688391.16000000015</v>
      </c>
      <c r="E11" s="341" cm="1">
        <f t="array" ref="E11">SUMPRODUCT((SUELDOS!A$3:A$68=2023)*SUELDOS!F$3:F$68)</f>
        <v>2893318.0839999998</v>
      </c>
      <c r="F11" s="341" cm="1">
        <f t="array" ref="F11">SUMPRODUCT((SUELDOS!A$3:A$68=2023)*SUELDOS!G$3:G$68)</f>
        <v>131000</v>
      </c>
      <c r="G11" s="341" cm="1">
        <f t="array" ref="G11">SUMPRODUCT((SUELDOS!A$3:A$68=2023)*SUELDOS!H$3:H$68)</f>
        <v>5307551.324</v>
      </c>
      <c r="H11" s="355">
        <f>IF(G10=0,"—",G11/G10-1)</f>
        <v>0.11143859872840078</v>
      </c>
      <c r="J11" s="346" t="s">
        <v>18</v>
      </c>
      <c r="K11" s="341">
        <f>AVERAGE(SUELDOS!E$3:E$56)</f>
        <v>57214.045555555575</v>
      </c>
      <c r="L11" s="355">
        <f>K11/SUM(K$9:K$13)</f>
        <v>0.15342116774823567</v>
      </c>
      <c r="N11" s="366">
        <f t="shared" si="0"/>
        <v>2023</v>
      </c>
      <c r="O11" s="340">
        <f t="shared" si="1"/>
        <v>5307551.324</v>
      </c>
      <c r="Q11" s="366">
        <f t="shared" si="2"/>
        <v>2023</v>
      </c>
      <c r="R11" s="340">
        <f t="shared" si="2"/>
        <v>888206.21</v>
      </c>
      <c r="S11" s="340">
        <f t="shared" si="2"/>
        <v>706635.87</v>
      </c>
      <c r="T11" s="340">
        <f t="shared" si="2"/>
        <v>688391.16000000015</v>
      </c>
      <c r="U11" s="340">
        <f t="shared" si="2"/>
        <v>2893318.0839999998</v>
      </c>
    </row>
    <row r="12" spans="1:21" x14ac:dyDescent="0.25">
      <c r="A12" s="370">
        <v>2024</v>
      </c>
      <c r="B12" s="348" cm="1">
        <f t="array" ref="B12">SUMPRODUCT((SUELDOS!A$3:A$68=2024)*SUELDOS!C$3:C$68)</f>
        <v>888206.21</v>
      </c>
      <c r="C12" s="348" cm="1">
        <f t="array" ref="C12">SUMPRODUCT((SUELDOS!A$3:A$68=2024)*SUELDOS!D$3:D$68)</f>
        <v>706635.87</v>
      </c>
      <c r="D12" s="348" cm="1">
        <f t="array" ref="D12">SUMPRODUCT((SUELDOS!A$3:A$68=2024)*SUELDOS!E$3:E$68)</f>
        <v>688391.16000000015</v>
      </c>
      <c r="E12" s="348" cm="1">
        <f t="array" ref="E12">SUMPRODUCT((SUELDOS!A$3:A$68=2024)*SUELDOS!F$3:F$68)</f>
        <v>2362747.9170000004</v>
      </c>
      <c r="F12" s="348" cm="1">
        <f t="array" ref="F12">SUMPRODUCT((SUELDOS!A$3:A$68=2024)*SUELDOS!G$3:G$68)</f>
        <v>2000</v>
      </c>
      <c r="G12" s="348" cm="1">
        <f t="array" ref="G12">SUMPRODUCT((SUELDOS!A$3:A$68=2024)*SUELDOS!H$3:H$68)</f>
        <v>4647981.1569999997</v>
      </c>
      <c r="H12" s="356">
        <f>IF(G11=0,"—",G12/G11-1)</f>
        <v>-0.12427014393954461</v>
      </c>
      <c r="J12" s="347" t="s">
        <v>455</v>
      </c>
      <c r="K12" s="348">
        <f>AVERAGE(SUELDOS!F$3:F$56)</f>
        <v>175157.74607407409</v>
      </c>
      <c r="L12" s="356">
        <f>K12/SUM(K$9:K$13)</f>
        <v>0.46969071461201689</v>
      </c>
      <c r="N12" s="366">
        <f t="shared" si="0"/>
        <v>2024</v>
      </c>
      <c r="O12" s="340">
        <f t="shared" si="1"/>
        <v>4647981.1569999997</v>
      </c>
      <c r="Q12" s="366">
        <f t="shared" si="2"/>
        <v>2024</v>
      </c>
      <c r="R12" s="340">
        <f t="shared" si="2"/>
        <v>888206.21</v>
      </c>
      <c r="S12" s="340">
        <f t="shared" si="2"/>
        <v>706635.87</v>
      </c>
      <c r="T12" s="340">
        <f t="shared" si="2"/>
        <v>688391.16000000015</v>
      </c>
      <c r="U12" s="340">
        <f t="shared" si="2"/>
        <v>2362747.9170000004</v>
      </c>
    </row>
    <row r="13" spans="1:21" x14ac:dyDescent="0.25">
      <c r="A13" s="369">
        <v>2025</v>
      </c>
      <c r="B13" s="341" cm="1">
        <f t="array" ref="B13">SUMPRODUCT((SUELDOS!A$3:A$68=2025)*SUELDOS!C$3:C$68)</f>
        <v>1083494.2200000002</v>
      </c>
      <c r="C13" s="341" cm="1">
        <f t="array" ref="C13">SUMPRODUCT((SUELDOS!A$3:A$68=2025)*SUELDOS!D$3:D$68)</f>
        <v>859399.53999999992</v>
      </c>
      <c r="D13" s="341" cm="1">
        <f t="array" ref="D13">SUMPRODUCT((SUELDOS!A$3:A$68=2025)*SUELDOS!E$3:E$68)</f>
        <v>837191.83000000007</v>
      </c>
      <c r="E13" s="341" cm="1">
        <f t="array" ref="E13">SUMPRODUCT((SUELDOS!A$3:A$68=2025)*SUELDOS!F$3:F$68)</f>
        <v>681001.84</v>
      </c>
      <c r="F13" s="341" cm="1">
        <f t="array" ref="F13">SUMPRODUCT((SUELDOS!A$3:A$68=2025)*SUELDOS!G$3:G$68)</f>
        <v>2000</v>
      </c>
      <c r="G13" s="341" cm="1">
        <f t="array" ref="G13">SUMPRODUCT((SUELDOS!A$3:A$68=2025)*SUELDOS!H$3:H$68)</f>
        <v>3463087.43</v>
      </c>
      <c r="H13" s="355">
        <f>IF(G12=0,"—",G13/G12-1)</f>
        <v>-0.25492653411804689</v>
      </c>
      <c r="J13" s="346" t="s">
        <v>456</v>
      </c>
      <c r="K13" s="341">
        <f>AVERAGE(SUELDOS!G$3:G$56)</f>
        <v>10384.615384615385</v>
      </c>
      <c r="L13" s="355">
        <f>K13/SUM(K$9:K$13)</f>
        <v>2.7846655545043546E-2</v>
      </c>
      <c r="N13" s="366">
        <f t="shared" si="0"/>
        <v>2025</v>
      </c>
      <c r="O13" s="340">
        <f t="shared" si="1"/>
        <v>3463087.43</v>
      </c>
      <c r="Q13" s="366">
        <f t="shared" si="2"/>
        <v>2025</v>
      </c>
      <c r="R13" s="340">
        <f t="shared" si="2"/>
        <v>1083494.2200000002</v>
      </c>
      <c r="S13" s="340">
        <f t="shared" si="2"/>
        <v>859399.53999999992</v>
      </c>
      <c r="T13" s="340">
        <f t="shared" si="2"/>
        <v>837191.83000000007</v>
      </c>
      <c r="U13" s="340">
        <f t="shared" si="2"/>
        <v>681001.84</v>
      </c>
    </row>
    <row r="14" spans="1:21" x14ac:dyDescent="0.25">
      <c r="A14" s="371">
        <v>2026</v>
      </c>
      <c r="B14" s="359" cm="1">
        <f t="array" ref="B14">SUMPRODUCT((SUELDOS!A$3:A$68=2026)*SUELDOS!C$3:C$68)</f>
        <v>892779.91000000015</v>
      </c>
      <c r="C14" s="359" cm="1">
        <f t="array" ref="C14">SUMPRODUCT((SUELDOS!A$3:A$68=2026)*SUELDOS!D$3:D$68)</f>
        <v>819452.53999999992</v>
      </c>
      <c r="D14" s="359" cm="1">
        <f t="array" ref="D14">SUMPRODUCT((SUELDOS!A$3:A$68=2026)*SUELDOS!E$3:E$68)</f>
        <v>778018.03</v>
      </c>
      <c r="E14" s="359" cm="1">
        <f t="array" ref="E14">SUMPRODUCT((SUELDOS!A$3:A$68=2026)*SUELDOS!F$3:F$68)</f>
        <v>423285.90299999999</v>
      </c>
      <c r="F14" s="359" cm="1">
        <f t="array" ref="F14">SUMPRODUCT((SUELDOS!A$3:A$68=2026)*SUELDOS!G$3:G$68)</f>
        <v>17000</v>
      </c>
      <c r="G14" s="359" cm="1">
        <f t="array" ref="G14">SUMPRODUCT((SUELDOS!A$3:A$68=2026)*SUELDOS!H$3:H$68)</f>
        <v>2930536.3830000004</v>
      </c>
      <c r="H14" s="374">
        <f>IF(G13=0,"—",G14/G13-1)</f>
        <v>-0.15377926713216128</v>
      </c>
      <c r="J14" s="376" t="s">
        <v>398</v>
      </c>
      <c r="K14" s="375">
        <f>SUM(K9:K13)</f>
        <v>372921.45794017095</v>
      </c>
      <c r="L14" s="377">
        <f>SUM(L9:L13)</f>
        <v>0.99999999999999989</v>
      </c>
      <c r="N14" s="366">
        <f t="shared" si="0"/>
        <v>2026</v>
      </c>
      <c r="O14" s="340">
        <f t="shared" si="1"/>
        <v>2930536.3830000004</v>
      </c>
      <c r="Q14" s="366">
        <f t="shared" si="2"/>
        <v>2026</v>
      </c>
      <c r="R14" s="340">
        <f t="shared" si="2"/>
        <v>892779.91000000015</v>
      </c>
      <c r="S14" s="340">
        <f t="shared" si="2"/>
        <v>819452.53999999992</v>
      </c>
      <c r="T14" s="340">
        <f t="shared" si="2"/>
        <v>778018.03</v>
      </c>
      <c r="U14" s="340">
        <f t="shared" si="2"/>
        <v>423285.90299999999</v>
      </c>
    </row>
    <row r="15" spans="1:21" ht="9.9499999999999993" customHeight="1" x14ac:dyDescent="0.25"/>
    <row r="16" spans="1:21" x14ac:dyDescent="0.25">
      <c r="A16" s="434" t="s">
        <v>2305</v>
      </c>
      <c r="B16" s="419"/>
      <c r="C16" s="419"/>
      <c r="D16" s="419"/>
      <c r="E16" s="419"/>
      <c r="F16" s="419"/>
      <c r="G16" s="419"/>
      <c r="H16" s="419"/>
      <c r="J16" s="430" t="s">
        <v>2311</v>
      </c>
      <c r="K16" s="431"/>
      <c r="L16" s="431"/>
      <c r="N16" s="429" t="s">
        <v>2308</v>
      </c>
      <c r="O16" s="419"/>
    </row>
    <row r="17" spans="1:15" x14ac:dyDescent="0.25">
      <c r="A17" s="382" t="s">
        <v>2259</v>
      </c>
      <c r="B17" s="381" t="s">
        <v>2306</v>
      </c>
      <c r="C17" s="381" t="s">
        <v>1940</v>
      </c>
      <c r="D17" s="381" t="s">
        <v>2298</v>
      </c>
      <c r="E17" s="386" t="s">
        <v>1890</v>
      </c>
      <c r="J17" s="394" t="s">
        <v>2312</v>
      </c>
      <c r="K17" s="393" t="s">
        <v>2313</v>
      </c>
      <c r="L17" s="398" t="s">
        <v>2314</v>
      </c>
      <c r="N17" s="339" t="s">
        <v>2303</v>
      </c>
      <c r="O17" s="339" t="s">
        <v>2309</v>
      </c>
    </row>
    <row r="18" spans="1:15" x14ac:dyDescent="0.25">
      <c r="A18" s="383" t="str">
        <f>SUELDOS!B3&amp;" "&amp;SUELDOS!A3</f>
        <v>Julio 2021</v>
      </c>
      <c r="B18" s="378">
        <f>SUELDOS!C3+SUELDOS!D3+SUELDOS!E3</f>
        <v>129346.48999999999</v>
      </c>
      <c r="C18" s="378">
        <f>SUELDOS!F3</f>
        <v>121000</v>
      </c>
      <c r="D18" s="378">
        <f>SUELDOS!G3</f>
        <v>0</v>
      </c>
      <c r="E18" s="387">
        <f>SUELDOS!H3</f>
        <v>250346.49</v>
      </c>
      <c r="J18" s="395" t="s">
        <v>2315</v>
      </c>
      <c r="K18" s="390" cm="1">
        <f t="array" ref="K18">SUMPRODUCT((SUELDOS!A3:A57=2025)*(SUELDOS!C3:C57+SUELDOS!D3:D57+SUELDOS!E3:E57))</f>
        <v>2780085.5900000003</v>
      </c>
      <c r="L18" s="399" cm="1">
        <f t="array" ref="L18">SUMPRODUCT((SUELDOS!A3:A68=2026)*(SUELDOS!C3:C68+SUELDOS!D3:D68+SUELDOS!E3:E68))</f>
        <v>2490250.48</v>
      </c>
      <c r="N18" t="str">
        <f t="shared" ref="N18:O22" si="3">J9</f>
        <v>ERD</v>
      </c>
      <c r="O18" s="340">
        <f t="shared" si="3"/>
        <v>69511.867037037053</v>
      </c>
    </row>
    <row r="19" spans="1:15" x14ac:dyDescent="0.25">
      <c r="A19" s="383" t="str">
        <f>SUELDOS!B4&amp;" "&amp;SUELDOS!A4</f>
        <v>Agosto 2021</v>
      </c>
      <c r="B19" s="378">
        <f>SUELDOS!C4+SUELDOS!D4+SUELDOS!E4</f>
        <v>129346.48999999999</v>
      </c>
      <c r="C19" s="378">
        <f>SUELDOS!F4</f>
        <v>61445.25</v>
      </c>
      <c r="D19" s="378">
        <f>SUELDOS!G4</f>
        <v>0</v>
      </c>
      <c r="E19" s="387">
        <f>SUELDOS!H4</f>
        <v>190791.74</v>
      </c>
      <c r="J19" s="395" t="s">
        <v>2316</v>
      </c>
      <c r="K19" s="390" cm="1">
        <f t="array" ref="K19">SUMPRODUCT((SUELDOS!A3:A57=2025)*SUELDOS!F3:F57)</f>
        <v>681001.84</v>
      </c>
      <c r="L19" s="399" cm="1">
        <f t="array" ref="L19">SUMPRODUCT((SUELDOS!A3:A68=2026)*SUELDOS!F3:F68)</f>
        <v>423285.90299999999</v>
      </c>
      <c r="N19" t="str">
        <f t="shared" si="3"/>
        <v>MARVESA</v>
      </c>
      <c r="O19" s="340">
        <f t="shared" si="3"/>
        <v>60653.18388888886</v>
      </c>
    </row>
    <row r="20" spans="1:15" x14ac:dyDescent="0.25">
      <c r="A20" s="383" t="str">
        <f>SUELDOS!B5&amp;" "&amp;SUELDOS!A5</f>
        <v>Septiembre 2021</v>
      </c>
      <c r="B20" s="378">
        <f>SUELDOS!C5+SUELDOS!D5+SUELDOS!E5</f>
        <v>129346.48999999999</v>
      </c>
      <c r="C20" s="378">
        <f>SUELDOS!F5</f>
        <v>331913.01</v>
      </c>
      <c r="D20" s="378">
        <f>SUELDOS!G5</f>
        <v>0</v>
      </c>
      <c r="E20" s="387">
        <f>SUELDOS!H5</f>
        <v>461259.5</v>
      </c>
      <c r="J20" s="395" t="s">
        <v>2298</v>
      </c>
      <c r="K20" s="390" cm="1">
        <f t="array" ref="K20">SUMPRODUCT((SUELDOS!A3:A57=2025)*SUELDOS!G3:G57)</f>
        <v>2000</v>
      </c>
      <c r="L20" s="399" cm="1">
        <f t="array" ref="L20">SUMPRODUCT((SUELDOS!A3:A68=2026)*SUELDOS!G3:G68)</f>
        <v>17000</v>
      </c>
      <c r="N20" t="str">
        <f t="shared" si="3"/>
        <v>HMNSA</v>
      </c>
      <c r="O20" s="340">
        <f t="shared" si="3"/>
        <v>57214.045555555575</v>
      </c>
    </row>
    <row r="21" spans="1:15" x14ac:dyDescent="0.25">
      <c r="A21" s="383" t="str">
        <f>SUELDOS!B6&amp;" "&amp;SUELDOS!A6</f>
        <v>Octubre 2021</v>
      </c>
      <c r="B21" s="378">
        <f>SUELDOS!C6+SUELDOS!D6+SUELDOS!E6</f>
        <v>129346.48999999999</v>
      </c>
      <c r="C21" s="378">
        <f>SUELDOS!F6</f>
        <v>195013.04399999999</v>
      </c>
      <c r="D21" s="378">
        <f>SUELDOS!G6</f>
        <v>0</v>
      </c>
      <c r="E21" s="387">
        <f>SUELDOS!H6</f>
        <v>324359.53399999999</v>
      </c>
      <c r="J21" s="396" t="s">
        <v>398</v>
      </c>
      <c r="K21" s="391" cm="1">
        <f t="array" ref="K21">SUMPRODUCT((SUELDOS!A3:A57=2025)*SUELDOS!H3:H57)</f>
        <v>3463087.43</v>
      </c>
      <c r="L21" s="400" cm="1">
        <f t="array" ref="L21">SUMPRODUCT((SUELDOS!A3:A68=2026)*SUELDOS!H3:H68)</f>
        <v>2930536.3830000004</v>
      </c>
      <c r="N21" t="str">
        <f t="shared" si="3"/>
        <v>HONORARIOS</v>
      </c>
      <c r="O21" s="340">
        <f t="shared" si="3"/>
        <v>175157.74607407409</v>
      </c>
    </row>
    <row r="22" spans="1:15" x14ac:dyDescent="0.25">
      <c r="A22" s="383" t="str">
        <f>SUELDOS!B7&amp;" "&amp;SUELDOS!A7</f>
        <v>Noviembre 2021</v>
      </c>
      <c r="B22" s="378">
        <f>SUELDOS!C7+SUELDOS!D7+SUELDOS!E7</f>
        <v>143086.91999999998</v>
      </c>
      <c r="C22" s="378">
        <f>SUELDOS!F7</f>
        <v>123506.96400000001</v>
      </c>
      <c r="D22" s="378">
        <f>SUELDOS!G7</f>
        <v>0</v>
      </c>
      <c r="E22" s="387">
        <f>SUELDOS!H7</f>
        <v>266593.88399999996</v>
      </c>
      <c r="J22" s="397" t="s">
        <v>2317</v>
      </c>
      <c r="K22" s="392" t="str">
        <f>""</f>
        <v/>
      </c>
      <c r="L22" s="401">
        <f>L21/K21-1</f>
        <v>-0.15377926713216128</v>
      </c>
      <c r="N22" t="str">
        <f t="shared" si="3"/>
        <v>CONSULTAS</v>
      </c>
      <c r="O22" s="340">
        <f t="shared" si="3"/>
        <v>10384.615384615385</v>
      </c>
    </row>
    <row r="23" spans="1:15" x14ac:dyDescent="0.25">
      <c r="A23" s="383" t="str">
        <f>SUELDOS!B8&amp;" "&amp;SUELDOS!A8</f>
        <v>Diciembre 2021</v>
      </c>
      <c r="B23" s="378">
        <f>SUELDOS!C8+SUELDOS!D8+SUELDOS!E8</f>
        <v>142666.91999999998</v>
      </c>
      <c r="C23" s="378">
        <f>SUELDOS!F8</f>
        <v>102406.5</v>
      </c>
      <c r="D23" s="378">
        <f>SUELDOS!G8</f>
        <v>0</v>
      </c>
      <c r="E23" s="387">
        <f>SUELDOS!H8</f>
        <v>245073.41999999998</v>
      </c>
    </row>
    <row r="24" spans="1:15" x14ac:dyDescent="0.25">
      <c r="A24" s="383" t="str">
        <f>SUELDOS!B9&amp;" "&amp;SUELDOS!A9</f>
        <v>Enero 2022</v>
      </c>
      <c r="B24" s="378">
        <f>SUELDOS!C9+SUELDOS!D9+SUELDOS!E9</f>
        <v>142755.79999999999</v>
      </c>
      <c r="C24" s="378">
        <f>SUELDOS!F9</f>
        <v>80956.97099999999</v>
      </c>
      <c r="D24" s="378">
        <f>SUELDOS!G9</f>
        <v>0</v>
      </c>
      <c r="E24" s="387">
        <f>SUELDOS!H9</f>
        <v>223712.77099999998</v>
      </c>
    </row>
    <row r="25" spans="1:15" x14ac:dyDescent="0.25">
      <c r="A25" s="383" t="str">
        <f>SUELDOS!B10&amp;" "&amp;SUELDOS!A10</f>
        <v>Febrero 2022</v>
      </c>
      <c r="B25" s="378">
        <f>SUELDOS!C10+SUELDOS!D10+SUELDOS!E10</f>
        <v>142751.93</v>
      </c>
      <c r="C25" s="378">
        <f>SUELDOS!F10</f>
        <v>75409.649999999994</v>
      </c>
      <c r="D25" s="378">
        <f>SUELDOS!G10</f>
        <v>0</v>
      </c>
      <c r="E25" s="387">
        <f>SUELDOS!H10</f>
        <v>218161.58</v>
      </c>
    </row>
    <row r="26" spans="1:15" x14ac:dyDescent="0.25">
      <c r="A26" s="383" t="str">
        <f>SUELDOS!B11&amp;" "&amp;SUELDOS!A11</f>
        <v>Marzo 2022</v>
      </c>
      <c r="B26" s="378">
        <f>SUELDOS!C11+SUELDOS!D11+SUELDOS!E11</f>
        <v>203551.93</v>
      </c>
      <c r="C26" s="378">
        <f>SUELDOS!F11</f>
        <v>129321</v>
      </c>
      <c r="D26" s="378">
        <f>SUELDOS!G11</f>
        <v>0</v>
      </c>
      <c r="E26" s="387">
        <f>SUELDOS!H11</f>
        <v>332872.93</v>
      </c>
    </row>
    <row r="27" spans="1:15" x14ac:dyDescent="0.25">
      <c r="A27" s="383" t="str">
        <f>SUELDOS!B12&amp;" "&amp;SUELDOS!A12</f>
        <v>Abril 2022</v>
      </c>
      <c r="B27" s="378">
        <f>SUELDOS!C12+SUELDOS!D12+SUELDOS!E12</f>
        <v>188907.03999999998</v>
      </c>
      <c r="C27" s="378">
        <f>SUELDOS!F12</f>
        <v>169756.02</v>
      </c>
      <c r="D27" s="378">
        <f>SUELDOS!G12</f>
        <v>0</v>
      </c>
      <c r="E27" s="387">
        <f>SUELDOS!H12</f>
        <v>358663.05999999994</v>
      </c>
    </row>
    <row r="28" spans="1:15" x14ac:dyDescent="0.25">
      <c r="A28" s="383" t="str">
        <f>SUELDOS!B13&amp;" "&amp;SUELDOS!A13</f>
        <v>Mayo 2022</v>
      </c>
      <c r="B28" s="378">
        <f>SUELDOS!C13+SUELDOS!D13+SUELDOS!E13</f>
        <v>188907.03999999998</v>
      </c>
      <c r="C28" s="378">
        <f>SUELDOS!F13</f>
        <v>130658.40000000002</v>
      </c>
      <c r="D28" s="378">
        <f>SUELDOS!G13</f>
        <v>0</v>
      </c>
      <c r="E28" s="387">
        <f>SUELDOS!H13</f>
        <v>319565.44</v>
      </c>
    </row>
    <row r="29" spans="1:15" x14ac:dyDescent="0.25">
      <c r="A29" s="383" t="str">
        <f>SUELDOS!B14&amp;" "&amp;SUELDOS!A14</f>
        <v>Junio 2022</v>
      </c>
      <c r="B29" s="378">
        <f>SUELDOS!C14+SUELDOS!D14+SUELDOS!E14</f>
        <v>188907.03999999998</v>
      </c>
      <c r="C29" s="378">
        <f>SUELDOS!F14</f>
        <v>39941.1</v>
      </c>
      <c r="D29" s="378">
        <f>SUELDOS!G14</f>
        <v>0</v>
      </c>
      <c r="E29" s="387">
        <f>SUELDOS!H14</f>
        <v>228848.13999999998</v>
      </c>
    </row>
    <row r="30" spans="1:15" x14ac:dyDescent="0.25">
      <c r="A30" s="383" t="str">
        <f>SUELDOS!B15&amp;" "&amp;SUELDOS!A15</f>
        <v>Julio 2022</v>
      </c>
      <c r="B30" s="378">
        <f>SUELDOS!C15+SUELDOS!D15+SUELDOS!E15</f>
        <v>188907.03999999998</v>
      </c>
      <c r="C30" s="378">
        <f>SUELDOS!F15</f>
        <v>65691</v>
      </c>
      <c r="D30" s="378">
        <f>SUELDOS!G15</f>
        <v>0</v>
      </c>
      <c r="E30" s="387">
        <f>SUELDOS!H15</f>
        <v>254598.03999999998</v>
      </c>
    </row>
    <row r="31" spans="1:15" x14ac:dyDescent="0.25">
      <c r="A31" s="383" t="str">
        <f>SUELDOS!B16&amp;" "&amp;SUELDOS!A16</f>
        <v>Agosto 2022</v>
      </c>
      <c r="B31" s="378">
        <f>SUELDOS!C16+SUELDOS!D16+SUELDOS!E16</f>
        <v>188907.03999999998</v>
      </c>
      <c r="C31" s="378">
        <f>SUELDOS!F16</f>
        <v>246284.87399999998</v>
      </c>
      <c r="D31" s="378">
        <f>SUELDOS!G16</f>
        <v>0</v>
      </c>
      <c r="E31" s="387">
        <f>SUELDOS!H16</f>
        <v>435191.91399999999</v>
      </c>
    </row>
    <row r="32" spans="1:15" x14ac:dyDescent="0.25">
      <c r="A32" s="383" t="str">
        <f>SUELDOS!B17&amp;" "&amp;SUELDOS!A17</f>
        <v>Septiembre 2022</v>
      </c>
      <c r="B32" s="378">
        <f>SUELDOS!C17+SUELDOS!D17+SUELDOS!E17</f>
        <v>188907.03999999998</v>
      </c>
      <c r="C32" s="378">
        <f>SUELDOS!F17</f>
        <v>829822.23800000013</v>
      </c>
      <c r="D32" s="378">
        <f>SUELDOS!G17</f>
        <v>0</v>
      </c>
      <c r="E32" s="387">
        <f>SUELDOS!H17</f>
        <v>1018729.2780000002</v>
      </c>
    </row>
    <row r="33" spans="1:5" x14ac:dyDescent="0.25">
      <c r="A33" s="383" t="str">
        <f>SUELDOS!B18&amp;" "&amp;SUELDOS!A18</f>
        <v>Octubre 2022</v>
      </c>
      <c r="B33" s="378">
        <f>SUELDOS!C18+SUELDOS!D18+SUELDOS!E18</f>
        <v>188907.03999999998</v>
      </c>
      <c r="C33" s="378">
        <f>SUELDOS!F18</f>
        <v>200775.008</v>
      </c>
      <c r="D33" s="378">
        <f>SUELDOS!G18</f>
        <v>0</v>
      </c>
      <c r="E33" s="387">
        <f>SUELDOS!H18</f>
        <v>389682.04799999995</v>
      </c>
    </row>
    <row r="34" spans="1:5" x14ac:dyDescent="0.25">
      <c r="A34" s="383" t="str">
        <f>SUELDOS!B19&amp;" "&amp;SUELDOS!A19</f>
        <v>Noviembre 2022</v>
      </c>
      <c r="B34" s="378">
        <f>SUELDOS!C19+SUELDOS!D19+SUELDOS!E19</f>
        <v>188907.03999999998</v>
      </c>
      <c r="C34" s="378">
        <f>SUELDOS!F19</f>
        <v>308422.81799999997</v>
      </c>
      <c r="D34" s="378">
        <f>SUELDOS!G19</f>
        <v>0</v>
      </c>
      <c r="E34" s="387">
        <f>SUELDOS!H19</f>
        <v>497329.85799999995</v>
      </c>
    </row>
    <row r="35" spans="1:5" x14ac:dyDescent="0.25">
      <c r="A35" s="383" t="str">
        <f>SUELDOS!B20&amp;" "&amp;SUELDOS!A20</f>
        <v>Diciembre 2022</v>
      </c>
      <c r="B35" s="378">
        <f>SUELDOS!C20+SUELDOS!D20+SUELDOS!E20</f>
        <v>188907.03999999998</v>
      </c>
      <c r="C35" s="378">
        <f>SUELDOS!F20</f>
        <v>309126.59999999998</v>
      </c>
      <c r="D35" s="378">
        <f>SUELDOS!G20</f>
        <v>0</v>
      </c>
      <c r="E35" s="387">
        <f>SUELDOS!H20</f>
        <v>498033.63999999996</v>
      </c>
    </row>
    <row r="36" spans="1:5" x14ac:dyDescent="0.25">
      <c r="A36" s="383" t="str">
        <f>SUELDOS!B21&amp;" "&amp;SUELDOS!A21</f>
        <v>Enero 2023</v>
      </c>
      <c r="B36" s="378">
        <f>SUELDOS!C21+SUELDOS!D21+SUELDOS!E21</f>
        <v>188910.91</v>
      </c>
      <c r="C36" s="378">
        <f>SUELDOS!F21</f>
        <v>160148.53</v>
      </c>
      <c r="D36" s="378">
        <f>SUELDOS!G21</f>
        <v>6000</v>
      </c>
      <c r="E36" s="387">
        <f>SUELDOS!H21</f>
        <v>355059.44</v>
      </c>
    </row>
    <row r="37" spans="1:5" ht="30" customHeight="1" x14ac:dyDescent="0.25">
      <c r="A37" s="383" t="str">
        <f>SUELDOS!B22&amp;" "&amp;SUELDOS!A22</f>
        <v>Febrero 2023</v>
      </c>
      <c r="B37" s="378">
        <f>SUELDOS!C22+SUELDOS!D22+SUELDOS!E22</f>
        <v>188907.03999999998</v>
      </c>
      <c r="C37" s="378">
        <f>SUELDOS!F22</f>
        <v>23911.200000000001</v>
      </c>
      <c r="D37" s="378">
        <f>SUELDOS!G22</f>
        <v>30000</v>
      </c>
      <c r="E37" s="387">
        <f>SUELDOS!H22</f>
        <v>242818.24</v>
      </c>
    </row>
    <row r="38" spans="1:5" ht="30" customHeight="1" x14ac:dyDescent="0.25">
      <c r="A38" s="383" t="str">
        <f>SUELDOS!B23&amp;" "&amp;SUELDOS!A23</f>
        <v>Marzo 2023</v>
      </c>
      <c r="B38" s="378">
        <f>SUELDOS!C23+SUELDOS!D23+SUELDOS!E23</f>
        <v>188907.03999999998</v>
      </c>
      <c r="C38" s="378">
        <f>SUELDOS!F23</f>
        <v>230489.53199999998</v>
      </c>
      <c r="D38" s="378">
        <f>SUELDOS!G23</f>
        <v>30000</v>
      </c>
      <c r="E38" s="387">
        <f>SUELDOS!H23</f>
        <v>449396.57199999993</v>
      </c>
    </row>
    <row r="39" spans="1:5" ht="30" customHeight="1" x14ac:dyDescent="0.25">
      <c r="A39" s="383" t="str">
        <f>SUELDOS!B24&amp;" "&amp;SUELDOS!A24</f>
        <v>Abril 2023</v>
      </c>
      <c r="B39" s="378">
        <f>SUELDOS!C24+SUELDOS!D24+SUELDOS!E24</f>
        <v>188907.03999999998</v>
      </c>
      <c r="C39" s="378">
        <f>SUELDOS!F24</f>
        <v>260954.32500000001</v>
      </c>
      <c r="D39" s="378">
        <f>SUELDOS!G24</f>
        <v>0</v>
      </c>
      <c r="E39" s="387">
        <f>SUELDOS!H24</f>
        <v>449861.36499999999</v>
      </c>
    </row>
    <row r="40" spans="1:5" ht="30" customHeight="1" x14ac:dyDescent="0.25">
      <c r="A40" s="383" t="str">
        <f>SUELDOS!B25&amp;" "&amp;SUELDOS!A25</f>
        <v>Mayo 2023</v>
      </c>
      <c r="B40" s="378">
        <f>SUELDOS!C25+SUELDOS!D25+SUELDOS!E25</f>
        <v>188907.03999999998</v>
      </c>
      <c r="C40" s="378">
        <f>SUELDOS!F25</f>
        <v>278545.14</v>
      </c>
      <c r="D40" s="378">
        <f>SUELDOS!G25</f>
        <v>10000</v>
      </c>
      <c r="E40" s="387">
        <f>SUELDOS!H25</f>
        <v>477452.18</v>
      </c>
    </row>
    <row r="41" spans="1:5" ht="30" customHeight="1" x14ac:dyDescent="0.25">
      <c r="A41" s="383" t="str">
        <f>SUELDOS!B26&amp;" "&amp;SUELDOS!A26</f>
        <v>Junio 2023</v>
      </c>
      <c r="B41" s="378">
        <f>SUELDOS!C26+SUELDOS!D26+SUELDOS!E26</f>
        <v>188907.03999999998</v>
      </c>
      <c r="C41" s="378">
        <f>SUELDOS!F26</f>
        <v>286613.09999999998</v>
      </c>
      <c r="D41" s="378">
        <f>SUELDOS!G26</f>
        <v>20000</v>
      </c>
      <c r="E41" s="387">
        <f>SUELDOS!H26</f>
        <v>495520.13999999996</v>
      </c>
    </row>
    <row r="42" spans="1:5" ht="30" customHeight="1" x14ac:dyDescent="0.25">
      <c r="A42" s="383" t="str">
        <f>SUELDOS!B27&amp;" "&amp;SUELDOS!A27</f>
        <v>Julio 2023</v>
      </c>
      <c r="B42" s="378">
        <f>SUELDOS!C27+SUELDOS!D27+SUELDOS!E27</f>
        <v>188907.03999999998</v>
      </c>
      <c r="C42" s="378">
        <f>SUELDOS!F27</f>
        <v>189596.15999999997</v>
      </c>
      <c r="D42" s="378">
        <f>SUELDOS!G27</f>
        <v>0</v>
      </c>
      <c r="E42" s="387">
        <f>SUELDOS!H27</f>
        <v>378503.19999999995</v>
      </c>
    </row>
    <row r="43" spans="1:5" ht="30" customHeight="1" x14ac:dyDescent="0.25">
      <c r="A43" s="383" t="str">
        <f>SUELDOS!B28&amp;" "&amp;SUELDOS!A28</f>
        <v>Agosto 2023</v>
      </c>
      <c r="B43" s="378">
        <f>SUELDOS!C28+SUELDOS!D28+SUELDOS!E28</f>
        <v>188907.03999999998</v>
      </c>
      <c r="C43" s="378">
        <f>SUELDOS!F28</f>
        <v>403213.05</v>
      </c>
      <c r="D43" s="378">
        <f>SUELDOS!G28</f>
        <v>10000</v>
      </c>
      <c r="E43" s="387">
        <f>SUELDOS!H28</f>
        <v>602120.09</v>
      </c>
    </row>
    <row r="44" spans="1:5" ht="30" customHeight="1" x14ac:dyDescent="0.25">
      <c r="A44" s="383" t="str">
        <f>SUELDOS!B29&amp;" "&amp;SUELDOS!A29</f>
        <v>Septiembre 2023</v>
      </c>
      <c r="B44" s="378">
        <f>SUELDOS!C29+SUELDOS!D29+SUELDOS!E29</f>
        <v>188907.03999999998</v>
      </c>
      <c r="C44" s="378">
        <f>SUELDOS!F29</f>
        <v>372549.78</v>
      </c>
      <c r="D44" s="378">
        <f>SUELDOS!G29</f>
        <v>20000</v>
      </c>
      <c r="E44" s="387">
        <f>SUELDOS!H29</f>
        <v>581456.82000000007</v>
      </c>
    </row>
    <row r="45" spans="1:5" x14ac:dyDescent="0.25">
      <c r="A45" s="383" t="str">
        <f>SUELDOS!B30&amp;" "&amp;SUELDOS!A30</f>
        <v>Octubre 2023</v>
      </c>
      <c r="B45" s="378">
        <f>SUELDOS!C30+SUELDOS!D30+SUELDOS!E30</f>
        <v>188907.03999999998</v>
      </c>
      <c r="C45" s="378">
        <f>SUELDOS!F30</f>
        <v>208166.21999999997</v>
      </c>
      <c r="D45" s="378">
        <f>SUELDOS!G30</f>
        <v>5000</v>
      </c>
      <c r="E45" s="387">
        <f>SUELDOS!H30</f>
        <v>402073.25999999995</v>
      </c>
    </row>
    <row r="46" spans="1:5" x14ac:dyDescent="0.25">
      <c r="A46" s="383" t="str">
        <f>SUELDOS!B31&amp;" "&amp;SUELDOS!A31</f>
        <v>Noviembre 2023</v>
      </c>
      <c r="B46" s="378">
        <f>SUELDOS!C31+SUELDOS!D31+SUELDOS!E31</f>
        <v>205251.93</v>
      </c>
      <c r="C46" s="378">
        <f>SUELDOS!F31</f>
        <v>285923.54700000002</v>
      </c>
      <c r="D46" s="378">
        <f>SUELDOS!G31</f>
        <v>0</v>
      </c>
      <c r="E46" s="387">
        <f>SUELDOS!H31</f>
        <v>491175.47700000001</v>
      </c>
    </row>
    <row r="47" spans="1:5" x14ac:dyDescent="0.25">
      <c r="A47" s="383" t="str">
        <f>SUELDOS!B32&amp;" "&amp;SUELDOS!A32</f>
        <v>Diciembre 2023</v>
      </c>
      <c r="B47" s="378">
        <f>SUELDOS!C32+SUELDOS!D32+SUELDOS!E32</f>
        <v>188907.03999999998</v>
      </c>
      <c r="C47" s="378">
        <f>SUELDOS!F32</f>
        <v>193207.5</v>
      </c>
      <c r="D47" s="378">
        <f>SUELDOS!G32</f>
        <v>0</v>
      </c>
      <c r="E47" s="387">
        <f>SUELDOS!H32</f>
        <v>382114.54</v>
      </c>
    </row>
    <row r="48" spans="1:5" x14ac:dyDescent="0.25">
      <c r="A48" s="383" t="str">
        <f>SUELDOS!B33&amp;" "&amp;SUELDOS!A33</f>
        <v>Enero 2024</v>
      </c>
      <c r="B48" s="378">
        <f>SUELDOS!C33+SUELDOS!D33+SUELDOS!E33</f>
        <v>188910.91</v>
      </c>
      <c r="C48" s="378">
        <f>SUELDOS!F33</f>
        <v>369322.2</v>
      </c>
      <c r="D48" s="378">
        <f>SUELDOS!G33</f>
        <v>2000</v>
      </c>
      <c r="E48" s="387">
        <f>SUELDOS!H33</f>
        <v>560233.11</v>
      </c>
    </row>
    <row r="49" spans="1:5" x14ac:dyDescent="0.25">
      <c r="A49" s="383" t="str">
        <f>SUELDOS!B34&amp;" "&amp;SUELDOS!A34</f>
        <v>Febrero 2024</v>
      </c>
      <c r="B49" s="378">
        <f>SUELDOS!C34+SUELDOS!D34+SUELDOS!E34</f>
        <v>188907.03999999998</v>
      </c>
      <c r="C49" s="378">
        <f>SUELDOS!F34</f>
        <v>255045.6</v>
      </c>
      <c r="D49" s="378">
        <f>SUELDOS!G34</f>
        <v>0</v>
      </c>
      <c r="E49" s="387">
        <f>SUELDOS!H34</f>
        <v>443952.64000000001</v>
      </c>
    </row>
    <row r="50" spans="1:5" x14ac:dyDescent="0.25">
      <c r="A50" s="383" t="str">
        <f>SUELDOS!B35&amp;" "&amp;SUELDOS!A35</f>
        <v>Marzo 2024</v>
      </c>
      <c r="B50" s="378">
        <f>SUELDOS!C35+SUELDOS!D35+SUELDOS!E35</f>
        <v>188907.03999999998</v>
      </c>
      <c r="C50" s="378">
        <f>SUELDOS!F35</f>
        <v>0</v>
      </c>
      <c r="D50" s="378">
        <f>SUELDOS!G35</f>
        <v>0</v>
      </c>
      <c r="E50" s="387">
        <f>SUELDOS!H35</f>
        <v>188907.03999999998</v>
      </c>
    </row>
    <row r="51" spans="1:5" x14ac:dyDescent="0.25">
      <c r="A51" s="383" t="str">
        <f>SUELDOS!B36&amp;" "&amp;SUELDOS!A36</f>
        <v>Abril 2024</v>
      </c>
      <c r="B51" s="378">
        <f>SUELDOS!C36+SUELDOS!D36+SUELDOS!E36</f>
        <v>188907.03999999998</v>
      </c>
      <c r="C51" s="378">
        <f>SUELDOS!F36</f>
        <v>281355.3</v>
      </c>
      <c r="D51" s="378">
        <f>SUELDOS!G36</f>
        <v>0</v>
      </c>
      <c r="E51" s="387">
        <f>SUELDOS!H36</f>
        <v>470262.33999999997</v>
      </c>
    </row>
    <row r="52" spans="1:5" x14ac:dyDescent="0.25">
      <c r="A52" s="383" t="str">
        <f>SUELDOS!B37&amp;" "&amp;SUELDOS!A37</f>
        <v>Mayo 2024</v>
      </c>
      <c r="B52" s="378">
        <f>SUELDOS!C37+SUELDOS!D37+SUELDOS!E37</f>
        <v>188907.03999999998</v>
      </c>
      <c r="C52" s="378">
        <f>SUELDOS!F37</f>
        <v>143850.6</v>
      </c>
      <c r="D52" s="378">
        <f>SUELDOS!G37</f>
        <v>0</v>
      </c>
      <c r="E52" s="387">
        <f>SUELDOS!H37</f>
        <v>332757.64</v>
      </c>
    </row>
    <row r="53" spans="1:5" x14ac:dyDescent="0.25">
      <c r="A53" s="383" t="str">
        <f>SUELDOS!B38&amp;" "&amp;SUELDOS!A38</f>
        <v>Junio 2024</v>
      </c>
      <c r="B53" s="378">
        <f>SUELDOS!C38+SUELDOS!D38+SUELDOS!E38</f>
        <v>188907.03999999998</v>
      </c>
      <c r="C53" s="378">
        <f>SUELDOS!F38</f>
        <v>197221.70699999999</v>
      </c>
      <c r="D53" s="378">
        <f>SUELDOS!G38</f>
        <v>0</v>
      </c>
      <c r="E53" s="387">
        <f>SUELDOS!H38</f>
        <v>386128.74699999997</v>
      </c>
    </row>
    <row r="54" spans="1:5" x14ac:dyDescent="0.25">
      <c r="A54" s="383" t="str">
        <f>SUELDOS!B39&amp;" "&amp;SUELDOS!A39</f>
        <v>Julio 2024</v>
      </c>
      <c r="B54" s="378">
        <f>SUELDOS!C39+SUELDOS!D39+SUELDOS!E39</f>
        <v>188907.03999999998</v>
      </c>
      <c r="C54" s="378">
        <f>SUELDOS!F39</f>
        <v>106668</v>
      </c>
      <c r="D54" s="378">
        <f>SUELDOS!G39</f>
        <v>0</v>
      </c>
      <c r="E54" s="387">
        <f>SUELDOS!H39</f>
        <v>295575.03999999998</v>
      </c>
    </row>
    <row r="55" spans="1:5" x14ac:dyDescent="0.25">
      <c r="A55" s="383" t="str">
        <f>SUELDOS!B40&amp;" "&amp;SUELDOS!A40</f>
        <v>Agosto 2024</v>
      </c>
      <c r="B55" s="378">
        <f>SUELDOS!C40+SUELDOS!D40+SUELDOS!E40</f>
        <v>188907.03999999998</v>
      </c>
      <c r="C55" s="378">
        <f>SUELDOS!F40</f>
        <v>249540.58799999999</v>
      </c>
      <c r="D55" s="378">
        <f>SUELDOS!G40</f>
        <v>0</v>
      </c>
      <c r="E55" s="387">
        <f>SUELDOS!H40</f>
        <v>438447.62799999997</v>
      </c>
    </row>
    <row r="56" spans="1:5" x14ac:dyDescent="0.25">
      <c r="A56" s="383" t="str">
        <f>SUELDOS!B41&amp;" "&amp;SUELDOS!A41</f>
        <v>Septiembre 2024</v>
      </c>
      <c r="B56" s="378">
        <f>SUELDOS!C41+SUELDOS!D41+SUELDOS!E41</f>
        <v>188907.03999999998</v>
      </c>
      <c r="C56" s="378">
        <f>SUELDOS!F41</f>
        <v>255935.00099999999</v>
      </c>
      <c r="D56" s="378">
        <f>SUELDOS!G41</f>
        <v>0</v>
      </c>
      <c r="E56" s="387">
        <f>SUELDOS!H41</f>
        <v>444842.04099999997</v>
      </c>
    </row>
    <row r="57" spans="1:5" x14ac:dyDescent="0.25">
      <c r="A57" s="383" t="str">
        <f>SUELDOS!B42&amp;" "&amp;SUELDOS!A42</f>
        <v>Octubre 2024</v>
      </c>
      <c r="B57" s="378">
        <f>SUELDOS!C42+SUELDOS!D42+SUELDOS!E42</f>
        <v>188907.03999999998</v>
      </c>
      <c r="C57" s="378">
        <f>SUELDOS!F42</f>
        <v>339408.9</v>
      </c>
      <c r="D57" s="378">
        <f>SUELDOS!G42</f>
        <v>0</v>
      </c>
      <c r="E57" s="387">
        <f>SUELDOS!H42</f>
        <v>528315.93999999994</v>
      </c>
    </row>
    <row r="58" spans="1:5" x14ac:dyDescent="0.25">
      <c r="A58" s="383" t="str">
        <f>SUELDOS!B43&amp;" "&amp;SUELDOS!A43</f>
        <v>Noviembre 2024</v>
      </c>
      <c r="B58" s="378">
        <f>SUELDOS!C43+SUELDOS!D43+SUELDOS!E43</f>
        <v>205251.93</v>
      </c>
      <c r="C58" s="378">
        <f>SUELDOS!F43</f>
        <v>120828.321</v>
      </c>
      <c r="D58" s="378">
        <f>SUELDOS!G43</f>
        <v>0</v>
      </c>
      <c r="E58" s="387">
        <f>SUELDOS!H43</f>
        <v>326080.25099999999</v>
      </c>
    </row>
    <row r="59" spans="1:5" x14ac:dyDescent="0.25">
      <c r="A59" s="383" t="str">
        <f>SUELDOS!B44&amp;" "&amp;SUELDOS!A44</f>
        <v>Diciembre 2024</v>
      </c>
      <c r="B59" s="378">
        <f>SUELDOS!C44+SUELDOS!D44+SUELDOS!E44</f>
        <v>188907.03999999998</v>
      </c>
      <c r="C59" s="378">
        <f>SUELDOS!F44</f>
        <v>43571.7</v>
      </c>
      <c r="D59" s="378">
        <f>SUELDOS!G44</f>
        <v>0</v>
      </c>
      <c r="E59" s="387">
        <f>SUELDOS!H44</f>
        <v>232478.74</v>
      </c>
    </row>
    <row r="60" spans="1:5" x14ac:dyDescent="0.25">
      <c r="A60" s="383" t="str">
        <f>SUELDOS!B45&amp;" "&amp;SUELDOS!A45</f>
        <v>Enero 2025</v>
      </c>
      <c r="B60" s="378">
        <f>SUELDOS!C45+SUELDOS!D45+SUELDOS!E45</f>
        <v>208550.28999999998</v>
      </c>
      <c r="C60" s="378">
        <f>SUELDOS!F45</f>
        <v>0</v>
      </c>
      <c r="D60" s="378">
        <f>SUELDOS!G45</f>
        <v>2000</v>
      </c>
      <c r="E60" s="387">
        <f>SUELDOS!H45</f>
        <v>210550.28999999998</v>
      </c>
    </row>
    <row r="61" spans="1:5" x14ac:dyDescent="0.25">
      <c r="A61" s="383" t="str">
        <f>SUELDOS!B46&amp;" "&amp;SUELDOS!A46</f>
        <v>Febrero 2025</v>
      </c>
      <c r="B61" s="378">
        <f>SUELDOS!C46+SUELDOS!D46+SUELDOS!E46</f>
        <v>208550.28999999998</v>
      </c>
      <c r="C61" s="378">
        <f>SUELDOS!F46</f>
        <v>76257</v>
      </c>
      <c r="D61" s="378">
        <f>SUELDOS!G46</f>
        <v>0</v>
      </c>
      <c r="E61" s="387">
        <f>SUELDOS!H46</f>
        <v>284807.28999999998</v>
      </c>
    </row>
    <row r="62" spans="1:5" x14ac:dyDescent="0.25">
      <c r="A62" s="383" t="str">
        <f>SUELDOS!B47&amp;" "&amp;SUELDOS!A47</f>
        <v>Marzo 2025</v>
      </c>
      <c r="B62" s="378">
        <f>SUELDOS!C47+SUELDOS!D47+SUELDOS!E47</f>
        <v>208550.28999999998</v>
      </c>
      <c r="C62" s="378">
        <f>SUELDOS!F47</f>
        <v>105621.3</v>
      </c>
      <c r="D62" s="378">
        <f>SUELDOS!G47</f>
        <v>0</v>
      </c>
      <c r="E62" s="387">
        <f>SUELDOS!H47</f>
        <v>314171.58999999997</v>
      </c>
    </row>
    <row r="63" spans="1:5" x14ac:dyDescent="0.25">
      <c r="A63" s="383" t="str">
        <f>SUELDOS!B48&amp;" "&amp;SUELDOS!A48</f>
        <v>Abril 2025</v>
      </c>
      <c r="B63" s="378">
        <f>SUELDOS!C48+SUELDOS!D48+SUELDOS!E48</f>
        <v>208550.28999999998</v>
      </c>
      <c r="C63" s="378">
        <f>SUELDOS!F48</f>
        <v>21454.955999999998</v>
      </c>
      <c r="D63" s="378">
        <f>SUELDOS!G48</f>
        <v>0</v>
      </c>
      <c r="E63" s="387">
        <f>SUELDOS!H48</f>
        <v>230005.24599999998</v>
      </c>
    </row>
    <row r="64" spans="1:5" x14ac:dyDescent="0.25">
      <c r="A64" s="383" t="str">
        <f>SUELDOS!B49&amp;" "&amp;SUELDOS!A49</f>
        <v>Mayo 2025</v>
      </c>
      <c r="B64" s="378">
        <f>SUELDOS!C49+SUELDOS!D49+SUELDOS!E49</f>
        <v>208550.28999999998</v>
      </c>
      <c r="C64" s="378">
        <f>SUELDOS!F49</f>
        <v>10000</v>
      </c>
      <c r="D64" s="378">
        <f>SUELDOS!G49</f>
        <v>0</v>
      </c>
      <c r="E64" s="387">
        <f>SUELDOS!H49</f>
        <v>218550.28999999998</v>
      </c>
    </row>
    <row r="65" spans="1:5" x14ac:dyDescent="0.25">
      <c r="A65" s="383" t="str">
        <f>SUELDOS!B50&amp;" "&amp;SUELDOS!A50</f>
        <v>Junio 2025</v>
      </c>
      <c r="B65" s="378">
        <f>SUELDOS!C50+SUELDOS!D50+SUELDOS!E50</f>
        <v>208550.28999999998</v>
      </c>
      <c r="C65" s="378">
        <f>SUELDOS!F50</f>
        <v>4343.1930000000002</v>
      </c>
      <c r="D65" s="378">
        <f>SUELDOS!G50</f>
        <v>0</v>
      </c>
      <c r="E65" s="387">
        <f>SUELDOS!H50</f>
        <v>212893.48299999998</v>
      </c>
    </row>
    <row r="66" spans="1:5" x14ac:dyDescent="0.25">
      <c r="A66" s="383" t="str">
        <f>SUELDOS!B51&amp;" "&amp;SUELDOS!A51</f>
        <v>Julio 2025</v>
      </c>
      <c r="B66" s="378">
        <f>SUELDOS!C51+SUELDOS!D51+SUELDOS!E51</f>
        <v>208550.28999999998</v>
      </c>
      <c r="C66" s="378">
        <f>SUELDOS!F51</f>
        <v>47665.8</v>
      </c>
      <c r="D66" s="378">
        <f>SUELDOS!G51</f>
        <v>0</v>
      </c>
      <c r="E66" s="387">
        <f>SUELDOS!H51</f>
        <v>256216.08999999997</v>
      </c>
    </row>
    <row r="67" spans="1:5" x14ac:dyDescent="0.25">
      <c r="A67" s="383" t="str">
        <f>SUELDOS!B52&amp;" "&amp;SUELDOS!A52</f>
        <v>Agosto 2025</v>
      </c>
      <c r="B67" s="378">
        <f>SUELDOS!C52+SUELDOS!D52+SUELDOS!E52</f>
        <v>208550.28999999998</v>
      </c>
      <c r="C67" s="378">
        <f>SUELDOS!F52</f>
        <v>123749.1</v>
      </c>
      <c r="D67" s="378">
        <f>SUELDOS!G52</f>
        <v>0</v>
      </c>
      <c r="E67" s="387">
        <f>SUELDOS!H52</f>
        <v>332299.39</v>
      </c>
    </row>
    <row r="68" spans="1:5" x14ac:dyDescent="0.25">
      <c r="A68" s="383" t="str">
        <f>SUELDOS!B53&amp;" "&amp;SUELDOS!A53</f>
        <v>Septiembre 2025</v>
      </c>
      <c r="B68" s="378">
        <f>SUELDOS!C53+SUELDOS!D53+SUELDOS!E53</f>
        <v>208550.28999999998</v>
      </c>
      <c r="C68" s="378">
        <f>SUELDOS!F53</f>
        <v>190746.891</v>
      </c>
      <c r="D68" s="378">
        <f>SUELDOS!G53</f>
        <v>0</v>
      </c>
      <c r="E68" s="387">
        <f>SUELDOS!H53</f>
        <v>399297.18099999998</v>
      </c>
    </row>
    <row r="69" spans="1:5" x14ac:dyDescent="0.25">
      <c r="A69" s="383" t="str">
        <f>SUELDOS!B54&amp;" "&amp;SUELDOS!A54</f>
        <v>Octubre 2025</v>
      </c>
      <c r="B69" s="378">
        <f>SUELDOS!C54+SUELDOS!D54+SUELDOS!E54</f>
        <v>208550.28999999998</v>
      </c>
      <c r="C69" s="378">
        <f>SUELDOS!F54</f>
        <v>101163.6</v>
      </c>
      <c r="D69" s="378">
        <f>SUELDOS!G54</f>
        <v>0</v>
      </c>
      <c r="E69" s="387">
        <f>SUELDOS!H54</f>
        <v>309713.89</v>
      </c>
    </row>
    <row r="70" spans="1:5" x14ac:dyDescent="0.25">
      <c r="A70" s="383" t="str">
        <f>SUELDOS!B55&amp;" "&amp;SUELDOS!A55</f>
        <v>Noviembre 2025</v>
      </c>
      <c r="B70" s="378">
        <f>SUELDOS!C55+SUELDOS!D55+SUELDOS!E55</f>
        <v>208550.28999999998</v>
      </c>
      <c r="C70" s="378">
        <f>SUELDOS!F55</f>
        <v>0</v>
      </c>
      <c r="D70" s="378">
        <f>SUELDOS!G55</f>
        <v>0</v>
      </c>
      <c r="E70" s="387">
        <f>SUELDOS!H55</f>
        <v>208550.28999999998</v>
      </c>
    </row>
    <row r="71" spans="1:5" x14ac:dyDescent="0.25">
      <c r="A71" s="383" t="str">
        <f>SUELDOS!B56&amp;" "&amp;SUELDOS!A56</f>
        <v>Diciembre/doble 2025</v>
      </c>
      <c r="B71" s="378">
        <f>SUELDOS!C56+SUELDOS!D56+SUELDOS!E56</f>
        <v>265588.71999999997</v>
      </c>
      <c r="C71" s="378">
        <f>SUELDOS!F56</f>
        <v>0</v>
      </c>
      <c r="D71" s="378">
        <f>SUELDOS!G56</f>
        <v>0</v>
      </c>
      <c r="E71" s="387">
        <f>SUELDOS!H56</f>
        <v>265588.71999999997</v>
      </c>
    </row>
    <row r="72" spans="1:5" ht="15.75" x14ac:dyDescent="0.25">
      <c r="A72" s="426" t="s">
        <v>2318</v>
      </c>
      <c r="B72" s="427"/>
      <c r="C72" s="427"/>
      <c r="D72" s="427"/>
      <c r="E72" s="428"/>
    </row>
    <row r="73" spans="1:5" ht="35.1" customHeight="1" x14ac:dyDescent="0.25">
      <c r="A73" s="405" t="s">
        <v>2319</v>
      </c>
      <c r="B73" s="441" t="s">
        <v>2320</v>
      </c>
      <c r="C73" s="442"/>
      <c r="D73" s="442"/>
      <c r="E73" s="443"/>
    </row>
    <row r="74" spans="1:5" ht="35.1" customHeight="1" x14ac:dyDescent="0.25">
      <c r="A74" s="406" t="s">
        <v>2321</v>
      </c>
      <c r="B74" s="435" t="s">
        <v>2322</v>
      </c>
      <c r="C74" s="436"/>
      <c r="D74" s="436"/>
      <c r="E74" s="437"/>
    </row>
    <row r="75" spans="1:5" ht="35.1" customHeight="1" x14ac:dyDescent="0.25">
      <c r="A75" s="406" t="s">
        <v>2323</v>
      </c>
      <c r="B75" s="435" t="s">
        <v>2324</v>
      </c>
      <c r="C75" s="436"/>
      <c r="D75" s="436"/>
      <c r="E75" s="437"/>
    </row>
    <row r="76" spans="1:5" ht="35.1" customHeight="1" x14ac:dyDescent="0.25">
      <c r="A76" s="406" t="s">
        <v>2325</v>
      </c>
      <c r="B76" s="435" t="s">
        <v>2326</v>
      </c>
      <c r="C76" s="436"/>
      <c r="D76" s="436"/>
      <c r="E76" s="437"/>
    </row>
    <row r="77" spans="1:5" ht="35.1" customHeight="1" x14ac:dyDescent="0.25">
      <c r="A77" s="406" t="s">
        <v>2327</v>
      </c>
      <c r="B77" s="435" t="s">
        <v>2328</v>
      </c>
      <c r="C77" s="436"/>
      <c r="D77" s="436"/>
      <c r="E77" s="437"/>
    </row>
    <row r="78" spans="1:5" ht="35.1" customHeight="1" x14ac:dyDescent="0.25">
      <c r="A78" s="406" t="s">
        <v>2329</v>
      </c>
      <c r="B78" s="435" t="s">
        <v>2330</v>
      </c>
      <c r="C78" s="436"/>
      <c r="D78" s="436"/>
      <c r="E78" s="437"/>
    </row>
    <row r="79" spans="1:5" ht="35.1" customHeight="1" x14ac:dyDescent="0.25">
      <c r="A79" s="406" t="s">
        <v>2331</v>
      </c>
      <c r="B79" s="435" t="s">
        <v>2332</v>
      </c>
      <c r="C79" s="436"/>
      <c r="D79" s="436"/>
      <c r="E79" s="437"/>
    </row>
    <row r="80" spans="1:5" ht="35.1" customHeight="1" x14ac:dyDescent="0.25">
      <c r="A80" s="407" t="s">
        <v>2333</v>
      </c>
      <c r="B80" s="438" t="s">
        <v>2334</v>
      </c>
      <c r="C80" s="439"/>
      <c r="D80" s="439"/>
      <c r="E80" s="440"/>
    </row>
    <row r="81" spans="1:5" x14ac:dyDescent="0.25">
      <c r="A81" s="402" t="str">
        <f>SUELDOS!B66&amp;" "&amp;SUELDOS!A66</f>
        <v>Septiembre 2026</v>
      </c>
      <c r="B81" s="403">
        <f>SUELDOS!C66+SUELDOS!D66+SUELDOS!E66</f>
        <v>226980.68</v>
      </c>
      <c r="C81" s="403">
        <f>SUELDOS!F66</f>
        <v>0</v>
      </c>
      <c r="D81" s="403">
        <f>SUELDOS!G66</f>
        <v>0</v>
      </c>
      <c r="E81" s="404">
        <f>SUELDOS!H66</f>
        <v>226980.68</v>
      </c>
    </row>
    <row r="82" spans="1:5" x14ac:dyDescent="0.25">
      <c r="A82" s="384" t="str">
        <f>SUELDOS!B67&amp;" "&amp;SUELDOS!A67</f>
        <v>Octubre 2026</v>
      </c>
      <c r="B82" s="379">
        <f>SUELDOS!C67+SUELDOS!D67+SUELDOS!E67</f>
        <v>226980.68</v>
      </c>
      <c r="C82" s="379">
        <f>SUELDOS!F67</f>
        <v>0</v>
      </c>
      <c r="D82" s="379">
        <f>SUELDOS!G67</f>
        <v>0</v>
      </c>
      <c r="E82" s="388">
        <f>SUELDOS!H67</f>
        <v>226980.68</v>
      </c>
    </row>
    <row r="83" spans="1:5" x14ac:dyDescent="0.25">
      <c r="A83" s="385" t="str">
        <f>SUELDOS!B68&amp;" "&amp;SUELDOS!A68</f>
        <v>Noviembre 2026</v>
      </c>
      <c r="B83" s="380">
        <f>SUELDOS!C68+SUELDOS!D68+SUELDOS!E68</f>
        <v>226980.68</v>
      </c>
      <c r="C83" s="380">
        <f>SUELDOS!F68</f>
        <v>0</v>
      </c>
      <c r="D83" s="380">
        <f>SUELDOS!G68</f>
        <v>0</v>
      </c>
      <c r="E83" s="389">
        <f>SUELDOS!H68</f>
        <v>226980.68</v>
      </c>
    </row>
  </sheetData>
  <mergeCells count="34">
    <mergeCell ref="B79:E79"/>
    <mergeCell ref="B80:E80"/>
    <mergeCell ref="B73:E73"/>
    <mergeCell ref="B74:E74"/>
    <mergeCell ref="B75:E75"/>
    <mergeCell ref="B76:E76"/>
    <mergeCell ref="B77:E77"/>
    <mergeCell ref="B78:E78"/>
    <mergeCell ref="A72:E72"/>
    <mergeCell ref="Q7:U7"/>
    <mergeCell ref="J16:L16"/>
    <mergeCell ref="O4:P4"/>
    <mergeCell ref="O5:P5"/>
    <mergeCell ref="A7:H7"/>
    <mergeCell ref="J7:L7"/>
    <mergeCell ref="A16:H16"/>
    <mergeCell ref="N7:O7"/>
    <mergeCell ref="N16:O16"/>
    <mergeCell ref="I4:J4"/>
    <mergeCell ref="I5:J5"/>
    <mergeCell ref="K4:L4"/>
    <mergeCell ref="K5:L5"/>
    <mergeCell ref="M4:N4"/>
    <mergeCell ref="M5:N5"/>
    <mergeCell ref="A1:R1"/>
    <mergeCell ref="A2:R2"/>
    <mergeCell ref="A4:B4"/>
    <mergeCell ref="A5:B5"/>
    <mergeCell ref="C4:D4"/>
    <mergeCell ref="C5:D5"/>
    <mergeCell ref="E4:F4"/>
    <mergeCell ref="E5:F5"/>
    <mergeCell ref="G4:H4"/>
    <mergeCell ref="G5:H5"/>
  </mergeCells>
  <conditionalFormatting sqref="G9:G14">
    <cfRule type="dataBar" priority="1">
      <dataBar>
        <cfvo type="min"/>
        <cfvo type="max"/>
        <color rgb="FF2E75B6"/>
      </dataBar>
      <extLst>
        <ext xmlns:x14="http://schemas.microsoft.com/office/spreadsheetml/2009/9/main" uri="{B025F937-C7B1-47D3-B67F-A62EFF666E3E}">
          <x14:id>{0B78EE99-BD9F-4C1E-BEEC-A578DAC388E3}</x14:id>
        </ext>
      </extLst>
    </cfRule>
  </conditionalFormatting>
  <conditionalFormatting sqref="L9:L13">
    <cfRule type="dataBar" priority="2">
      <dataBar>
        <cfvo type="min"/>
        <cfvo type="max"/>
        <color rgb="FF4472C4"/>
      </dataBar>
      <extLst>
        <ext xmlns:x14="http://schemas.microsoft.com/office/spreadsheetml/2009/9/main" uri="{B025F937-C7B1-47D3-B67F-A62EFF666E3E}">
          <x14:id>{CD168643-2440-44CA-8E32-96D426C3DDB7}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B78EE99-BD9F-4C1E-BEEC-A578DAC388E3}">
            <x14:dataBar minLength="0" maxLength="100" border="1" negativeBarColorSameAsPositive="1" axisPosition="none">
              <x14:cfvo type="min"/>
              <x14:cfvo type="max"/>
              <x14:borderColor rgb="FF1B3A5C"/>
            </x14:dataBar>
          </x14:cfRule>
          <xm:sqref>G9:G14</xm:sqref>
        </x14:conditionalFormatting>
        <x14:conditionalFormatting xmlns:xm="http://schemas.microsoft.com/office/excel/2006/main">
          <x14:cfRule type="dataBar" id="{CD168643-2440-44CA-8E32-96D426C3DDB7}">
            <x14:dataBar minLength="0" maxLength="100" negativeBarColorSameAsPositive="1" axisPosition="none">
              <x14:cfvo type="min"/>
              <x14:cfvo type="max"/>
            </x14:dataBar>
          </x14:cfRule>
          <xm:sqref>L9:L13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80F4F-A025-4C21-A2B3-EB5581039022}">
  <dimension ref="B2:I388"/>
  <sheetViews>
    <sheetView topLeftCell="A297" workbookViewId="0">
      <selection activeCell="F342" sqref="F342"/>
    </sheetView>
  </sheetViews>
  <sheetFormatPr baseColWidth="10" defaultColWidth="11.42578125" defaultRowHeight="15" x14ac:dyDescent="0.25"/>
  <cols>
    <col min="1" max="1" width="3.42578125" customWidth="1"/>
    <col min="3" max="3" width="42.28515625" bestFit="1" customWidth="1"/>
    <col min="4" max="4" width="3.5703125" customWidth="1"/>
    <col min="6" max="6" width="98.42578125" bestFit="1" customWidth="1"/>
    <col min="8" max="8" width="12.5703125" customWidth="1"/>
  </cols>
  <sheetData>
    <row r="2" spans="2:9" x14ac:dyDescent="0.25">
      <c r="B2" s="227" t="s">
        <v>470</v>
      </c>
      <c r="C2" s="228" t="s">
        <v>471</v>
      </c>
      <c r="E2" s="225" t="s">
        <v>33</v>
      </c>
      <c r="F2" s="225" t="s">
        <v>472</v>
      </c>
      <c r="G2" s="191"/>
      <c r="I2" s="191"/>
    </row>
    <row r="3" spans="2:9" x14ac:dyDescent="0.25">
      <c r="B3" s="226">
        <v>1</v>
      </c>
      <c r="C3" s="242" t="s">
        <v>473</v>
      </c>
      <c r="E3" s="209" t="s">
        <v>474</v>
      </c>
      <c r="F3" s="210" t="s">
        <v>475</v>
      </c>
      <c r="G3" s="191"/>
      <c r="I3" s="191"/>
    </row>
    <row r="4" spans="2:9" x14ac:dyDescent="0.25">
      <c r="B4" s="226">
        <v>2</v>
      </c>
      <c r="C4" s="242" t="s">
        <v>476</v>
      </c>
      <c r="E4" s="212" t="s">
        <v>477</v>
      </c>
      <c r="F4" s="210" t="s">
        <v>478</v>
      </c>
      <c r="G4" s="191"/>
      <c r="I4" s="191"/>
    </row>
    <row r="5" spans="2:9" x14ac:dyDescent="0.25">
      <c r="B5" s="226">
        <v>3</v>
      </c>
      <c r="C5" s="242" t="s">
        <v>479</v>
      </c>
      <c r="E5" s="212" t="s">
        <v>480</v>
      </c>
      <c r="F5" s="210" t="s">
        <v>481</v>
      </c>
      <c r="G5" s="191"/>
      <c r="I5" s="191"/>
    </row>
    <row r="6" spans="2:9" x14ac:dyDescent="0.25">
      <c r="B6" s="226">
        <v>4</v>
      </c>
      <c r="C6" s="242" t="s">
        <v>482</v>
      </c>
      <c r="E6" s="214" t="s">
        <v>483</v>
      </c>
      <c r="F6" s="210" t="s">
        <v>484</v>
      </c>
      <c r="G6" s="191"/>
      <c r="I6" s="191"/>
    </row>
    <row r="7" spans="2:9" x14ac:dyDescent="0.25">
      <c r="B7" s="226">
        <v>5</v>
      </c>
      <c r="C7" s="242" t="s">
        <v>485</v>
      </c>
      <c r="E7" s="215" t="s">
        <v>486</v>
      </c>
      <c r="F7" s="210" t="s">
        <v>487</v>
      </c>
      <c r="G7" s="191"/>
      <c r="I7" s="191"/>
    </row>
    <row r="8" spans="2:9" x14ac:dyDescent="0.25">
      <c r="B8" s="226">
        <v>6</v>
      </c>
      <c r="C8" s="242" t="s">
        <v>488</v>
      </c>
      <c r="E8" s="215" t="s">
        <v>489</v>
      </c>
      <c r="F8" s="210" t="s">
        <v>490</v>
      </c>
      <c r="G8" s="191"/>
      <c r="I8" s="191"/>
    </row>
    <row r="9" spans="2:9" x14ac:dyDescent="0.25">
      <c r="B9" s="226">
        <v>7</v>
      </c>
      <c r="C9" s="242" t="s">
        <v>491</v>
      </c>
      <c r="E9" s="215" t="s">
        <v>492</v>
      </c>
      <c r="F9" s="210" t="s">
        <v>493</v>
      </c>
      <c r="G9" s="191"/>
      <c r="I9" s="191"/>
    </row>
    <row r="10" spans="2:9" x14ac:dyDescent="0.25">
      <c r="B10" s="226">
        <v>8</v>
      </c>
      <c r="C10" s="242" t="s">
        <v>494</v>
      </c>
      <c r="E10" s="215" t="s">
        <v>495</v>
      </c>
      <c r="F10" s="210" t="s">
        <v>496</v>
      </c>
      <c r="G10" s="191"/>
      <c r="I10" s="191"/>
    </row>
    <row r="11" spans="2:9" x14ac:dyDescent="0.25">
      <c r="B11" s="226">
        <v>9</v>
      </c>
      <c r="C11" s="242" t="s">
        <v>497</v>
      </c>
      <c r="E11" s="215" t="s">
        <v>498</v>
      </c>
      <c r="F11" s="210" t="s">
        <v>499</v>
      </c>
      <c r="G11" s="191"/>
      <c r="I11" s="191"/>
    </row>
    <row r="12" spans="2:9" x14ac:dyDescent="0.25">
      <c r="B12" s="226">
        <v>10</v>
      </c>
      <c r="C12" s="242" t="s">
        <v>500</v>
      </c>
      <c r="E12" s="215" t="s">
        <v>501</v>
      </c>
      <c r="F12" s="210" t="s">
        <v>502</v>
      </c>
      <c r="G12" s="191"/>
      <c r="I12" s="191"/>
    </row>
    <row r="13" spans="2:9" x14ac:dyDescent="0.25">
      <c r="B13" s="229">
        <v>11</v>
      </c>
      <c r="C13" s="241" t="s">
        <v>503</v>
      </c>
      <c r="E13" s="215" t="s">
        <v>504</v>
      </c>
      <c r="F13" s="210" t="s">
        <v>505</v>
      </c>
      <c r="G13" s="191"/>
      <c r="I13" s="191"/>
    </row>
    <row r="14" spans="2:9" x14ac:dyDescent="0.25">
      <c r="B14" s="229">
        <v>12</v>
      </c>
      <c r="C14" s="241" t="s">
        <v>506</v>
      </c>
      <c r="E14" s="215" t="s">
        <v>507</v>
      </c>
      <c r="F14" s="210" t="s">
        <v>508</v>
      </c>
      <c r="G14" s="191"/>
      <c r="I14" s="191"/>
    </row>
    <row r="15" spans="2:9" x14ac:dyDescent="0.25">
      <c r="E15" s="215" t="s">
        <v>509</v>
      </c>
      <c r="F15" s="210" t="s">
        <v>510</v>
      </c>
      <c r="G15" s="191"/>
      <c r="I15" s="191"/>
    </row>
    <row r="16" spans="2:9" x14ac:dyDescent="0.25">
      <c r="E16" s="215" t="s">
        <v>511</v>
      </c>
      <c r="F16" s="210" t="s">
        <v>512</v>
      </c>
      <c r="G16" s="191"/>
      <c r="I16" s="191"/>
    </row>
    <row r="17" spans="5:9" x14ac:dyDescent="0.25">
      <c r="E17" s="215" t="s">
        <v>513</v>
      </c>
      <c r="F17" s="210" t="s">
        <v>514</v>
      </c>
      <c r="G17" s="191"/>
      <c r="I17" s="191"/>
    </row>
    <row r="18" spans="5:9" x14ac:dyDescent="0.25">
      <c r="E18" s="215" t="s">
        <v>515</v>
      </c>
      <c r="F18" s="210" t="s">
        <v>516</v>
      </c>
      <c r="G18" s="191"/>
      <c r="I18" s="191"/>
    </row>
    <row r="19" spans="5:9" x14ac:dyDescent="0.25">
      <c r="E19" s="215" t="s">
        <v>517</v>
      </c>
      <c r="F19" s="210" t="s">
        <v>518</v>
      </c>
      <c r="G19" s="191"/>
      <c r="I19" s="191"/>
    </row>
    <row r="20" spans="5:9" x14ac:dyDescent="0.25">
      <c r="E20" s="215" t="s">
        <v>519</v>
      </c>
      <c r="F20" s="210" t="s">
        <v>520</v>
      </c>
      <c r="G20" s="191"/>
      <c r="I20" s="191"/>
    </row>
    <row r="21" spans="5:9" x14ac:dyDescent="0.25">
      <c r="E21" s="215" t="s">
        <v>521</v>
      </c>
      <c r="F21" s="210" t="s">
        <v>522</v>
      </c>
      <c r="G21" s="191"/>
      <c r="I21" s="191"/>
    </row>
    <row r="22" spans="5:9" x14ac:dyDescent="0.25">
      <c r="E22" s="215" t="s">
        <v>523</v>
      </c>
      <c r="F22" s="210" t="s">
        <v>524</v>
      </c>
      <c r="G22" s="191"/>
      <c r="I22" s="191"/>
    </row>
    <row r="23" spans="5:9" x14ac:dyDescent="0.25">
      <c r="E23" s="215" t="s">
        <v>525</v>
      </c>
      <c r="F23" s="210" t="s">
        <v>526</v>
      </c>
      <c r="G23" s="191"/>
      <c r="I23" s="191"/>
    </row>
    <row r="24" spans="5:9" x14ac:dyDescent="0.25">
      <c r="E24" s="215" t="s">
        <v>527</v>
      </c>
      <c r="F24" s="210" t="s">
        <v>528</v>
      </c>
      <c r="G24" s="191"/>
      <c r="I24" s="191"/>
    </row>
    <row r="25" spans="5:9" x14ac:dyDescent="0.25">
      <c r="E25" s="215" t="s">
        <v>529</v>
      </c>
      <c r="F25" s="210" t="s">
        <v>530</v>
      </c>
      <c r="G25" s="191"/>
      <c r="I25" s="191"/>
    </row>
    <row r="26" spans="5:9" x14ac:dyDescent="0.25">
      <c r="E26" s="215" t="s">
        <v>531</v>
      </c>
      <c r="F26" s="210" t="s">
        <v>532</v>
      </c>
      <c r="G26" s="191"/>
      <c r="I26" s="191"/>
    </row>
    <row r="27" spans="5:9" x14ac:dyDescent="0.25">
      <c r="E27" s="215" t="s">
        <v>533</v>
      </c>
      <c r="F27" s="210" t="s">
        <v>534</v>
      </c>
      <c r="G27" s="191"/>
      <c r="I27" s="191"/>
    </row>
    <row r="28" spans="5:9" x14ac:dyDescent="0.25">
      <c r="E28" s="215" t="s">
        <v>535</v>
      </c>
      <c r="F28" s="210" t="s">
        <v>536</v>
      </c>
      <c r="G28" s="191"/>
      <c r="I28" s="191"/>
    </row>
    <row r="29" spans="5:9" x14ac:dyDescent="0.25">
      <c r="E29" s="215" t="s">
        <v>537</v>
      </c>
      <c r="F29" s="210" t="s">
        <v>538</v>
      </c>
      <c r="G29" s="191"/>
      <c r="I29" s="191"/>
    </row>
    <row r="30" spans="5:9" x14ac:dyDescent="0.25">
      <c r="E30" s="215" t="s">
        <v>539</v>
      </c>
      <c r="F30" s="210" t="s">
        <v>540</v>
      </c>
      <c r="G30" s="191"/>
      <c r="I30" s="191"/>
    </row>
    <row r="31" spans="5:9" x14ac:dyDescent="0.25">
      <c r="E31" s="215" t="s">
        <v>541</v>
      </c>
      <c r="F31" s="210" t="s">
        <v>542</v>
      </c>
      <c r="G31" s="191"/>
      <c r="I31" s="191"/>
    </row>
    <row r="32" spans="5:9" x14ac:dyDescent="0.25">
      <c r="E32" s="215" t="s">
        <v>543</v>
      </c>
      <c r="F32" s="210" t="s">
        <v>544</v>
      </c>
      <c r="G32" s="191"/>
      <c r="I32" s="191"/>
    </row>
    <row r="33" spans="5:9" x14ac:dyDescent="0.25">
      <c r="E33" s="215" t="s">
        <v>545</v>
      </c>
      <c r="F33" s="210" t="s">
        <v>546</v>
      </c>
      <c r="G33" s="191"/>
      <c r="I33" s="191"/>
    </row>
    <row r="34" spans="5:9" x14ac:dyDescent="0.25">
      <c r="E34" s="215" t="s">
        <v>547</v>
      </c>
      <c r="F34" s="210" t="s">
        <v>548</v>
      </c>
      <c r="G34" s="191"/>
      <c r="I34" s="191"/>
    </row>
    <row r="35" spans="5:9" x14ac:dyDescent="0.25">
      <c r="E35" s="215" t="s">
        <v>549</v>
      </c>
      <c r="F35" s="210" t="s">
        <v>550</v>
      </c>
      <c r="G35" s="191"/>
      <c r="I35" s="191"/>
    </row>
    <row r="36" spans="5:9" x14ac:dyDescent="0.25">
      <c r="E36" s="215" t="s">
        <v>551</v>
      </c>
      <c r="F36" s="210" t="s">
        <v>552</v>
      </c>
      <c r="G36" s="191"/>
      <c r="I36" s="191"/>
    </row>
    <row r="37" spans="5:9" x14ac:dyDescent="0.25">
      <c r="E37" s="215" t="s">
        <v>553</v>
      </c>
      <c r="F37" s="210" t="s">
        <v>554</v>
      </c>
      <c r="G37" s="191"/>
      <c r="I37" s="191"/>
    </row>
    <row r="38" spans="5:9" x14ac:dyDescent="0.25">
      <c r="E38" s="215" t="s">
        <v>555</v>
      </c>
      <c r="F38" s="210" t="s">
        <v>556</v>
      </c>
      <c r="G38" s="191"/>
      <c r="I38" s="191"/>
    </row>
    <row r="39" spans="5:9" x14ac:dyDescent="0.25">
      <c r="E39" s="215" t="s">
        <v>557</v>
      </c>
      <c r="F39" s="210" t="s">
        <v>558</v>
      </c>
      <c r="G39" s="191"/>
      <c r="I39" s="191"/>
    </row>
    <row r="40" spans="5:9" x14ac:dyDescent="0.25">
      <c r="E40" s="215" t="s">
        <v>559</v>
      </c>
      <c r="F40" s="210" t="s">
        <v>560</v>
      </c>
      <c r="G40" s="191"/>
      <c r="I40" s="191"/>
    </row>
    <row r="41" spans="5:9" x14ac:dyDescent="0.25">
      <c r="E41" s="215" t="s">
        <v>561</v>
      </c>
      <c r="F41" s="210" t="s">
        <v>562</v>
      </c>
      <c r="G41" s="191"/>
      <c r="I41" s="191"/>
    </row>
    <row r="42" spans="5:9" x14ac:dyDescent="0.25">
      <c r="E42" s="215" t="s">
        <v>563</v>
      </c>
      <c r="F42" s="210" t="s">
        <v>564</v>
      </c>
      <c r="G42" s="191"/>
      <c r="I42" s="191"/>
    </row>
    <row r="43" spans="5:9" x14ac:dyDescent="0.25">
      <c r="E43" s="215" t="s">
        <v>565</v>
      </c>
      <c r="F43" s="210" t="s">
        <v>566</v>
      </c>
      <c r="G43" s="191"/>
      <c r="I43" s="191"/>
    </row>
    <row r="44" spans="5:9" x14ac:dyDescent="0.25">
      <c r="E44" s="215" t="s">
        <v>567</v>
      </c>
      <c r="F44" s="210" t="s">
        <v>568</v>
      </c>
      <c r="G44" s="191"/>
      <c r="I44" s="191"/>
    </row>
    <row r="45" spans="5:9" x14ac:dyDescent="0.25">
      <c r="E45" s="215" t="s">
        <v>569</v>
      </c>
      <c r="F45" s="210" t="s">
        <v>570</v>
      </c>
      <c r="G45" s="191"/>
      <c r="I45" s="191"/>
    </row>
    <row r="46" spans="5:9" x14ac:dyDescent="0.25">
      <c r="E46" s="215" t="s">
        <v>571</v>
      </c>
      <c r="F46" s="210" t="s">
        <v>572</v>
      </c>
      <c r="G46" s="191"/>
      <c r="I46" s="191"/>
    </row>
    <row r="47" spans="5:9" x14ac:dyDescent="0.25">
      <c r="E47" s="215" t="s">
        <v>573</v>
      </c>
      <c r="F47" s="210" t="s">
        <v>574</v>
      </c>
      <c r="G47" s="191"/>
      <c r="I47" s="191"/>
    </row>
    <row r="48" spans="5:9" x14ac:dyDescent="0.25">
      <c r="E48" s="215" t="s">
        <v>575</v>
      </c>
      <c r="F48" s="210" t="s">
        <v>576</v>
      </c>
      <c r="G48" s="191"/>
      <c r="I48" s="191"/>
    </row>
    <row r="49" spans="5:9" x14ac:dyDescent="0.25">
      <c r="E49" s="215" t="s">
        <v>577</v>
      </c>
      <c r="F49" s="210" t="s">
        <v>578</v>
      </c>
      <c r="G49" s="191"/>
      <c r="I49" s="191"/>
    </row>
    <row r="50" spans="5:9" x14ac:dyDescent="0.25">
      <c r="E50" s="215" t="s">
        <v>579</v>
      </c>
      <c r="F50" s="210" t="s">
        <v>580</v>
      </c>
      <c r="G50" s="191"/>
      <c r="I50" s="191"/>
    </row>
    <row r="51" spans="5:9" x14ac:dyDescent="0.25">
      <c r="E51" s="215" t="s">
        <v>581</v>
      </c>
      <c r="F51" s="210" t="s">
        <v>582</v>
      </c>
      <c r="G51" s="191"/>
      <c r="I51" s="191"/>
    </row>
    <row r="52" spans="5:9" x14ac:dyDescent="0.25">
      <c r="E52" s="215" t="s">
        <v>583</v>
      </c>
      <c r="F52" s="210" t="s">
        <v>584</v>
      </c>
      <c r="G52" s="191"/>
      <c r="I52" s="191"/>
    </row>
    <row r="53" spans="5:9" x14ac:dyDescent="0.25">
      <c r="E53" s="215" t="s">
        <v>585</v>
      </c>
      <c r="F53" s="210" t="s">
        <v>586</v>
      </c>
      <c r="G53" s="191"/>
      <c r="I53" s="191"/>
    </row>
    <row r="54" spans="5:9" x14ac:dyDescent="0.25">
      <c r="E54" s="215" t="s">
        <v>587</v>
      </c>
      <c r="F54" s="210" t="s">
        <v>588</v>
      </c>
      <c r="G54" s="191"/>
      <c r="I54" s="191"/>
    </row>
    <row r="55" spans="5:9" x14ac:dyDescent="0.25">
      <c r="E55" s="215" t="s">
        <v>589</v>
      </c>
      <c r="F55" s="210" t="s">
        <v>590</v>
      </c>
      <c r="G55" s="191"/>
      <c r="I55" s="191"/>
    </row>
    <row r="56" spans="5:9" x14ac:dyDescent="0.25">
      <c r="E56" s="215" t="s">
        <v>591</v>
      </c>
      <c r="F56" s="210" t="s">
        <v>592</v>
      </c>
      <c r="G56" s="191"/>
      <c r="I56" s="191"/>
    </row>
    <row r="57" spans="5:9" x14ac:dyDescent="0.25">
      <c r="E57" s="215" t="s">
        <v>593</v>
      </c>
      <c r="F57" s="210" t="s">
        <v>594</v>
      </c>
      <c r="G57" s="191"/>
      <c r="I57" s="191"/>
    </row>
    <row r="58" spans="5:9" x14ac:dyDescent="0.25">
      <c r="E58" s="215" t="s">
        <v>595</v>
      </c>
      <c r="F58" s="210" t="s">
        <v>596</v>
      </c>
      <c r="G58" s="191"/>
      <c r="I58" s="191"/>
    </row>
    <row r="59" spans="5:9" x14ac:dyDescent="0.25">
      <c r="E59" s="215" t="s">
        <v>597</v>
      </c>
      <c r="F59" s="210" t="s">
        <v>598</v>
      </c>
      <c r="G59" s="191"/>
      <c r="I59" s="191"/>
    </row>
    <row r="60" spans="5:9" x14ac:dyDescent="0.25">
      <c r="E60" s="215" t="s">
        <v>599</v>
      </c>
      <c r="F60" s="210" t="s">
        <v>600</v>
      </c>
      <c r="G60" s="191"/>
      <c r="I60" s="191"/>
    </row>
    <row r="61" spans="5:9" x14ac:dyDescent="0.25">
      <c r="E61" s="215" t="s">
        <v>601</v>
      </c>
      <c r="F61" s="210" t="s">
        <v>602</v>
      </c>
      <c r="G61" s="191"/>
    </row>
    <row r="62" spans="5:9" x14ac:dyDescent="0.25">
      <c r="E62" s="215" t="s">
        <v>603</v>
      </c>
      <c r="F62" s="210" t="s">
        <v>604</v>
      </c>
      <c r="G62" s="191"/>
    </row>
    <row r="63" spans="5:9" x14ac:dyDescent="0.25">
      <c r="E63" s="215" t="s">
        <v>605</v>
      </c>
      <c r="F63" s="210" t="s">
        <v>606</v>
      </c>
      <c r="G63" s="191"/>
    </row>
    <row r="64" spans="5:9" x14ac:dyDescent="0.25">
      <c r="E64" s="215" t="s">
        <v>607</v>
      </c>
      <c r="F64" s="210" t="s">
        <v>608</v>
      </c>
      <c r="G64" s="191"/>
    </row>
    <row r="65" spans="4:7" x14ac:dyDescent="0.25">
      <c r="E65" s="215" t="s">
        <v>609</v>
      </c>
      <c r="F65" s="210" t="s">
        <v>610</v>
      </c>
      <c r="G65" s="191"/>
    </row>
    <row r="66" spans="4:7" x14ac:dyDescent="0.25">
      <c r="E66" s="215" t="s">
        <v>611</v>
      </c>
      <c r="F66" s="210" t="s">
        <v>612</v>
      </c>
      <c r="G66" s="191"/>
    </row>
    <row r="67" spans="4:7" x14ac:dyDescent="0.25">
      <c r="E67" s="215" t="s">
        <v>613</v>
      </c>
      <c r="F67" s="210" t="s">
        <v>614</v>
      </c>
      <c r="G67" s="191"/>
    </row>
    <row r="68" spans="4:7" x14ac:dyDescent="0.25">
      <c r="E68" s="215" t="s">
        <v>615</v>
      </c>
      <c r="F68" s="210" t="s">
        <v>616</v>
      </c>
      <c r="G68" s="191"/>
    </row>
    <row r="69" spans="4:7" x14ac:dyDescent="0.25">
      <c r="E69" s="212" t="s">
        <v>617</v>
      </c>
      <c r="F69" s="210" t="s">
        <v>618</v>
      </c>
      <c r="G69" s="191"/>
    </row>
    <row r="70" spans="4:7" x14ac:dyDescent="0.25">
      <c r="E70" s="215" t="s">
        <v>619</v>
      </c>
      <c r="F70" s="210" t="s">
        <v>620</v>
      </c>
      <c r="G70" s="191"/>
    </row>
    <row r="71" spans="4:7" x14ac:dyDescent="0.25">
      <c r="E71" s="215" t="s">
        <v>621</v>
      </c>
      <c r="F71" s="210" t="s">
        <v>622</v>
      </c>
      <c r="G71" s="191"/>
    </row>
    <row r="72" spans="4:7" x14ac:dyDescent="0.25">
      <c r="E72" s="215" t="s">
        <v>623</v>
      </c>
      <c r="F72" s="210" t="s">
        <v>624</v>
      </c>
      <c r="G72" s="191"/>
    </row>
    <row r="73" spans="4:7" x14ac:dyDescent="0.25">
      <c r="E73" s="215" t="s">
        <v>625</v>
      </c>
      <c r="F73" s="210" t="s">
        <v>626</v>
      </c>
      <c r="G73" s="191"/>
    </row>
    <row r="74" spans="4:7" x14ac:dyDescent="0.25">
      <c r="E74" s="215" t="s">
        <v>627</v>
      </c>
      <c r="F74" s="210" t="s">
        <v>628</v>
      </c>
      <c r="G74" s="191"/>
    </row>
    <row r="75" spans="4:7" x14ac:dyDescent="0.25">
      <c r="E75" s="215" t="s">
        <v>629</v>
      </c>
      <c r="F75" s="210" t="s">
        <v>630</v>
      </c>
      <c r="G75" s="191"/>
    </row>
    <row r="76" spans="4:7" x14ac:dyDescent="0.25">
      <c r="D76" s="211"/>
      <c r="E76" s="215" t="s">
        <v>631</v>
      </c>
      <c r="F76" s="210" t="s">
        <v>632</v>
      </c>
      <c r="G76" s="191"/>
    </row>
    <row r="77" spans="4:7" x14ac:dyDescent="0.25">
      <c r="D77" s="213"/>
      <c r="E77" s="215" t="s">
        <v>633</v>
      </c>
      <c r="F77" s="210" t="s">
        <v>634</v>
      </c>
      <c r="G77" s="191"/>
    </row>
    <row r="78" spans="4:7" x14ac:dyDescent="0.25">
      <c r="D78" s="213"/>
      <c r="E78" s="215" t="s">
        <v>635</v>
      </c>
      <c r="F78" s="210" t="s">
        <v>636</v>
      </c>
      <c r="G78" s="191"/>
    </row>
    <row r="79" spans="4:7" x14ac:dyDescent="0.25">
      <c r="D79" s="213"/>
      <c r="E79" s="215" t="s">
        <v>637</v>
      </c>
      <c r="F79" s="210" t="s">
        <v>638</v>
      </c>
      <c r="G79" s="191"/>
    </row>
    <row r="80" spans="4:7" x14ac:dyDescent="0.25">
      <c r="D80" s="213"/>
      <c r="E80" s="215" t="s">
        <v>639</v>
      </c>
      <c r="F80" s="210" t="s">
        <v>640</v>
      </c>
      <c r="G80" s="191"/>
    </row>
    <row r="81" spans="4:7" x14ac:dyDescent="0.25">
      <c r="D81" s="213"/>
      <c r="E81" s="215" t="s">
        <v>641</v>
      </c>
      <c r="F81" s="210" t="s">
        <v>642</v>
      </c>
      <c r="G81" s="191"/>
    </row>
    <row r="82" spans="4:7" x14ac:dyDescent="0.25">
      <c r="D82" s="213"/>
      <c r="E82" s="215" t="s">
        <v>643</v>
      </c>
      <c r="F82" s="210" t="s">
        <v>644</v>
      </c>
      <c r="G82" s="191"/>
    </row>
    <row r="83" spans="4:7" x14ac:dyDescent="0.25">
      <c r="D83" s="213"/>
      <c r="E83" s="215" t="s">
        <v>645</v>
      </c>
      <c r="F83" s="210" t="s">
        <v>646</v>
      </c>
      <c r="G83" s="191"/>
    </row>
    <row r="84" spans="4:7" x14ac:dyDescent="0.25">
      <c r="D84" s="213"/>
      <c r="E84" s="215" t="s">
        <v>647</v>
      </c>
      <c r="F84" s="210" t="s">
        <v>648</v>
      </c>
      <c r="G84" s="191"/>
    </row>
    <row r="85" spans="4:7" x14ac:dyDescent="0.25">
      <c r="D85" s="213"/>
      <c r="E85" s="215" t="s">
        <v>649</v>
      </c>
      <c r="F85" s="210" t="s">
        <v>650</v>
      </c>
      <c r="G85" s="191"/>
    </row>
    <row r="86" spans="4:7" x14ac:dyDescent="0.25">
      <c r="D86" s="213"/>
      <c r="E86" s="215" t="s">
        <v>651</v>
      </c>
      <c r="F86" s="210" t="s">
        <v>652</v>
      </c>
      <c r="G86" s="191"/>
    </row>
    <row r="87" spans="4:7" x14ac:dyDescent="0.25">
      <c r="D87" s="213"/>
      <c r="E87" s="215" t="s">
        <v>653</v>
      </c>
      <c r="F87" s="210" t="s">
        <v>654</v>
      </c>
      <c r="G87" s="191"/>
    </row>
    <row r="88" spans="4:7" x14ac:dyDescent="0.25">
      <c r="D88" s="213"/>
      <c r="E88" s="215" t="s">
        <v>655</v>
      </c>
      <c r="F88" s="210" t="s">
        <v>656</v>
      </c>
      <c r="G88" s="191"/>
    </row>
    <row r="89" spans="4:7" x14ac:dyDescent="0.25">
      <c r="D89" s="213"/>
      <c r="E89" s="215" t="s">
        <v>657</v>
      </c>
      <c r="F89" s="210" t="s">
        <v>658</v>
      </c>
      <c r="G89" s="191"/>
    </row>
    <row r="90" spans="4:7" x14ac:dyDescent="0.25">
      <c r="D90" s="213"/>
      <c r="E90" s="215" t="s">
        <v>659</v>
      </c>
      <c r="F90" s="210" t="s">
        <v>660</v>
      </c>
      <c r="G90" s="191"/>
    </row>
    <row r="91" spans="4:7" x14ac:dyDescent="0.25">
      <c r="D91" s="213"/>
      <c r="E91" s="215" t="s">
        <v>661</v>
      </c>
      <c r="F91" s="210" t="s">
        <v>662</v>
      </c>
      <c r="G91" s="191"/>
    </row>
    <row r="92" spans="4:7" x14ac:dyDescent="0.25">
      <c r="D92" s="213"/>
      <c r="E92" s="215" t="s">
        <v>663</v>
      </c>
      <c r="F92" s="210" t="s">
        <v>664</v>
      </c>
      <c r="G92" s="191"/>
    </row>
    <row r="93" spans="4:7" x14ac:dyDescent="0.25">
      <c r="D93" s="213"/>
      <c r="E93" s="215" t="s">
        <v>665</v>
      </c>
      <c r="F93" s="210" t="s">
        <v>666</v>
      </c>
      <c r="G93" s="191"/>
    </row>
    <row r="94" spans="4:7" x14ac:dyDescent="0.25">
      <c r="D94" s="213"/>
      <c r="E94" s="215" t="s">
        <v>667</v>
      </c>
      <c r="F94" s="210" t="s">
        <v>668</v>
      </c>
      <c r="G94" s="191"/>
    </row>
    <row r="95" spans="4:7" x14ac:dyDescent="0.25">
      <c r="D95" s="213"/>
      <c r="E95" s="215" t="s">
        <v>669</v>
      </c>
      <c r="F95" s="210" t="s">
        <v>670</v>
      </c>
      <c r="G95" s="191"/>
    </row>
    <row r="96" spans="4:7" x14ac:dyDescent="0.25">
      <c r="D96" s="213"/>
      <c r="E96" s="215" t="s">
        <v>671</v>
      </c>
      <c r="F96" s="210" t="s">
        <v>672</v>
      </c>
      <c r="G96" s="191"/>
    </row>
    <row r="97" spans="4:7" x14ac:dyDescent="0.25">
      <c r="D97" s="213"/>
      <c r="E97" s="212" t="s">
        <v>673</v>
      </c>
      <c r="F97" s="210" t="s">
        <v>674</v>
      </c>
      <c r="G97" s="191"/>
    </row>
    <row r="98" spans="4:7" x14ac:dyDescent="0.25">
      <c r="D98" s="213"/>
      <c r="E98" s="215" t="s">
        <v>675</v>
      </c>
      <c r="F98" s="210" t="s">
        <v>676</v>
      </c>
      <c r="G98" s="191"/>
    </row>
    <row r="99" spans="4:7" x14ac:dyDescent="0.25">
      <c r="D99" s="213"/>
      <c r="E99" s="215" t="s">
        <v>677</v>
      </c>
      <c r="F99" s="210" t="s">
        <v>678</v>
      </c>
      <c r="G99" s="191"/>
    </row>
    <row r="100" spans="4:7" x14ac:dyDescent="0.25">
      <c r="D100" s="213"/>
      <c r="E100" s="215" t="s">
        <v>679</v>
      </c>
      <c r="F100" s="210" t="s">
        <v>680</v>
      </c>
      <c r="G100" s="191"/>
    </row>
    <row r="101" spans="4:7" x14ac:dyDescent="0.25">
      <c r="D101" s="213"/>
      <c r="E101" s="215" t="s">
        <v>681</v>
      </c>
      <c r="F101" s="210" t="s">
        <v>682</v>
      </c>
      <c r="G101" s="191"/>
    </row>
    <row r="102" spans="4:7" x14ac:dyDescent="0.25">
      <c r="D102" s="213"/>
      <c r="E102" s="215" t="s">
        <v>683</v>
      </c>
      <c r="F102" s="210" t="s">
        <v>684</v>
      </c>
      <c r="G102" s="191"/>
    </row>
    <row r="103" spans="4:7" x14ac:dyDescent="0.25">
      <c r="D103" s="213"/>
      <c r="E103" s="215" t="s">
        <v>685</v>
      </c>
      <c r="F103" s="210" t="s">
        <v>686</v>
      </c>
      <c r="G103" s="191"/>
    </row>
    <row r="104" spans="4:7" x14ac:dyDescent="0.25">
      <c r="D104" s="213"/>
      <c r="E104" s="215" t="s">
        <v>687</v>
      </c>
      <c r="F104" s="210" t="s">
        <v>688</v>
      </c>
      <c r="G104" s="191"/>
    </row>
    <row r="105" spans="4:7" x14ac:dyDescent="0.25">
      <c r="D105" s="213"/>
      <c r="E105" s="215" t="s">
        <v>689</v>
      </c>
      <c r="F105" s="210" t="s">
        <v>690</v>
      </c>
      <c r="G105" s="191"/>
    </row>
    <row r="106" spans="4:7" x14ac:dyDescent="0.25">
      <c r="D106" s="213"/>
      <c r="E106" s="215" t="s">
        <v>691</v>
      </c>
      <c r="F106" s="210" t="s">
        <v>692</v>
      </c>
      <c r="G106" s="191"/>
    </row>
    <row r="107" spans="4:7" x14ac:dyDescent="0.25">
      <c r="D107" s="213"/>
      <c r="E107" s="215" t="s">
        <v>693</v>
      </c>
      <c r="F107" s="210" t="s">
        <v>694</v>
      </c>
      <c r="G107" s="191"/>
    </row>
    <row r="108" spans="4:7" x14ac:dyDescent="0.25">
      <c r="D108" s="213"/>
      <c r="E108" s="215" t="s">
        <v>695</v>
      </c>
      <c r="F108" s="210" t="s">
        <v>696</v>
      </c>
      <c r="G108" s="191"/>
    </row>
    <row r="109" spans="4:7" x14ac:dyDescent="0.25">
      <c r="D109" s="213"/>
      <c r="E109" s="215" t="s">
        <v>697</v>
      </c>
      <c r="F109" s="210" t="s">
        <v>698</v>
      </c>
      <c r="G109" s="191"/>
    </row>
    <row r="110" spans="4:7" x14ac:dyDescent="0.25">
      <c r="D110" s="213"/>
      <c r="E110" s="215" t="s">
        <v>699</v>
      </c>
      <c r="F110" s="210" t="s">
        <v>700</v>
      </c>
      <c r="G110" s="191"/>
    </row>
    <row r="111" spans="4:7" x14ac:dyDescent="0.25">
      <c r="D111" s="213"/>
      <c r="E111" s="215" t="s">
        <v>701</v>
      </c>
      <c r="F111" s="210" t="s">
        <v>702</v>
      </c>
      <c r="G111" s="191"/>
    </row>
    <row r="112" spans="4:7" x14ac:dyDescent="0.25">
      <c r="D112" s="213"/>
      <c r="E112" s="215" t="s">
        <v>703</v>
      </c>
      <c r="F112" s="210" t="s">
        <v>704</v>
      </c>
      <c r="G112" s="191"/>
    </row>
    <row r="113" spans="4:7" x14ac:dyDescent="0.25">
      <c r="D113" s="213"/>
      <c r="E113" s="215" t="s">
        <v>697</v>
      </c>
      <c r="F113" s="210" t="s">
        <v>698</v>
      </c>
      <c r="G113" s="191"/>
    </row>
    <row r="114" spans="4:7" x14ac:dyDescent="0.25">
      <c r="D114" s="213"/>
      <c r="E114" s="215" t="s">
        <v>705</v>
      </c>
      <c r="F114" s="210" t="s">
        <v>706</v>
      </c>
      <c r="G114" s="191"/>
    </row>
    <row r="115" spans="4:7" x14ac:dyDescent="0.25">
      <c r="D115" s="213"/>
      <c r="E115" s="215" t="s">
        <v>707</v>
      </c>
      <c r="F115" s="210" t="s">
        <v>708</v>
      </c>
      <c r="G115" s="191"/>
    </row>
    <row r="116" spans="4:7" x14ac:dyDescent="0.25">
      <c r="D116" s="213"/>
      <c r="E116" s="215" t="s">
        <v>709</v>
      </c>
      <c r="F116" s="210" t="s">
        <v>710</v>
      </c>
      <c r="G116" s="191"/>
    </row>
    <row r="117" spans="4:7" x14ac:dyDescent="0.25">
      <c r="D117" s="213"/>
      <c r="E117" s="215" t="s">
        <v>711</v>
      </c>
      <c r="F117" s="210" t="s">
        <v>712</v>
      </c>
      <c r="G117" s="191"/>
    </row>
    <row r="118" spans="4:7" x14ac:dyDescent="0.25">
      <c r="D118" s="216"/>
      <c r="E118" s="214" t="s">
        <v>713</v>
      </c>
      <c r="F118" s="210" t="s">
        <v>714</v>
      </c>
      <c r="G118" s="191"/>
    </row>
    <row r="119" spans="4:7" x14ac:dyDescent="0.25">
      <c r="D119" s="213"/>
      <c r="E119" s="212">
        <v>22600032746</v>
      </c>
      <c r="F119" s="210" t="s">
        <v>715</v>
      </c>
      <c r="G119" s="191"/>
    </row>
    <row r="120" spans="4:7" x14ac:dyDescent="0.25">
      <c r="D120" s="213"/>
      <c r="E120" s="212" t="s">
        <v>716</v>
      </c>
      <c r="F120" s="210" t="s">
        <v>717</v>
      </c>
      <c r="G120" s="191"/>
    </row>
    <row r="121" spans="4:7" x14ac:dyDescent="0.25">
      <c r="D121" s="213"/>
      <c r="E121" s="212" t="s">
        <v>718</v>
      </c>
      <c r="F121" s="210" t="s">
        <v>719</v>
      </c>
      <c r="G121" s="191"/>
    </row>
    <row r="122" spans="4:7" x14ac:dyDescent="0.25">
      <c r="D122" s="213"/>
      <c r="E122" s="212" t="s">
        <v>720</v>
      </c>
      <c r="F122" s="218" t="s">
        <v>721</v>
      </c>
      <c r="G122" s="191"/>
    </row>
    <row r="123" spans="4:7" x14ac:dyDescent="0.25">
      <c r="D123" s="213"/>
      <c r="E123" s="212" t="s">
        <v>722</v>
      </c>
      <c r="F123" s="219" t="s">
        <v>723</v>
      </c>
      <c r="G123" s="191"/>
    </row>
    <row r="124" spans="4:7" x14ac:dyDescent="0.25">
      <c r="D124" s="213"/>
      <c r="E124" s="212" t="s">
        <v>724</v>
      </c>
      <c r="F124" s="219" t="s">
        <v>725</v>
      </c>
      <c r="G124" s="191"/>
    </row>
    <row r="125" spans="4:7" x14ac:dyDescent="0.25">
      <c r="D125" s="213"/>
      <c r="E125" s="212" t="s">
        <v>726</v>
      </c>
      <c r="F125" s="219" t="s">
        <v>727</v>
      </c>
      <c r="G125" s="191"/>
    </row>
    <row r="126" spans="4:7" x14ac:dyDescent="0.25">
      <c r="D126" s="213"/>
      <c r="E126" s="212" t="s">
        <v>728</v>
      </c>
      <c r="F126" s="219" t="s">
        <v>729</v>
      </c>
      <c r="G126" s="191"/>
    </row>
    <row r="127" spans="4:7" x14ac:dyDescent="0.25">
      <c r="D127" s="213"/>
      <c r="E127" s="212" t="s">
        <v>730</v>
      </c>
      <c r="F127" s="219" t="s">
        <v>731</v>
      </c>
      <c r="G127" s="191"/>
    </row>
    <row r="128" spans="4:7" x14ac:dyDescent="0.25">
      <c r="D128" s="213"/>
      <c r="E128" s="215" t="s">
        <v>732</v>
      </c>
      <c r="F128" s="210" t="s">
        <v>733</v>
      </c>
      <c r="G128" s="191"/>
    </row>
    <row r="129" spans="4:7" x14ac:dyDescent="0.25">
      <c r="D129" s="213"/>
      <c r="E129" s="214" t="s">
        <v>734</v>
      </c>
      <c r="F129" s="210" t="s">
        <v>735</v>
      </c>
      <c r="G129" s="191"/>
    </row>
    <row r="130" spans="4:7" x14ac:dyDescent="0.25">
      <c r="D130" s="213"/>
      <c r="E130" s="214" t="s">
        <v>736</v>
      </c>
      <c r="F130" s="210" t="s">
        <v>737</v>
      </c>
      <c r="G130" s="191"/>
    </row>
    <row r="131" spans="4:7" x14ac:dyDescent="0.25">
      <c r="D131" s="213"/>
      <c r="E131" s="214" t="s">
        <v>738</v>
      </c>
      <c r="F131" s="210" t="s">
        <v>739</v>
      </c>
      <c r="G131" s="191"/>
    </row>
    <row r="132" spans="4:7" x14ac:dyDescent="0.25">
      <c r="D132" s="213"/>
      <c r="E132" s="214" t="s">
        <v>740</v>
      </c>
      <c r="F132" s="210" t="s">
        <v>741</v>
      </c>
      <c r="G132" s="191"/>
    </row>
    <row r="133" spans="4:7" x14ac:dyDescent="0.25">
      <c r="D133" s="213"/>
      <c r="E133" s="214" t="s">
        <v>742</v>
      </c>
      <c r="F133" s="210" t="s">
        <v>743</v>
      </c>
      <c r="G133" s="191"/>
    </row>
    <row r="134" spans="4:7" x14ac:dyDescent="0.25">
      <c r="D134" s="213"/>
      <c r="E134" s="214" t="s">
        <v>744</v>
      </c>
      <c r="F134" s="210" t="s">
        <v>745</v>
      </c>
      <c r="G134" s="191"/>
    </row>
    <row r="135" spans="4:7" x14ac:dyDescent="0.25">
      <c r="D135" s="213"/>
      <c r="E135" s="214" t="s">
        <v>746</v>
      </c>
      <c r="F135" s="210" t="s">
        <v>747</v>
      </c>
      <c r="G135" s="191"/>
    </row>
    <row r="136" spans="4:7" x14ac:dyDescent="0.25">
      <c r="D136" s="213"/>
      <c r="E136" s="214" t="s">
        <v>748</v>
      </c>
      <c r="F136" s="210" t="s">
        <v>749</v>
      </c>
      <c r="G136" s="191"/>
    </row>
    <row r="137" spans="4:7" x14ac:dyDescent="0.25">
      <c r="D137" s="213"/>
      <c r="E137" s="214" t="s">
        <v>750</v>
      </c>
      <c r="F137" s="210" t="s">
        <v>751</v>
      </c>
      <c r="G137" s="191"/>
    </row>
    <row r="138" spans="4:7" x14ac:dyDescent="0.25">
      <c r="D138" s="213"/>
      <c r="E138" s="214" t="s">
        <v>752</v>
      </c>
      <c r="F138" s="210" t="s">
        <v>753</v>
      </c>
      <c r="G138" s="191"/>
    </row>
    <row r="139" spans="4:7" x14ac:dyDescent="0.25">
      <c r="D139" s="213"/>
      <c r="E139" s="214" t="s">
        <v>754</v>
      </c>
      <c r="F139" s="210" t="s">
        <v>755</v>
      </c>
      <c r="G139" s="191"/>
    </row>
    <row r="140" spans="4:7" x14ac:dyDescent="0.25">
      <c r="D140" s="213"/>
      <c r="E140" s="214" t="s">
        <v>756</v>
      </c>
      <c r="F140" s="210" t="s">
        <v>757</v>
      </c>
      <c r="G140" s="191"/>
    </row>
    <row r="141" spans="4:7" x14ac:dyDescent="0.25">
      <c r="D141" s="213"/>
      <c r="E141" s="214" t="s">
        <v>758</v>
      </c>
      <c r="F141" s="210" t="s">
        <v>759</v>
      </c>
      <c r="G141" s="191"/>
    </row>
    <row r="142" spans="4:7" x14ac:dyDescent="0.25">
      <c r="D142" s="213"/>
      <c r="E142" s="214" t="s">
        <v>760</v>
      </c>
      <c r="F142" s="210" t="s">
        <v>761</v>
      </c>
      <c r="G142" s="191"/>
    </row>
    <row r="143" spans="4:7" x14ac:dyDescent="0.25">
      <c r="D143" s="213"/>
      <c r="E143" s="214" t="s">
        <v>762</v>
      </c>
      <c r="F143" s="210" t="s">
        <v>763</v>
      </c>
      <c r="G143" s="191"/>
    </row>
    <row r="144" spans="4:7" x14ac:dyDescent="0.25">
      <c r="D144" s="213"/>
      <c r="E144" s="214" t="s">
        <v>764</v>
      </c>
      <c r="F144" s="210" t="s">
        <v>765</v>
      </c>
      <c r="G144" s="191"/>
    </row>
    <row r="145" spans="4:7" x14ac:dyDescent="0.25">
      <c r="D145" s="213"/>
      <c r="E145" s="214" t="s">
        <v>766</v>
      </c>
      <c r="F145" s="210" t="s">
        <v>767</v>
      </c>
      <c r="G145" s="191"/>
    </row>
    <row r="146" spans="4:7" x14ac:dyDescent="0.25">
      <c r="D146" s="213"/>
      <c r="E146" s="214" t="s">
        <v>768</v>
      </c>
      <c r="F146" s="210" t="s">
        <v>769</v>
      </c>
      <c r="G146" s="191"/>
    </row>
    <row r="147" spans="4:7" x14ac:dyDescent="0.25">
      <c r="D147" s="213"/>
      <c r="E147" s="215" t="s">
        <v>770</v>
      </c>
      <c r="F147" s="210" t="s">
        <v>771</v>
      </c>
      <c r="G147" s="191"/>
    </row>
    <row r="148" spans="4:7" x14ac:dyDescent="0.25">
      <c r="D148" s="213"/>
      <c r="E148" s="214" t="s">
        <v>772</v>
      </c>
      <c r="F148" s="210" t="s">
        <v>773</v>
      </c>
      <c r="G148" s="191"/>
    </row>
    <row r="149" spans="4:7" x14ac:dyDescent="0.25">
      <c r="D149" s="213"/>
      <c r="E149" s="214" t="s">
        <v>774</v>
      </c>
      <c r="F149" s="210" t="s">
        <v>775</v>
      </c>
      <c r="G149" s="191"/>
    </row>
    <row r="150" spans="4:7" x14ac:dyDescent="0.25">
      <c r="D150" s="217"/>
      <c r="E150" s="214" t="s">
        <v>776</v>
      </c>
      <c r="F150" s="210" t="s">
        <v>777</v>
      </c>
      <c r="G150" s="191"/>
    </row>
    <row r="151" spans="4:7" x14ac:dyDescent="0.25">
      <c r="D151" s="217"/>
      <c r="E151" s="214" t="s">
        <v>778</v>
      </c>
      <c r="F151" s="210" t="s">
        <v>779</v>
      </c>
      <c r="G151" s="191"/>
    </row>
    <row r="152" spans="4:7" x14ac:dyDescent="0.25">
      <c r="D152" s="217"/>
      <c r="E152" s="214" t="s">
        <v>780</v>
      </c>
      <c r="F152" s="210" t="s">
        <v>781</v>
      </c>
      <c r="G152" s="191"/>
    </row>
    <row r="153" spans="4:7" x14ac:dyDescent="0.25">
      <c r="D153" s="217"/>
      <c r="E153" s="214" t="s">
        <v>782</v>
      </c>
      <c r="F153" s="210" t="s">
        <v>783</v>
      </c>
      <c r="G153" s="191"/>
    </row>
    <row r="154" spans="4:7" x14ac:dyDescent="0.25">
      <c r="D154" s="217"/>
      <c r="E154" s="214" t="s">
        <v>784</v>
      </c>
      <c r="F154" s="210" t="s">
        <v>785</v>
      </c>
      <c r="G154" s="191"/>
    </row>
    <row r="155" spans="4:7" x14ac:dyDescent="0.25">
      <c r="D155" s="217"/>
      <c r="E155" s="214" t="s">
        <v>786</v>
      </c>
      <c r="F155" s="210" t="s">
        <v>787</v>
      </c>
      <c r="G155" s="191"/>
    </row>
    <row r="156" spans="4:7" x14ac:dyDescent="0.25">
      <c r="D156" s="217"/>
      <c r="E156" s="214" t="s">
        <v>788</v>
      </c>
      <c r="F156" s="210" t="s">
        <v>789</v>
      </c>
      <c r="G156" s="191"/>
    </row>
    <row r="157" spans="4:7" x14ac:dyDescent="0.25">
      <c r="D157" s="217"/>
      <c r="E157" s="214" t="s">
        <v>790</v>
      </c>
      <c r="F157" s="210" t="s">
        <v>791</v>
      </c>
      <c r="G157" s="191"/>
    </row>
    <row r="158" spans="4:7" x14ac:dyDescent="0.25">
      <c r="D158" s="217"/>
      <c r="E158" s="214" t="s">
        <v>792</v>
      </c>
      <c r="F158" s="210" t="s">
        <v>793</v>
      </c>
      <c r="G158" s="191"/>
    </row>
    <row r="159" spans="4:7" x14ac:dyDescent="0.25">
      <c r="D159" s="217"/>
      <c r="E159" s="214" t="s">
        <v>794</v>
      </c>
      <c r="F159" s="210" t="s">
        <v>795</v>
      </c>
      <c r="G159" s="191"/>
    </row>
    <row r="160" spans="4:7" x14ac:dyDescent="0.25">
      <c r="D160" s="217"/>
      <c r="E160" s="214" t="s">
        <v>796</v>
      </c>
      <c r="F160" s="210" t="s">
        <v>797</v>
      </c>
      <c r="G160" s="191"/>
    </row>
    <row r="161" spans="4:7" x14ac:dyDescent="0.25">
      <c r="D161" s="217"/>
      <c r="E161" s="214" t="s">
        <v>798</v>
      </c>
      <c r="F161" s="210" t="s">
        <v>799</v>
      </c>
      <c r="G161" s="191"/>
    </row>
    <row r="162" spans="4:7" x14ac:dyDescent="0.25">
      <c r="D162" s="217"/>
      <c r="E162" s="214" t="s">
        <v>800</v>
      </c>
      <c r="F162" s="210" t="s">
        <v>801</v>
      </c>
      <c r="G162" s="191"/>
    </row>
    <row r="163" spans="4:7" x14ac:dyDescent="0.25">
      <c r="D163" s="217"/>
      <c r="E163" s="214" t="s">
        <v>802</v>
      </c>
      <c r="F163" s="210" t="s">
        <v>803</v>
      </c>
      <c r="G163" s="191"/>
    </row>
    <row r="164" spans="4:7" x14ac:dyDescent="0.25">
      <c r="D164" s="217"/>
      <c r="E164" s="214" t="s">
        <v>804</v>
      </c>
      <c r="F164" s="210" t="s">
        <v>805</v>
      </c>
      <c r="G164" s="191"/>
    </row>
    <row r="165" spans="4:7" x14ac:dyDescent="0.25">
      <c r="D165" s="217"/>
      <c r="E165" s="214" t="s">
        <v>806</v>
      </c>
      <c r="F165" s="210" t="s">
        <v>807</v>
      </c>
      <c r="G165" s="191"/>
    </row>
    <row r="166" spans="4:7" x14ac:dyDescent="0.25">
      <c r="D166" s="217"/>
      <c r="E166" s="214" t="s">
        <v>808</v>
      </c>
      <c r="F166" s="210" t="s">
        <v>809</v>
      </c>
      <c r="G166" s="191"/>
    </row>
    <row r="167" spans="4:7" x14ac:dyDescent="0.25">
      <c r="D167" s="217"/>
      <c r="E167" s="214" t="s">
        <v>810</v>
      </c>
      <c r="F167" s="210" t="s">
        <v>811</v>
      </c>
      <c r="G167" s="191"/>
    </row>
    <row r="168" spans="4:7" x14ac:dyDescent="0.25">
      <c r="D168" s="217"/>
      <c r="E168" s="214" t="s">
        <v>812</v>
      </c>
      <c r="F168" s="210" t="s">
        <v>813</v>
      </c>
      <c r="G168" s="191"/>
    </row>
    <row r="169" spans="4:7" x14ac:dyDescent="0.25">
      <c r="D169" s="217"/>
      <c r="E169" s="214" t="s">
        <v>814</v>
      </c>
      <c r="F169" s="210" t="s">
        <v>815</v>
      </c>
      <c r="G169" s="191"/>
    </row>
    <row r="170" spans="4:7" x14ac:dyDescent="0.25">
      <c r="D170" s="217"/>
      <c r="E170" s="214" t="s">
        <v>816</v>
      </c>
      <c r="F170" s="210" t="s">
        <v>817</v>
      </c>
      <c r="G170" s="191"/>
    </row>
    <row r="171" spans="4:7" x14ac:dyDescent="0.25">
      <c r="D171" s="217"/>
      <c r="E171" s="220" t="s">
        <v>818</v>
      </c>
      <c r="F171" s="219" t="s">
        <v>819</v>
      </c>
      <c r="G171" s="191"/>
    </row>
    <row r="172" spans="4:7" x14ac:dyDescent="0.25">
      <c r="D172" s="217"/>
      <c r="E172" s="214" t="s">
        <v>820</v>
      </c>
      <c r="F172" s="210" t="s">
        <v>821</v>
      </c>
      <c r="G172" s="191"/>
    </row>
    <row r="173" spans="4:7" x14ac:dyDescent="0.25">
      <c r="D173" s="217"/>
      <c r="E173" s="214" t="s">
        <v>822</v>
      </c>
      <c r="F173" s="210" t="s">
        <v>823</v>
      </c>
      <c r="G173" s="191"/>
    </row>
    <row r="174" spans="4:7" x14ac:dyDescent="0.25">
      <c r="D174" s="217"/>
      <c r="E174" s="214" t="s">
        <v>824</v>
      </c>
      <c r="F174" s="210" t="s">
        <v>825</v>
      </c>
      <c r="G174" s="191"/>
    </row>
    <row r="175" spans="4:7" x14ac:dyDescent="0.25">
      <c r="D175" s="217"/>
      <c r="E175" s="220" t="s">
        <v>826</v>
      </c>
      <c r="F175" s="219" t="s">
        <v>827</v>
      </c>
      <c r="G175" s="191"/>
    </row>
    <row r="176" spans="4:7" x14ac:dyDescent="0.25">
      <c r="D176" s="217"/>
      <c r="E176" s="214" t="s">
        <v>828</v>
      </c>
      <c r="F176" s="210" t="s">
        <v>829</v>
      </c>
      <c r="G176" s="191"/>
    </row>
    <row r="177" spans="4:7" x14ac:dyDescent="0.25">
      <c r="D177" s="217"/>
      <c r="E177" s="214" t="s">
        <v>830</v>
      </c>
      <c r="F177" s="210" t="s">
        <v>831</v>
      </c>
      <c r="G177" s="191"/>
    </row>
    <row r="178" spans="4:7" x14ac:dyDescent="0.25">
      <c r="D178" s="217"/>
      <c r="E178" s="214" t="s">
        <v>832</v>
      </c>
      <c r="F178" s="210" t="s">
        <v>833</v>
      </c>
      <c r="G178" s="191"/>
    </row>
    <row r="179" spans="4:7" x14ac:dyDescent="0.25">
      <c r="D179" s="217"/>
      <c r="E179" s="214" t="s">
        <v>834</v>
      </c>
      <c r="F179" s="210" t="s">
        <v>835</v>
      </c>
      <c r="G179" s="191"/>
    </row>
    <row r="180" spans="4:7" x14ac:dyDescent="0.25">
      <c r="D180" s="217"/>
      <c r="E180" s="214" t="s">
        <v>836</v>
      </c>
      <c r="F180" s="210" t="s">
        <v>837</v>
      </c>
      <c r="G180" s="191"/>
    </row>
    <row r="181" spans="4:7" x14ac:dyDescent="0.25">
      <c r="D181" s="217"/>
      <c r="E181" s="214" t="s">
        <v>838</v>
      </c>
      <c r="F181" s="210" t="s">
        <v>839</v>
      </c>
      <c r="G181" s="191"/>
    </row>
    <row r="182" spans="4:7" x14ac:dyDescent="0.25">
      <c r="D182" s="217"/>
      <c r="E182" s="214" t="s">
        <v>840</v>
      </c>
      <c r="F182" s="210" t="s">
        <v>841</v>
      </c>
      <c r="G182" s="191"/>
    </row>
    <row r="183" spans="4:7" x14ac:dyDescent="0.25">
      <c r="D183" s="217"/>
      <c r="E183" s="215" t="s">
        <v>842</v>
      </c>
      <c r="F183" s="210" t="s">
        <v>843</v>
      </c>
      <c r="G183" s="191"/>
    </row>
    <row r="184" spans="4:7" x14ac:dyDescent="0.25">
      <c r="D184" s="217"/>
      <c r="E184" s="215" t="s">
        <v>844</v>
      </c>
      <c r="F184" s="210" t="s">
        <v>845</v>
      </c>
      <c r="G184" s="191"/>
    </row>
    <row r="185" spans="4:7" x14ac:dyDescent="0.25">
      <c r="D185" s="217"/>
      <c r="E185" s="215" t="s">
        <v>846</v>
      </c>
      <c r="F185" s="210" t="s">
        <v>847</v>
      </c>
      <c r="G185" s="191"/>
    </row>
    <row r="186" spans="4:7" x14ac:dyDescent="0.25">
      <c r="D186" s="217"/>
      <c r="E186" s="215" t="s">
        <v>848</v>
      </c>
      <c r="F186" s="210" t="s">
        <v>849</v>
      </c>
      <c r="G186" s="191"/>
    </row>
    <row r="187" spans="4:7" x14ac:dyDescent="0.25">
      <c r="D187" s="217"/>
      <c r="E187" s="215" t="s">
        <v>850</v>
      </c>
      <c r="F187" s="210" t="s">
        <v>851</v>
      </c>
      <c r="G187" s="191"/>
    </row>
    <row r="188" spans="4:7" x14ac:dyDescent="0.25">
      <c r="D188" s="217"/>
      <c r="E188" s="214" t="s">
        <v>852</v>
      </c>
      <c r="F188" s="210" t="s">
        <v>853</v>
      </c>
      <c r="G188" s="191"/>
    </row>
    <row r="189" spans="4:7" x14ac:dyDescent="0.25">
      <c r="D189" s="217"/>
      <c r="E189" s="214" t="s">
        <v>854</v>
      </c>
      <c r="F189" s="210" t="s">
        <v>855</v>
      </c>
      <c r="G189" s="191"/>
    </row>
    <row r="190" spans="4:7" x14ac:dyDescent="0.25">
      <c r="D190" s="217"/>
      <c r="E190" s="214" t="s">
        <v>856</v>
      </c>
      <c r="F190" s="210" t="s">
        <v>857</v>
      </c>
      <c r="G190" s="191"/>
    </row>
    <row r="191" spans="4:7" x14ac:dyDescent="0.25">
      <c r="D191" s="217"/>
      <c r="E191" s="214" t="s">
        <v>858</v>
      </c>
      <c r="F191" s="210" t="s">
        <v>859</v>
      </c>
      <c r="G191" s="191"/>
    </row>
    <row r="192" spans="4:7" x14ac:dyDescent="0.25">
      <c r="D192" s="217"/>
      <c r="E192" s="214" t="s">
        <v>860</v>
      </c>
      <c r="F192" s="210" t="s">
        <v>861</v>
      </c>
      <c r="G192" s="191"/>
    </row>
    <row r="193" spans="4:7" x14ac:dyDescent="0.25">
      <c r="D193" s="217"/>
      <c r="E193" s="214" t="s">
        <v>862</v>
      </c>
      <c r="F193" s="210" t="s">
        <v>863</v>
      </c>
      <c r="G193" s="191"/>
    </row>
    <row r="194" spans="4:7" x14ac:dyDescent="0.25">
      <c r="D194" s="217"/>
      <c r="E194" s="214" t="s">
        <v>864</v>
      </c>
      <c r="F194" s="210" t="s">
        <v>865</v>
      </c>
      <c r="G194" s="191"/>
    </row>
    <row r="195" spans="4:7" x14ac:dyDescent="0.25">
      <c r="D195" s="217"/>
      <c r="E195" s="214" t="s">
        <v>866</v>
      </c>
      <c r="F195" s="210" t="s">
        <v>867</v>
      </c>
      <c r="G195" s="191"/>
    </row>
    <row r="196" spans="4:7" x14ac:dyDescent="0.25">
      <c r="D196" s="217"/>
      <c r="E196" s="220" t="s">
        <v>868</v>
      </c>
      <c r="F196" s="219" t="s">
        <v>869</v>
      </c>
      <c r="G196" s="191"/>
    </row>
    <row r="197" spans="4:7" x14ac:dyDescent="0.25">
      <c r="D197" s="217"/>
      <c r="E197" s="214" t="s">
        <v>870</v>
      </c>
      <c r="F197" s="210" t="s">
        <v>871</v>
      </c>
      <c r="G197" s="191"/>
    </row>
    <row r="198" spans="4:7" x14ac:dyDescent="0.25">
      <c r="D198" s="217"/>
      <c r="E198" s="220" t="s">
        <v>872</v>
      </c>
      <c r="F198" s="219" t="s">
        <v>873</v>
      </c>
      <c r="G198" s="191"/>
    </row>
    <row r="199" spans="4:7" x14ac:dyDescent="0.25">
      <c r="D199" s="217"/>
      <c r="E199" s="214" t="s">
        <v>874</v>
      </c>
      <c r="F199" s="210" t="s">
        <v>875</v>
      </c>
      <c r="G199" s="191"/>
    </row>
    <row r="200" spans="4:7" x14ac:dyDescent="0.25">
      <c r="D200" s="217"/>
      <c r="E200" s="214" t="s">
        <v>876</v>
      </c>
      <c r="F200" s="210" t="s">
        <v>877</v>
      </c>
      <c r="G200" s="191"/>
    </row>
    <row r="201" spans="4:7" x14ac:dyDescent="0.25">
      <c r="D201" s="217"/>
      <c r="E201" s="214" t="s">
        <v>878</v>
      </c>
      <c r="F201" s="210" t="s">
        <v>879</v>
      </c>
      <c r="G201" s="191"/>
    </row>
    <row r="202" spans="4:7" x14ac:dyDescent="0.25">
      <c r="D202" s="217"/>
      <c r="E202" s="214" t="s">
        <v>880</v>
      </c>
      <c r="F202" s="210" t="s">
        <v>881</v>
      </c>
      <c r="G202" s="191"/>
    </row>
    <row r="203" spans="4:7" x14ac:dyDescent="0.25">
      <c r="D203" s="217"/>
      <c r="E203" s="214" t="s">
        <v>882</v>
      </c>
      <c r="F203" s="210" t="s">
        <v>883</v>
      </c>
      <c r="G203" s="191"/>
    </row>
    <row r="204" spans="4:7" x14ac:dyDescent="0.25">
      <c r="D204" s="217"/>
      <c r="E204" s="214" t="s">
        <v>884</v>
      </c>
      <c r="F204" s="210" t="s">
        <v>885</v>
      </c>
      <c r="G204" s="191"/>
    </row>
    <row r="205" spans="4:7" x14ac:dyDescent="0.25">
      <c r="D205" s="217"/>
      <c r="E205" s="214" t="s">
        <v>555</v>
      </c>
      <c r="F205" s="210" t="s">
        <v>886</v>
      </c>
      <c r="G205" s="191"/>
    </row>
    <row r="206" spans="4:7" x14ac:dyDescent="0.25">
      <c r="D206" s="217"/>
      <c r="E206" s="214" t="s">
        <v>887</v>
      </c>
      <c r="F206" s="210" t="s">
        <v>888</v>
      </c>
      <c r="G206" s="191"/>
    </row>
    <row r="207" spans="4:7" x14ac:dyDescent="0.25">
      <c r="D207" s="217"/>
      <c r="E207" s="215" t="s">
        <v>889</v>
      </c>
      <c r="F207" s="210" t="s">
        <v>890</v>
      </c>
      <c r="G207" s="191"/>
    </row>
    <row r="208" spans="4:7" x14ac:dyDescent="0.25">
      <c r="D208" s="217"/>
      <c r="E208" s="214" t="s">
        <v>891</v>
      </c>
      <c r="F208" s="210" t="s">
        <v>892</v>
      </c>
      <c r="G208" s="191"/>
    </row>
    <row r="209" spans="4:7" x14ac:dyDescent="0.25">
      <c r="D209" s="217"/>
      <c r="E209" s="214" t="s">
        <v>893</v>
      </c>
      <c r="F209" s="210" t="s">
        <v>894</v>
      </c>
      <c r="G209" s="191"/>
    </row>
    <row r="210" spans="4:7" x14ac:dyDescent="0.25">
      <c r="D210" s="217"/>
      <c r="E210" s="214" t="s">
        <v>895</v>
      </c>
      <c r="F210" s="210" t="s">
        <v>896</v>
      </c>
      <c r="G210" s="191"/>
    </row>
    <row r="211" spans="4:7" x14ac:dyDescent="0.25">
      <c r="D211" s="217"/>
      <c r="E211" s="214" t="s">
        <v>897</v>
      </c>
      <c r="F211" s="210" t="s">
        <v>898</v>
      </c>
      <c r="G211" s="191"/>
    </row>
    <row r="212" spans="4:7" x14ac:dyDescent="0.25">
      <c r="D212" s="217"/>
      <c r="E212" s="214" t="s">
        <v>899</v>
      </c>
      <c r="F212" s="210" t="s">
        <v>900</v>
      </c>
      <c r="G212" s="191"/>
    </row>
    <row r="213" spans="4:7" x14ac:dyDescent="0.25">
      <c r="D213" s="217"/>
      <c r="E213" s="215" t="s">
        <v>901</v>
      </c>
      <c r="F213" s="210" t="s">
        <v>902</v>
      </c>
      <c r="G213" s="191"/>
    </row>
    <row r="214" spans="4:7" x14ac:dyDescent="0.25">
      <c r="D214" s="217"/>
      <c r="E214" s="214" t="s">
        <v>903</v>
      </c>
      <c r="F214" s="210" t="s">
        <v>904</v>
      </c>
      <c r="G214" s="191"/>
    </row>
    <row r="215" spans="4:7" x14ac:dyDescent="0.25">
      <c r="D215" s="217"/>
      <c r="E215" s="215" t="s">
        <v>905</v>
      </c>
      <c r="F215" s="210" t="s">
        <v>906</v>
      </c>
      <c r="G215" s="191"/>
    </row>
    <row r="216" spans="4:7" x14ac:dyDescent="0.25">
      <c r="D216" s="217"/>
      <c r="E216" s="214" t="s">
        <v>907</v>
      </c>
      <c r="F216" s="210" t="s">
        <v>908</v>
      </c>
      <c r="G216" s="191"/>
    </row>
    <row r="217" spans="4:7" x14ac:dyDescent="0.25">
      <c r="D217" s="217"/>
      <c r="E217" s="214" t="s">
        <v>909</v>
      </c>
      <c r="F217" s="210" t="s">
        <v>910</v>
      </c>
      <c r="G217" s="191"/>
    </row>
    <row r="218" spans="4:7" x14ac:dyDescent="0.25">
      <c r="D218" s="217"/>
      <c r="E218" s="214" t="s">
        <v>911</v>
      </c>
      <c r="F218" s="210" t="s">
        <v>912</v>
      </c>
      <c r="G218" s="191"/>
    </row>
    <row r="219" spans="4:7" x14ac:dyDescent="0.25">
      <c r="D219" s="217"/>
      <c r="E219" s="214" t="s">
        <v>913</v>
      </c>
      <c r="F219" s="210" t="s">
        <v>914</v>
      </c>
      <c r="G219" s="191"/>
    </row>
    <row r="220" spans="4:7" x14ac:dyDescent="0.25">
      <c r="D220" s="217"/>
      <c r="E220" s="220" t="s">
        <v>915</v>
      </c>
      <c r="F220" s="210" t="s">
        <v>916</v>
      </c>
      <c r="G220" s="191"/>
    </row>
    <row r="221" spans="4:7" x14ac:dyDescent="0.25">
      <c r="D221" s="217"/>
      <c r="E221" s="214" t="s">
        <v>917</v>
      </c>
      <c r="F221" s="210" t="s">
        <v>918</v>
      </c>
      <c r="G221" s="191"/>
    </row>
    <row r="222" spans="4:7" x14ac:dyDescent="0.25">
      <c r="D222" s="217"/>
      <c r="E222" s="220" t="s">
        <v>919</v>
      </c>
      <c r="F222" s="210" t="s">
        <v>920</v>
      </c>
      <c r="G222" s="191"/>
    </row>
    <row r="223" spans="4:7" x14ac:dyDescent="0.25">
      <c r="D223" s="217"/>
      <c r="E223" s="220" t="s">
        <v>921</v>
      </c>
      <c r="F223" s="210" t="s">
        <v>922</v>
      </c>
      <c r="G223" s="191"/>
    </row>
    <row r="224" spans="4:7" x14ac:dyDescent="0.25">
      <c r="D224" s="217"/>
      <c r="E224" s="214" t="s">
        <v>923</v>
      </c>
      <c r="F224" s="210" t="s">
        <v>924</v>
      </c>
      <c r="G224" s="191"/>
    </row>
    <row r="225" spans="4:7" x14ac:dyDescent="0.25">
      <c r="D225" s="217"/>
      <c r="E225" s="214" t="s">
        <v>925</v>
      </c>
      <c r="F225" s="210" t="s">
        <v>926</v>
      </c>
      <c r="G225" s="191"/>
    </row>
    <row r="226" spans="4:7" x14ac:dyDescent="0.25">
      <c r="D226" s="217"/>
      <c r="E226" s="214" t="s">
        <v>927</v>
      </c>
      <c r="F226" s="210" t="s">
        <v>928</v>
      </c>
      <c r="G226" s="191"/>
    </row>
    <row r="227" spans="4:7" x14ac:dyDescent="0.25">
      <c r="D227" s="217"/>
      <c r="E227" s="214" t="s">
        <v>929</v>
      </c>
      <c r="F227" s="210" t="s">
        <v>930</v>
      </c>
      <c r="G227" s="191"/>
    </row>
    <row r="228" spans="4:7" x14ac:dyDescent="0.25">
      <c r="D228" s="217"/>
      <c r="E228" s="214" t="s">
        <v>931</v>
      </c>
      <c r="F228" s="210" t="s">
        <v>932</v>
      </c>
      <c r="G228" s="191"/>
    </row>
    <row r="229" spans="4:7" x14ac:dyDescent="0.25">
      <c r="D229" s="217"/>
      <c r="E229" s="214" t="s">
        <v>933</v>
      </c>
      <c r="F229" s="210" t="s">
        <v>934</v>
      </c>
      <c r="G229" s="191"/>
    </row>
    <row r="230" spans="4:7" x14ac:dyDescent="0.25">
      <c r="D230" s="217"/>
      <c r="E230" s="214" t="s">
        <v>935</v>
      </c>
      <c r="F230" s="210" t="s">
        <v>936</v>
      </c>
      <c r="G230" s="191"/>
    </row>
    <row r="231" spans="4:7" x14ac:dyDescent="0.25">
      <c r="D231" s="217"/>
      <c r="E231" s="214" t="s">
        <v>937</v>
      </c>
      <c r="F231" s="210" t="s">
        <v>938</v>
      </c>
      <c r="G231" s="191"/>
    </row>
    <row r="232" spans="4:7" x14ac:dyDescent="0.25">
      <c r="D232" s="217"/>
      <c r="E232" s="214" t="s">
        <v>939</v>
      </c>
      <c r="F232" s="210" t="s">
        <v>940</v>
      </c>
      <c r="G232" s="191"/>
    </row>
    <row r="233" spans="4:7" x14ac:dyDescent="0.25">
      <c r="D233" s="217"/>
      <c r="E233" s="214" t="s">
        <v>941</v>
      </c>
      <c r="F233" s="210" t="s">
        <v>942</v>
      </c>
      <c r="G233" s="191"/>
    </row>
    <row r="234" spans="4:7" x14ac:dyDescent="0.25">
      <c r="D234" s="217"/>
      <c r="E234" s="214" t="s">
        <v>943</v>
      </c>
      <c r="F234" s="210" t="s">
        <v>944</v>
      </c>
      <c r="G234" s="191"/>
    </row>
    <row r="235" spans="4:7" x14ac:dyDescent="0.25">
      <c r="D235" s="217"/>
      <c r="E235" s="214" t="s">
        <v>945</v>
      </c>
      <c r="F235" s="210" t="s">
        <v>946</v>
      </c>
      <c r="G235" s="191"/>
    </row>
    <row r="236" spans="4:7" x14ac:dyDescent="0.25">
      <c r="D236" s="217"/>
      <c r="E236" s="214" t="s">
        <v>947</v>
      </c>
      <c r="F236" s="210" t="s">
        <v>948</v>
      </c>
      <c r="G236" s="191"/>
    </row>
    <row r="237" spans="4:7" x14ac:dyDescent="0.25">
      <c r="D237" s="217"/>
      <c r="E237" s="214" t="s">
        <v>949</v>
      </c>
      <c r="F237" s="210" t="s">
        <v>950</v>
      </c>
      <c r="G237" s="191"/>
    </row>
    <row r="238" spans="4:7" x14ac:dyDescent="0.25">
      <c r="D238" s="217"/>
      <c r="E238" s="215" t="s">
        <v>951</v>
      </c>
      <c r="F238" s="210" t="s">
        <v>952</v>
      </c>
      <c r="G238" s="191"/>
    </row>
    <row r="239" spans="4:7" x14ac:dyDescent="0.25">
      <c r="D239" s="217"/>
      <c r="E239" s="214" t="s">
        <v>953</v>
      </c>
      <c r="F239" s="210" t="s">
        <v>954</v>
      </c>
      <c r="G239" s="191"/>
    </row>
    <row r="240" spans="4:7" x14ac:dyDescent="0.25">
      <c r="D240" s="217"/>
      <c r="E240" s="214" t="s">
        <v>955</v>
      </c>
      <c r="F240" s="210" t="s">
        <v>956</v>
      </c>
      <c r="G240" s="191"/>
    </row>
    <row r="241" spans="4:7" x14ac:dyDescent="0.25">
      <c r="D241" s="217"/>
      <c r="E241" s="214" t="s">
        <v>957</v>
      </c>
      <c r="F241" s="210" t="s">
        <v>958</v>
      </c>
      <c r="G241" s="191"/>
    </row>
    <row r="242" spans="4:7" x14ac:dyDescent="0.25">
      <c r="D242" s="217"/>
      <c r="E242" s="214" t="s">
        <v>959</v>
      </c>
      <c r="F242" s="210" t="s">
        <v>960</v>
      </c>
      <c r="G242" s="191"/>
    </row>
    <row r="243" spans="4:7" x14ac:dyDescent="0.25">
      <c r="D243" s="217"/>
      <c r="E243" s="214" t="s">
        <v>961</v>
      </c>
      <c r="F243" s="210" t="s">
        <v>962</v>
      </c>
      <c r="G243" s="191"/>
    </row>
    <row r="244" spans="4:7" x14ac:dyDescent="0.25">
      <c r="D244" s="217"/>
      <c r="E244" s="214" t="s">
        <v>963</v>
      </c>
      <c r="F244" s="210" t="s">
        <v>964</v>
      </c>
      <c r="G244" s="191"/>
    </row>
    <row r="245" spans="4:7" x14ac:dyDescent="0.25">
      <c r="D245" s="217"/>
      <c r="E245" s="214" t="s">
        <v>965</v>
      </c>
      <c r="F245" s="210" t="s">
        <v>966</v>
      </c>
      <c r="G245" s="191"/>
    </row>
    <row r="246" spans="4:7" x14ac:dyDescent="0.25">
      <c r="D246" s="217"/>
      <c r="E246" s="215" t="s">
        <v>967</v>
      </c>
      <c r="F246" s="210" t="s">
        <v>968</v>
      </c>
      <c r="G246" s="191"/>
    </row>
    <row r="247" spans="4:7" x14ac:dyDescent="0.25">
      <c r="D247" s="217"/>
      <c r="E247" s="214" t="s">
        <v>969</v>
      </c>
      <c r="F247" s="210" t="s">
        <v>970</v>
      </c>
      <c r="G247" s="191"/>
    </row>
    <row r="248" spans="4:7" x14ac:dyDescent="0.25">
      <c r="D248" s="217"/>
      <c r="E248" s="214" t="s">
        <v>971</v>
      </c>
      <c r="F248" s="210" t="s">
        <v>972</v>
      </c>
      <c r="G248" s="191"/>
    </row>
    <row r="249" spans="4:7" x14ac:dyDescent="0.25">
      <c r="D249" s="217"/>
      <c r="E249" s="215" t="s">
        <v>973</v>
      </c>
      <c r="F249" s="210" t="s">
        <v>974</v>
      </c>
      <c r="G249" s="191"/>
    </row>
    <row r="250" spans="4:7" x14ac:dyDescent="0.25">
      <c r="D250" s="217"/>
      <c r="E250" s="214" t="s">
        <v>975</v>
      </c>
      <c r="F250" s="210" t="s">
        <v>976</v>
      </c>
      <c r="G250" s="191"/>
    </row>
    <row r="251" spans="4:7" x14ac:dyDescent="0.25">
      <c r="D251" s="217"/>
      <c r="E251" s="214" t="s">
        <v>977</v>
      </c>
      <c r="F251" s="210" t="s">
        <v>978</v>
      </c>
      <c r="G251" s="191"/>
    </row>
    <row r="252" spans="4:7" x14ac:dyDescent="0.25">
      <c r="D252" s="217"/>
      <c r="E252" s="215" t="s">
        <v>979</v>
      </c>
      <c r="F252" s="210" t="s">
        <v>980</v>
      </c>
      <c r="G252" s="191"/>
    </row>
    <row r="253" spans="4:7" x14ac:dyDescent="0.25">
      <c r="D253" s="217"/>
      <c r="E253" s="214" t="s">
        <v>981</v>
      </c>
      <c r="F253" s="210" t="s">
        <v>982</v>
      </c>
      <c r="G253" s="191"/>
    </row>
    <row r="254" spans="4:7" x14ac:dyDescent="0.25">
      <c r="D254" s="217"/>
      <c r="E254" s="215" t="s">
        <v>983</v>
      </c>
      <c r="F254" s="210" t="s">
        <v>984</v>
      </c>
      <c r="G254" s="191"/>
    </row>
    <row r="255" spans="4:7" x14ac:dyDescent="0.25">
      <c r="D255" s="217"/>
      <c r="E255" s="214" t="s">
        <v>985</v>
      </c>
      <c r="F255" s="210" t="s">
        <v>986</v>
      </c>
      <c r="G255" s="191"/>
    </row>
    <row r="256" spans="4:7" x14ac:dyDescent="0.25">
      <c r="D256" s="217"/>
      <c r="E256" s="214" t="s">
        <v>987</v>
      </c>
      <c r="F256" s="210" t="s">
        <v>988</v>
      </c>
      <c r="G256" s="191"/>
    </row>
    <row r="257" spans="4:7" x14ac:dyDescent="0.25">
      <c r="D257" s="217"/>
      <c r="E257" s="220" t="s">
        <v>989</v>
      </c>
      <c r="F257" s="210" t="s">
        <v>990</v>
      </c>
      <c r="G257" s="191"/>
    </row>
    <row r="258" spans="4:7" x14ac:dyDescent="0.25">
      <c r="D258" s="217"/>
      <c r="E258" s="214" t="s">
        <v>991</v>
      </c>
      <c r="F258" s="210" t="s">
        <v>992</v>
      </c>
      <c r="G258" s="191"/>
    </row>
    <row r="259" spans="4:7" x14ac:dyDescent="0.25">
      <c r="D259" s="217"/>
      <c r="E259" s="214" t="s">
        <v>993</v>
      </c>
      <c r="F259" s="210" t="s">
        <v>994</v>
      </c>
      <c r="G259" s="191"/>
    </row>
    <row r="260" spans="4:7" x14ac:dyDescent="0.25">
      <c r="D260" s="217"/>
      <c r="E260" s="214" t="s">
        <v>995</v>
      </c>
      <c r="F260" s="210" t="s">
        <v>996</v>
      </c>
      <c r="G260" s="191"/>
    </row>
    <row r="261" spans="4:7" x14ac:dyDescent="0.25">
      <c r="D261" s="217"/>
      <c r="E261" s="214" t="s">
        <v>997</v>
      </c>
      <c r="F261" s="210" t="s">
        <v>998</v>
      </c>
      <c r="G261" s="191"/>
    </row>
    <row r="262" spans="4:7" x14ac:dyDescent="0.25">
      <c r="D262" s="217"/>
      <c r="E262" s="214" t="s">
        <v>999</v>
      </c>
      <c r="F262" s="210" t="s">
        <v>1000</v>
      </c>
      <c r="G262" s="191"/>
    </row>
    <row r="263" spans="4:7" x14ac:dyDescent="0.25">
      <c r="D263" s="217"/>
      <c r="E263" s="214" t="s">
        <v>1001</v>
      </c>
      <c r="F263" s="210" t="s">
        <v>1002</v>
      </c>
      <c r="G263" s="191"/>
    </row>
    <row r="264" spans="4:7" x14ac:dyDescent="0.25">
      <c r="D264" s="217"/>
      <c r="E264" s="214" t="s">
        <v>1003</v>
      </c>
      <c r="F264" s="210" t="s">
        <v>1004</v>
      </c>
      <c r="G264" s="191"/>
    </row>
    <row r="265" spans="4:7" x14ac:dyDescent="0.25">
      <c r="D265" s="217"/>
      <c r="E265" s="214" t="s">
        <v>1005</v>
      </c>
      <c r="F265" s="210" t="s">
        <v>1006</v>
      </c>
      <c r="G265" s="191"/>
    </row>
    <row r="266" spans="4:7" x14ac:dyDescent="0.25">
      <c r="D266" s="217"/>
      <c r="E266" s="220" t="s">
        <v>1007</v>
      </c>
      <c r="F266" s="210" t="s">
        <v>1008</v>
      </c>
      <c r="G266" s="191"/>
    </row>
    <row r="267" spans="4:7" x14ac:dyDescent="0.25">
      <c r="D267" s="217"/>
      <c r="E267" s="214" t="s">
        <v>1009</v>
      </c>
      <c r="F267" s="210" t="s">
        <v>1010</v>
      </c>
      <c r="G267" s="191"/>
    </row>
    <row r="268" spans="4:7" x14ac:dyDescent="0.25">
      <c r="D268" s="217"/>
      <c r="E268" s="214" t="s">
        <v>1011</v>
      </c>
      <c r="F268" s="210" t="s">
        <v>1012</v>
      </c>
      <c r="G268" s="191"/>
    </row>
    <row r="269" spans="4:7" x14ac:dyDescent="0.25">
      <c r="D269" s="217"/>
      <c r="E269" s="214" t="s">
        <v>1013</v>
      </c>
      <c r="F269" s="210" t="s">
        <v>1014</v>
      </c>
      <c r="G269" s="191"/>
    </row>
    <row r="270" spans="4:7" x14ac:dyDescent="0.25">
      <c r="D270" s="217"/>
      <c r="E270" s="214" t="s">
        <v>1015</v>
      </c>
      <c r="F270" s="210" t="s">
        <v>1016</v>
      </c>
      <c r="G270" s="191"/>
    </row>
    <row r="271" spans="4:7" x14ac:dyDescent="0.25">
      <c r="D271" s="217"/>
      <c r="E271" s="214" t="s">
        <v>1017</v>
      </c>
      <c r="F271" s="210" t="s">
        <v>1018</v>
      </c>
      <c r="G271" s="191"/>
    </row>
    <row r="272" spans="4:7" x14ac:dyDescent="0.25">
      <c r="D272" s="217"/>
      <c r="E272" s="214" t="s">
        <v>1019</v>
      </c>
      <c r="F272" s="210" t="s">
        <v>1020</v>
      </c>
      <c r="G272" s="191"/>
    </row>
    <row r="273" spans="4:7" x14ac:dyDescent="0.25">
      <c r="D273" s="217"/>
      <c r="E273" s="214" t="s">
        <v>1021</v>
      </c>
      <c r="F273" s="210" t="s">
        <v>1022</v>
      </c>
      <c r="G273" s="191"/>
    </row>
    <row r="274" spans="4:7" x14ac:dyDescent="0.25">
      <c r="D274" s="217"/>
      <c r="E274" s="220" t="s">
        <v>1023</v>
      </c>
      <c r="F274" s="219" t="s">
        <v>1024</v>
      </c>
      <c r="G274" s="191"/>
    </row>
    <row r="275" spans="4:7" x14ac:dyDescent="0.25">
      <c r="D275" s="217"/>
      <c r="E275" s="214" t="s">
        <v>1025</v>
      </c>
      <c r="F275" s="210" t="s">
        <v>1026</v>
      </c>
      <c r="G275" s="191"/>
    </row>
    <row r="276" spans="4:7" x14ac:dyDescent="0.25">
      <c r="D276" s="217"/>
      <c r="E276" s="214" t="s">
        <v>1027</v>
      </c>
      <c r="F276" s="210" t="s">
        <v>1028</v>
      </c>
      <c r="G276" s="191"/>
    </row>
    <row r="277" spans="4:7" x14ac:dyDescent="0.25">
      <c r="D277" s="217"/>
      <c r="E277" s="214" t="s">
        <v>1029</v>
      </c>
      <c r="F277" s="210" t="s">
        <v>1030</v>
      </c>
      <c r="G277" s="191"/>
    </row>
    <row r="278" spans="4:7" x14ac:dyDescent="0.25">
      <c r="D278" s="217"/>
      <c r="E278" s="214" t="s">
        <v>1031</v>
      </c>
      <c r="F278" s="210" t="s">
        <v>1032</v>
      </c>
      <c r="G278" s="191"/>
    </row>
    <row r="279" spans="4:7" ht="16.5" x14ac:dyDescent="0.3">
      <c r="D279" s="217"/>
      <c r="E279" s="192" t="s">
        <v>1033</v>
      </c>
      <c r="F279" s="210" t="s">
        <v>1034</v>
      </c>
      <c r="G279" s="191"/>
    </row>
    <row r="280" spans="4:7" ht="16.5" x14ac:dyDescent="0.3">
      <c r="D280" s="217"/>
      <c r="E280" s="192" t="s">
        <v>1035</v>
      </c>
      <c r="F280" s="210" t="s">
        <v>1036</v>
      </c>
      <c r="G280" s="191"/>
    </row>
    <row r="281" spans="4:7" ht="16.5" x14ac:dyDescent="0.3">
      <c r="D281" s="217"/>
      <c r="E281" s="192" t="s">
        <v>1037</v>
      </c>
      <c r="F281" s="210" t="s">
        <v>1038</v>
      </c>
      <c r="G281" s="191"/>
    </row>
    <row r="282" spans="4:7" ht="16.5" x14ac:dyDescent="0.3">
      <c r="D282" s="217"/>
      <c r="E282" s="192" t="s">
        <v>1039</v>
      </c>
      <c r="F282" s="210" t="s">
        <v>1040</v>
      </c>
      <c r="G282" s="191"/>
    </row>
    <row r="283" spans="4:7" ht="16.5" x14ac:dyDescent="0.3">
      <c r="D283" s="217"/>
      <c r="E283" s="192" t="s">
        <v>1041</v>
      </c>
      <c r="F283" s="210" t="s">
        <v>1042</v>
      </c>
      <c r="G283" s="191"/>
    </row>
    <row r="284" spans="4:7" ht="16.5" x14ac:dyDescent="0.3">
      <c r="D284" s="217"/>
      <c r="E284" s="192" t="s">
        <v>1043</v>
      </c>
      <c r="F284" s="210" t="s">
        <v>1044</v>
      </c>
      <c r="G284" s="191"/>
    </row>
    <row r="285" spans="4:7" ht="16.5" x14ac:dyDescent="0.3">
      <c r="D285" s="217"/>
      <c r="E285" s="192" t="s">
        <v>1045</v>
      </c>
      <c r="F285" s="210" t="s">
        <v>1046</v>
      </c>
      <c r="G285" s="191"/>
    </row>
    <row r="286" spans="4:7" ht="16.5" x14ac:dyDescent="0.3">
      <c r="D286" s="217"/>
      <c r="E286" s="192" t="s">
        <v>1047</v>
      </c>
      <c r="F286" s="210" t="s">
        <v>1048</v>
      </c>
      <c r="G286" s="191"/>
    </row>
    <row r="287" spans="4:7" ht="16.5" x14ac:dyDescent="0.3">
      <c r="D287" s="217"/>
      <c r="E287" s="192" t="s">
        <v>1049</v>
      </c>
      <c r="F287" s="210" t="s">
        <v>1050</v>
      </c>
      <c r="G287" s="191"/>
    </row>
    <row r="288" spans="4:7" ht="16.5" x14ac:dyDescent="0.3">
      <c r="D288" s="217"/>
      <c r="E288" s="192" t="s">
        <v>1051</v>
      </c>
      <c r="F288" s="210" t="s">
        <v>1052</v>
      </c>
      <c r="G288" s="191"/>
    </row>
    <row r="289" spans="4:7" ht="16.5" x14ac:dyDescent="0.3">
      <c r="D289" s="217"/>
      <c r="E289" s="192" t="s">
        <v>1053</v>
      </c>
      <c r="F289" s="210" t="s">
        <v>1054</v>
      </c>
      <c r="G289" s="191"/>
    </row>
    <row r="290" spans="4:7" ht="16.5" x14ac:dyDescent="0.3">
      <c r="D290" s="217"/>
      <c r="E290" s="192" t="s">
        <v>1055</v>
      </c>
      <c r="F290" s="210" t="s">
        <v>1056</v>
      </c>
      <c r="G290" s="191"/>
    </row>
    <row r="291" spans="4:7" ht="16.5" x14ac:dyDescent="0.3">
      <c r="D291" s="217"/>
      <c r="E291" s="192" t="s">
        <v>1057</v>
      </c>
      <c r="F291" s="210" t="s">
        <v>1058</v>
      </c>
      <c r="G291" s="191"/>
    </row>
    <row r="292" spans="4:7" ht="16.5" x14ac:dyDescent="0.3">
      <c r="D292" s="217"/>
      <c r="E292" s="192" t="s">
        <v>1059</v>
      </c>
      <c r="F292" s="210" t="s">
        <v>1060</v>
      </c>
      <c r="G292" s="191"/>
    </row>
    <row r="293" spans="4:7" ht="16.5" x14ac:dyDescent="0.3">
      <c r="D293" s="217"/>
      <c r="E293" s="192" t="s">
        <v>1061</v>
      </c>
      <c r="F293" s="210" t="s">
        <v>1062</v>
      </c>
      <c r="G293" s="191"/>
    </row>
    <row r="294" spans="4:7" ht="16.5" x14ac:dyDescent="0.3">
      <c r="D294" s="217"/>
      <c r="E294" s="192" t="s">
        <v>1063</v>
      </c>
      <c r="F294" s="210" t="s">
        <v>1064</v>
      </c>
      <c r="G294" s="191"/>
    </row>
    <row r="295" spans="4:7" ht="16.5" x14ac:dyDescent="0.3">
      <c r="D295" s="217"/>
      <c r="E295" s="192" t="s">
        <v>1065</v>
      </c>
      <c r="F295" s="210" t="s">
        <v>1066</v>
      </c>
      <c r="G295" s="191"/>
    </row>
    <row r="296" spans="4:7" ht="16.5" x14ac:dyDescent="0.3">
      <c r="D296" s="217"/>
      <c r="E296" s="192" t="s">
        <v>1067</v>
      </c>
      <c r="F296" s="210" t="s">
        <v>1068</v>
      </c>
      <c r="G296" s="191"/>
    </row>
    <row r="297" spans="4:7" ht="16.5" x14ac:dyDescent="0.3">
      <c r="D297" s="217"/>
      <c r="E297" s="192" t="s">
        <v>1069</v>
      </c>
      <c r="F297" s="210" t="s">
        <v>1070</v>
      </c>
      <c r="G297" s="191"/>
    </row>
    <row r="298" spans="4:7" ht="16.5" x14ac:dyDescent="0.3">
      <c r="D298" s="217"/>
      <c r="E298" s="192" t="s">
        <v>1071</v>
      </c>
      <c r="F298" s="210" t="s">
        <v>1072</v>
      </c>
      <c r="G298" s="191"/>
    </row>
    <row r="299" spans="4:7" ht="16.5" x14ac:dyDescent="0.3">
      <c r="D299" s="217"/>
      <c r="E299" s="192" t="s">
        <v>1073</v>
      </c>
      <c r="F299" s="210" t="s">
        <v>1074</v>
      </c>
      <c r="G299" s="191"/>
    </row>
    <row r="300" spans="4:7" ht="16.5" x14ac:dyDescent="0.3">
      <c r="D300" s="217"/>
      <c r="E300" s="192" t="s">
        <v>1075</v>
      </c>
      <c r="F300" s="210" t="s">
        <v>1076</v>
      </c>
      <c r="G300" s="191"/>
    </row>
    <row r="301" spans="4:7" ht="16.5" x14ac:dyDescent="0.3">
      <c r="D301" s="217"/>
      <c r="E301" s="192" t="s">
        <v>1077</v>
      </c>
      <c r="F301" s="210" t="s">
        <v>1078</v>
      </c>
      <c r="G301" s="191"/>
    </row>
    <row r="302" spans="4:7" ht="16.5" x14ac:dyDescent="0.3">
      <c r="D302" s="217"/>
      <c r="E302" s="192" t="s">
        <v>1079</v>
      </c>
      <c r="F302" s="210" t="s">
        <v>1080</v>
      </c>
      <c r="G302" s="191"/>
    </row>
    <row r="303" spans="4:7" ht="16.5" x14ac:dyDescent="0.3">
      <c r="D303" s="217"/>
      <c r="E303" s="192" t="s">
        <v>1081</v>
      </c>
      <c r="F303" s="210" t="s">
        <v>1082</v>
      </c>
      <c r="G303" s="191"/>
    </row>
    <row r="304" spans="4:7" ht="16.5" x14ac:dyDescent="0.3">
      <c r="D304" s="217"/>
      <c r="E304" s="192" t="s">
        <v>1083</v>
      </c>
      <c r="F304" s="210" t="s">
        <v>1084</v>
      </c>
      <c r="G304" s="191"/>
    </row>
    <row r="305" spans="4:7" ht="16.5" x14ac:dyDescent="0.3">
      <c r="D305" s="217"/>
      <c r="E305" s="192" t="s">
        <v>1085</v>
      </c>
      <c r="F305" s="210" t="s">
        <v>1086</v>
      </c>
      <c r="G305" s="191"/>
    </row>
    <row r="306" spans="4:7" ht="16.5" x14ac:dyDescent="0.3">
      <c r="D306" s="217"/>
      <c r="E306" s="192" t="s">
        <v>1087</v>
      </c>
      <c r="F306" s="210" t="s">
        <v>1088</v>
      </c>
      <c r="G306" s="191"/>
    </row>
    <row r="307" spans="4:7" ht="16.5" x14ac:dyDescent="0.3">
      <c r="D307" s="217"/>
      <c r="E307" s="192" t="s">
        <v>1089</v>
      </c>
      <c r="F307" s="210" t="s">
        <v>1090</v>
      </c>
      <c r="G307" s="191"/>
    </row>
    <row r="308" spans="4:7" ht="16.5" x14ac:dyDescent="0.3">
      <c r="D308" s="217"/>
      <c r="E308" s="192" t="s">
        <v>1091</v>
      </c>
      <c r="F308" s="210" t="s">
        <v>1092</v>
      </c>
      <c r="G308" s="191"/>
    </row>
    <row r="309" spans="4:7" ht="16.5" x14ac:dyDescent="0.3">
      <c r="D309" s="217"/>
      <c r="E309" s="192" t="s">
        <v>1093</v>
      </c>
      <c r="F309" s="210" t="s">
        <v>1094</v>
      </c>
      <c r="G309" s="191"/>
    </row>
    <row r="310" spans="4:7" ht="16.5" x14ac:dyDescent="0.3">
      <c r="D310" s="217"/>
      <c r="E310" s="192" t="s">
        <v>1095</v>
      </c>
      <c r="F310" s="210" t="s">
        <v>1096</v>
      </c>
      <c r="G310" s="191"/>
    </row>
    <row r="311" spans="4:7" ht="16.5" x14ac:dyDescent="0.3">
      <c r="D311" s="217"/>
      <c r="E311" s="192" t="s">
        <v>1097</v>
      </c>
      <c r="F311" s="210" t="s">
        <v>1098</v>
      </c>
      <c r="G311" s="191"/>
    </row>
    <row r="312" spans="4:7" ht="16.5" x14ac:dyDescent="0.3">
      <c r="D312" s="217"/>
      <c r="E312" s="192" t="s">
        <v>1099</v>
      </c>
      <c r="F312" s="210" t="s">
        <v>1100</v>
      </c>
      <c r="G312" s="191"/>
    </row>
    <row r="313" spans="4:7" ht="16.5" x14ac:dyDescent="0.3">
      <c r="D313" s="217"/>
      <c r="E313" s="192" t="s">
        <v>1101</v>
      </c>
      <c r="F313" s="210" t="s">
        <v>1102</v>
      </c>
      <c r="G313" s="191"/>
    </row>
    <row r="314" spans="4:7" ht="16.5" x14ac:dyDescent="0.3">
      <c r="D314" s="217"/>
      <c r="E314" s="192" t="s">
        <v>1103</v>
      </c>
      <c r="F314" s="210" t="s">
        <v>1104</v>
      </c>
      <c r="G314" s="191"/>
    </row>
    <row r="315" spans="4:7" ht="16.5" x14ac:dyDescent="0.3">
      <c r="D315" s="217"/>
      <c r="E315" s="192" t="s">
        <v>1105</v>
      </c>
      <c r="F315" s="210" t="s">
        <v>1106</v>
      </c>
      <c r="G315" s="191"/>
    </row>
    <row r="316" spans="4:7" ht="16.5" x14ac:dyDescent="0.3">
      <c r="D316" s="217"/>
      <c r="E316" s="192">
        <v>430078549</v>
      </c>
      <c r="F316" s="210" t="s">
        <v>1107</v>
      </c>
      <c r="G316" s="191"/>
    </row>
    <row r="317" spans="4:7" ht="16.5" x14ac:dyDescent="0.3">
      <c r="D317" s="217"/>
      <c r="E317" s="192" t="s">
        <v>1108</v>
      </c>
      <c r="F317" s="210" t="s">
        <v>1109</v>
      </c>
      <c r="G317" s="191"/>
    </row>
    <row r="318" spans="4:7" ht="16.5" x14ac:dyDescent="0.3">
      <c r="D318" s="217"/>
      <c r="E318" s="230" t="s">
        <v>1110</v>
      </c>
      <c r="F318" s="210" t="s">
        <v>1111</v>
      </c>
      <c r="G318" s="191"/>
    </row>
    <row r="319" spans="4:7" ht="16.5" x14ac:dyDescent="0.3">
      <c r="D319" s="217"/>
      <c r="E319" s="192" t="s">
        <v>1112</v>
      </c>
      <c r="F319" s="210" t="s">
        <v>1113</v>
      </c>
      <c r="G319" s="191"/>
    </row>
    <row r="320" spans="4:7" ht="16.5" x14ac:dyDescent="0.3">
      <c r="D320" s="217"/>
      <c r="E320" s="192" t="s">
        <v>1114</v>
      </c>
      <c r="F320" s="210" t="s">
        <v>1115</v>
      </c>
    </row>
    <row r="321" spans="4:6" ht="16.5" x14ac:dyDescent="0.3">
      <c r="D321" s="217"/>
      <c r="E321" s="192" t="s">
        <v>1116</v>
      </c>
      <c r="F321" s="210" t="s">
        <v>1117</v>
      </c>
    </row>
    <row r="322" spans="4:6" ht="16.5" x14ac:dyDescent="0.3">
      <c r="D322" s="217"/>
      <c r="E322" s="192" t="s">
        <v>1118</v>
      </c>
      <c r="F322" s="210" t="s">
        <v>1119</v>
      </c>
    </row>
    <row r="323" spans="4:6" ht="16.5" x14ac:dyDescent="0.3">
      <c r="D323" s="217"/>
      <c r="E323" s="192" t="s">
        <v>1120</v>
      </c>
      <c r="F323" s="200" t="s">
        <v>1121</v>
      </c>
    </row>
    <row r="324" spans="4:6" ht="16.5" x14ac:dyDescent="0.3">
      <c r="D324" s="217"/>
      <c r="E324" s="192" t="s">
        <v>1122</v>
      </c>
      <c r="F324" s="200" t="s">
        <v>1123</v>
      </c>
    </row>
    <row r="325" spans="4:6" ht="16.5" x14ac:dyDescent="0.3">
      <c r="D325" s="217"/>
      <c r="E325" s="192" t="s">
        <v>1124</v>
      </c>
      <c r="F325" s="210" t="s">
        <v>1125</v>
      </c>
    </row>
    <row r="326" spans="4:6" ht="16.5" x14ac:dyDescent="0.3">
      <c r="D326" s="217"/>
      <c r="E326" s="192" t="s">
        <v>1126</v>
      </c>
      <c r="F326" s="210" t="s">
        <v>1127</v>
      </c>
    </row>
    <row r="327" spans="4:6" ht="16.5" x14ac:dyDescent="0.3">
      <c r="D327" s="217"/>
      <c r="E327" s="192" t="s">
        <v>1128</v>
      </c>
      <c r="F327" s="210" t="s">
        <v>1129</v>
      </c>
    </row>
    <row r="328" spans="4:6" ht="16.5" x14ac:dyDescent="0.3">
      <c r="D328" s="217"/>
      <c r="E328" s="192" t="s">
        <v>1130</v>
      </c>
      <c r="F328" s="210" t="s">
        <v>1131</v>
      </c>
    </row>
    <row r="329" spans="4:6" ht="16.5" x14ac:dyDescent="0.3">
      <c r="D329" s="217"/>
      <c r="E329" s="192" t="s">
        <v>1132</v>
      </c>
      <c r="F329" s="210" t="s">
        <v>1133</v>
      </c>
    </row>
    <row r="330" spans="4:6" ht="16.5" x14ac:dyDescent="0.3">
      <c r="D330" s="217"/>
      <c r="E330" s="192" t="s">
        <v>1134</v>
      </c>
      <c r="F330" s="210" t="s">
        <v>1135</v>
      </c>
    </row>
    <row r="331" spans="4:6" ht="16.5" x14ac:dyDescent="0.3">
      <c r="D331" s="217"/>
      <c r="E331" s="192" t="s">
        <v>1136</v>
      </c>
      <c r="F331" s="210" t="s">
        <v>1137</v>
      </c>
    </row>
    <row r="332" spans="4:6" ht="16.5" x14ac:dyDescent="0.3">
      <c r="D332" s="217"/>
      <c r="E332" s="192" t="s">
        <v>1138</v>
      </c>
      <c r="F332" s="210" t="s">
        <v>1139</v>
      </c>
    </row>
    <row r="333" spans="4:6" ht="16.5" x14ac:dyDescent="0.3">
      <c r="D333" s="217"/>
      <c r="E333" s="192" t="s">
        <v>1140</v>
      </c>
      <c r="F333" s="210" t="s">
        <v>1141</v>
      </c>
    </row>
    <row r="334" spans="4:6" ht="16.5" x14ac:dyDescent="0.3">
      <c r="D334" s="217"/>
      <c r="E334" s="192"/>
      <c r="F334" s="210"/>
    </row>
    <row r="335" spans="4:6" ht="16.5" x14ac:dyDescent="0.3">
      <c r="D335" s="217"/>
      <c r="E335" s="192"/>
      <c r="F335" s="210"/>
    </row>
    <row r="336" spans="4:6" x14ac:dyDescent="0.25">
      <c r="D336" s="217"/>
    </row>
    <row r="337" spans="4:4" x14ac:dyDescent="0.25">
      <c r="D337" s="217"/>
    </row>
    <row r="338" spans="4:4" x14ac:dyDescent="0.25">
      <c r="D338" s="217"/>
    </row>
    <row r="339" spans="4:4" x14ac:dyDescent="0.25">
      <c r="D339" s="217"/>
    </row>
    <row r="340" spans="4:4" x14ac:dyDescent="0.25">
      <c r="D340" s="217"/>
    </row>
    <row r="341" spans="4:4" x14ac:dyDescent="0.25">
      <c r="D341" s="217"/>
    </row>
    <row r="342" spans="4:4" x14ac:dyDescent="0.25">
      <c r="D342" s="217"/>
    </row>
    <row r="343" spans="4:4" x14ac:dyDescent="0.25">
      <c r="D343" s="217"/>
    </row>
    <row r="344" spans="4:4" x14ac:dyDescent="0.25">
      <c r="D344" s="217"/>
    </row>
    <row r="345" spans="4:4" x14ac:dyDescent="0.25">
      <c r="D345" s="217"/>
    </row>
    <row r="346" spans="4:4" x14ac:dyDescent="0.25">
      <c r="D346" s="217"/>
    </row>
    <row r="347" spans="4:4" x14ac:dyDescent="0.25">
      <c r="D347" s="217"/>
    </row>
    <row r="348" spans="4:4" x14ac:dyDescent="0.25">
      <c r="D348" s="217"/>
    </row>
    <row r="349" spans="4:4" x14ac:dyDescent="0.25">
      <c r="D349" s="217"/>
    </row>
    <row r="350" spans="4:4" x14ac:dyDescent="0.25">
      <c r="D350" s="217"/>
    </row>
    <row r="351" spans="4:4" x14ac:dyDescent="0.25">
      <c r="D351" s="217"/>
    </row>
    <row r="352" spans="4:4" x14ac:dyDescent="0.25">
      <c r="D352" s="217"/>
    </row>
    <row r="353" spans="4:4" x14ac:dyDescent="0.25">
      <c r="D353" s="217"/>
    </row>
    <row r="354" spans="4:4" x14ac:dyDescent="0.25">
      <c r="D354" s="217"/>
    </row>
    <row r="355" spans="4:4" x14ac:dyDescent="0.25">
      <c r="D355" s="217"/>
    </row>
    <row r="356" spans="4:4" x14ac:dyDescent="0.25">
      <c r="D356" s="217"/>
    </row>
    <row r="357" spans="4:4" x14ac:dyDescent="0.25">
      <c r="D357" s="217"/>
    </row>
    <row r="358" spans="4:4" x14ac:dyDescent="0.25">
      <c r="D358" s="217"/>
    </row>
    <row r="359" spans="4:4" x14ac:dyDescent="0.25">
      <c r="D359" s="217"/>
    </row>
    <row r="360" spans="4:4" x14ac:dyDescent="0.25">
      <c r="D360" s="217"/>
    </row>
    <row r="361" spans="4:4" x14ac:dyDescent="0.25">
      <c r="D361" s="217"/>
    </row>
    <row r="362" spans="4:4" x14ac:dyDescent="0.25">
      <c r="D362" s="217"/>
    </row>
    <row r="363" spans="4:4" x14ac:dyDescent="0.25">
      <c r="D363" s="217"/>
    </row>
    <row r="364" spans="4:4" x14ac:dyDescent="0.25">
      <c r="D364" s="217"/>
    </row>
    <row r="365" spans="4:4" x14ac:dyDescent="0.25">
      <c r="D365" s="217"/>
    </row>
    <row r="366" spans="4:4" x14ac:dyDescent="0.25">
      <c r="D366" s="217"/>
    </row>
    <row r="367" spans="4:4" x14ac:dyDescent="0.25">
      <c r="D367" s="217"/>
    </row>
    <row r="368" spans="4:4" x14ac:dyDescent="0.25">
      <c r="D368" s="217"/>
    </row>
    <row r="369" spans="4:9" x14ac:dyDescent="0.25">
      <c r="D369" s="217"/>
    </row>
    <row r="370" spans="4:9" x14ac:dyDescent="0.25">
      <c r="D370" s="217"/>
    </row>
    <row r="371" spans="4:9" x14ac:dyDescent="0.25">
      <c r="D371" s="217"/>
    </row>
    <row r="372" spans="4:9" x14ac:dyDescent="0.25">
      <c r="D372" s="217"/>
    </row>
    <row r="373" spans="4:9" x14ac:dyDescent="0.25">
      <c r="D373" s="217"/>
    </row>
    <row r="374" spans="4:9" x14ac:dyDescent="0.25">
      <c r="D374" s="217"/>
    </row>
    <row r="375" spans="4:9" x14ac:dyDescent="0.25">
      <c r="D375" s="217"/>
    </row>
    <row r="376" spans="4:9" x14ac:dyDescent="0.25">
      <c r="D376" s="217"/>
    </row>
    <row r="377" spans="4:9" x14ac:dyDescent="0.25">
      <c r="D377" s="217"/>
    </row>
    <row r="378" spans="4:9" x14ac:dyDescent="0.25">
      <c r="D378" s="217"/>
    </row>
    <row r="379" spans="4:9" x14ac:dyDescent="0.25">
      <c r="D379" s="217"/>
      <c r="I379" s="191"/>
    </row>
    <row r="380" spans="4:9" x14ac:dyDescent="0.25">
      <c r="D380" s="217"/>
      <c r="I380" s="191"/>
    </row>
    <row r="381" spans="4:9" x14ac:dyDescent="0.25">
      <c r="D381" s="217"/>
      <c r="I381" s="191"/>
    </row>
    <row r="382" spans="4:9" x14ac:dyDescent="0.25">
      <c r="D382" s="217"/>
      <c r="I382" s="191"/>
    </row>
    <row r="383" spans="4:9" x14ac:dyDescent="0.25">
      <c r="D383" s="217"/>
      <c r="I383" s="191"/>
    </row>
    <row r="384" spans="4:9" x14ac:dyDescent="0.25">
      <c r="D384" s="217"/>
      <c r="I384" s="191"/>
    </row>
    <row r="385" spans="4:9" x14ac:dyDescent="0.25">
      <c r="D385" s="217"/>
      <c r="I385" s="191"/>
    </row>
    <row r="386" spans="4:9" x14ac:dyDescent="0.25">
      <c r="D386" s="217"/>
      <c r="I386" s="191"/>
    </row>
    <row r="387" spans="4:9" x14ac:dyDescent="0.25">
      <c r="D387" s="217"/>
      <c r="I387" s="191"/>
    </row>
    <row r="388" spans="4:9" x14ac:dyDescent="0.25">
      <c r="D388" s="217"/>
      <c r="I388" s="191"/>
    </row>
  </sheetData>
  <dataValidations disablePrompts="1" count="1">
    <dataValidation type="textLength" allowBlank="1" showInputMessage="1" showErrorMessage="1" errorTitle="Validacion RNC o Cedula " error="La longitud de Este Campo es la Siguiente:_x000a__x000a_RNC = 9 Posiciones _x000a_Cedula = 11 posiciones" promptTitle="Validacion RNC o Cedula " prompt="La longitud de Este Campo es la Siguiente:_x000a__x000a_RNC = 9 Posiciones _x000a_Cedula = 11 posiciones" sqref="E18 IV91 SR91 ACN91 AMJ91 AWF91 BGB91 BPX91 BZT91 CJP91 CTL91 DDH91 DND91 DWZ91 EGV91 EQR91 FAN91 FKJ91 FUF91 GEB91 GNX91 GXT91 HHP91 HRL91 IBH91 ILD91 IUZ91 JEV91 JOR91 JYN91 KIJ91 KSF91 LCB91 LLX91 LVT91 MFP91 MPL91 MZH91 NJD91 NSZ91 OCV91 OMR91 OWN91 PGJ91 PQF91 QAB91 QJX91 QTT91 RDP91 RNL91 RXH91 SHD91 SQZ91 TAV91 TKR91 TUN91 UEJ91 UOF91 UYB91 VHX91 VRT91 WBP91 WLL91 WVH91" xr:uid="{B99A59AE-921B-4C77-AB60-393E5F1EA450}">
      <formula1>9</formula1>
      <formula2>11</formula2>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7EE4-A88F-4917-BBEA-5749F5E45B7F}">
  <dimension ref="A1:U488"/>
  <sheetViews>
    <sheetView workbookViewId="0">
      <pane xSplit="1" ySplit="1" topLeftCell="B129" activePane="bottomRight" state="frozen"/>
      <selection pane="topRight" activeCell="B1" sqref="B1"/>
      <selection pane="bottomLeft" activeCell="A3" sqref="A3"/>
      <selection pane="bottomRight" activeCell="U117" sqref="U117"/>
    </sheetView>
  </sheetViews>
  <sheetFormatPr baseColWidth="10" defaultColWidth="14.85546875" defaultRowHeight="15" x14ac:dyDescent="0.25"/>
  <cols>
    <col min="1" max="1" width="16.42578125" customWidth="1"/>
    <col min="3" max="3" width="17.42578125" customWidth="1"/>
    <col min="4" max="4" width="39.5703125" bestFit="1" customWidth="1"/>
    <col min="6" max="6" width="21.140625" style="148" customWidth="1"/>
    <col min="7" max="7" width="14.85546875" style="148"/>
    <col min="8" max="8" width="14.85546875" style="191"/>
    <col min="9" max="9" width="14.85546875" style="148"/>
    <col min="11" max="11" width="14.85546875" style="148"/>
    <col min="12" max="12" width="24.5703125" customWidth="1"/>
    <col min="13" max="13" width="22.85546875" customWidth="1"/>
    <col min="14" max="14" width="19.5703125" customWidth="1"/>
    <col min="17" max="17" width="18.140625" customWidth="1"/>
    <col min="18" max="18" width="16.42578125" bestFit="1" customWidth="1"/>
    <col min="19" max="19" width="19.85546875" bestFit="1" customWidth="1"/>
    <col min="20" max="20" width="84" bestFit="1" customWidth="1"/>
  </cols>
  <sheetData>
    <row r="1" spans="1:20" ht="38.25" x14ac:dyDescent="0.25">
      <c r="A1" s="233" t="s">
        <v>1142</v>
      </c>
      <c r="B1" s="234" t="s">
        <v>1143</v>
      </c>
      <c r="C1" s="234" t="s">
        <v>1144</v>
      </c>
      <c r="D1" s="235" t="s">
        <v>1145</v>
      </c>
      <c r="E1" s="236" t="s">
        <v>1146</v>
      </c>
      <c r="F1" s="245" t="s">
        <v>1147</v>
      </c>
      <c r="G1" s="246" t="s">
        <v>453</v>
      </c>
      <c r="H1" s="238" t="s">
        <v>1148</v>
      </c>
      <c r="I1" s="246" t="s">
        <v>1149</v>
      </c>
      <c r="J1" s="237" t="s">
        <v>1150</v>
      </c>
      <c r="K1" s="237" t="s">
        <v>1151</v>
      </c>
      <c r="L1" s="245" t="s">
        <v>1152</v>
      </c>
      <c r="M1" s="237" t="s">
        <v>1153</v>
      </c>
      <c r="N1" s="239" t="s">
        <v>1154</v>
      </c>
      <c r="O1" s="239" t="s">
        <v>1155</v>
      </c>
      <c r="P1" s="239" t="s">
        <v>1156</v>
      </c>
      <c r="Q1" s="239" t="s">
        <v>1157</v>
      </c>
      <c r="R1" s="239" t="s">
        <v>1158</v>
      </c>
      <c r="S1" s="239" t="s">
        <v>1159</v>
      </c>
      <c r="T1" s="240" t="s">
        <v>1160</v>
      </c>
    </row>
    <row r="2" spans="1:20" ht="16.5" hidden="1" x14ac:dyDescent="0.3">
      <c r="A2" s="230">
        <v>430078549</v>
      </c>
      <c r="B2" s="193">
        <v>1</v>
      </c>
      <c r="C2" s="194">
        <v>12</v>
      </c>
      <c r="D2" s="195" t="str">
        <f>IF(C2=1,Leyenda!$C$3,IF(C2=2,Leyenda!$C$4,IF(C2=3,Leyenda!$C$5,IF(C2=4,Leyenda!$C$6,IF(C2=5,Leyenda!$C$7,IF(C2=6,Leyenda!$C$8,IF(C2=7,Leyenda!$C$9,IF(C2=8,Leyenda!$C$10," "))))))))&amp;IF(C2=9,Leyenda!$C$11,IF(C2=10,Leyenda!$C$12,IF(C2=11,Leyenda!$C$13,IF(C2=12,Leyenda!$C$14," "))))</f>
        <v xml:space="preserve"> GASTOS MENORES</v>
      </c>
      <c r="E2" s="243">
        <v>0</v>
      </c>
      <c r="F2" s="147">
        <v>45702</v>
      </c>
      <c r="G2" s="148" t="str">
        <f t="shared" ref="G2:G17" si="0">TEXT(F2,"MMMM")</f>
        <v>febrero</v>
      </c>
      <c r="H2" s="191">
        <v>14</v>
      </c>
      <c r="I2" s="148" t="str">
        <f>TEXT(gastos[[#This Row],[Fecha]],"DDDD")</f>
        <v>viernes</v>
      </c>
      <c r="J2" s="249">
        <f t="shared" ref="J2:J71" si="1">DATE(YEAR(F2),MONTH(F2),H2)</f>
        <v>45702</v>
      </c>
      <c r="K2" s="249" t="s">
        <v>1161</v>
      </c>
      <c r="L2" s="147" t="s">
        <v>1162</v>
      </c>
      <c r="M2" s="244">
        <v>1000</v>
      </c>
      <c r="N2" s="76">
        <v>0</v>
      </c>
      <c r="O2" s="76">
        <f t="shared" ref="O2:O16" si="2">SUM(M2:N2)</f>
        <v>1000</v>
      </c>
      <c r="P2" s="76">
        <v>0</v>
      </c>
      <c r="Q2" s="76">
        <v>0</v>
      </c>
      <c r="R2" s="76">
        <v>0</v>
      </c>
      <c r="S2" t="s">
        <v>1163</v>
      </c>
      <c r="T2" s="200" t="str">
        <f>IFERROR(VLOOKUP($A2,Tabla3[#All],2,0),"no esta registrado")</f>
        <v>Fundacion Cristiana de Consolacion y Ayuda</v>
      </c>
    </row>
    <row r="3" spans="1:20" ht="16.5" hidden="1" x14ac:dyDescent="0.3">
      <c r="A3" s="230" t="s">
        <v>1164</v>
      </c>
      <c r="B3" s="193">
        <v>1</v>
      </c>
      <c r="C3" s="194">
        <v>12</v>
      </c>
      <c r="D3" s="195" t="str">
        <f>IF(C3=1,Leyenda!$C$3,IF(C3=2,Leyenda!$C$4,IF(C3=3,Leyenda!$C$5,IF(C3=4,Leyenda!$C$6,IF(C3=5,Leyenda!$C$7,IF(C3=6,Leyenda!$C$8,IF(C3=7,Leyenda!$C$9,IF(C3=8,Leyenda!$C$10," "))))))))&amp;IF(C3=9,Leyenda!$C$11,IF(C3=10,Leyenda!$C$12,IF(C3=11,Leyenda!$C$13,IF(C3=12,Leyenda!$C$14," "))))</f>
        <v xml:space="preserve"> GASTOS MENORES</v>
      </c>
      <c r="E3" s="243">
        <v>0</v>
      </c>
      <c r="F3" s="147">
        <v>45745</v>
      </c>
      <c r="G3" s="148" t="str">
        <f t="shared" ref="G3:G8" si="3">TEXT(F3,"MMMM")</f>
        <v>marzo</v>
      </c>
      <c r="H3" s="191">
        <v>29</v>
      </c>
      <c r="I3" s="148" t="str">
        <f>TEXT(gastos[[#This Row],[Fecha]],"DDDD")</f>
        <v>sábado</v>
      </c>
      <c r="J3" s="249">
        <f t="shared" ref="J3:J8" si="4">DATE(YEAR(F3),MONTH(F3),H3)</f>
        <v>45745</v>
      </c>
      <c r="K3" s="249" t="s">
        <v>1165</v>
      </c>
      <c r="L3" s="147" t="s">
        <v>1166</v>
      </c>
      <c r="M3" s="244">
        <v>2000</v>
      </c>
      <c r="N3" s="76">
        <v>0</v>
      </c>
      <c r="O3" s="76">
        <f t="shared" ref="O3:O8" si="5">SUM(M3:N3)</f>
        <v>2000</v>
      </c>
      <c r="P3" s="76">
        <v>0</v>
      </c>
      <c r="Q3" s="76">
        <v>0</v>
      </c>
      <c r="R3" s="76">
        <v>0</v>
      </c>
      <c r="S3" t="s">
        <v>1167</v>
      </c>
      <c r="T3" s="200" t="str">
        <f>IFERROR(VLOOKUP($A3,Tabla3[#All],2,0),"no esta registrado")</f>
        <v>no esta registrado</v>
      </c>
    </row>
    <row r="4" spans="1:20" ht="16.5" hidden="1" x14ac:dyDescent="0.3">
      <c r="A4" s="230" t="s">
        <v>1164</v>
      </c>
      <c r="B4" s="193">
        <v>1</v>
      </c>
      <c r="C4" s="194">
        <v>12</v>
      </c>
      <c r="D4" s="195" t="str">
        <f>IF(C4=1,Leyenda!$C$3,IF(C4=2,Leyenda!$C$4,IF(C4=3,Leyenda!$C$5,IF(C4=4,Leyenda!$C$6,IF(C4=5,Leyenda!$C$7,IF(C4=6,Leyenda!$C$8,IF(C4=7,Leyenda!$C$9,IF(C4=8,Leyenda!$C$10," "))))))))&amp;IF(C4=9,Leyenda!$C$11,IF(C4=10,Leyenda!$C$12,IF(C4=11,Leyenda!$C$13,IF(C4=12,Leyenda!$C$14," "))))</f>
        <v xml:space="preserve"> GASTOS MENORES</v>
      </c>
      <c r="E4" s="243">
        <v>0</v>
      </c>
      <c r="F4" s="147">
        <v>45714</v>
      </c>
      <c r="G4" s="148" t="str">
        <f t="shared" si="3"/>
        <v>febrero</v>
      </c>
      <c r="H4" s="191">
        <v>29</v>
      </c>
      <c r="I4" s="148" t="str">
        <f>TEXT(gastos[[#This Row],[Fecha]],"DDDD")</f>
        <v>sábado</v>
      </c>
      <c r="J4" s="249">
        <f t="shared" si="4"/>
        <v>45717</v>
      </c>
      <c r="K4" s="249" t="s">
        <v>1168</v>
      </c>
      <c r="L4" s="147" t="s">
        <v>1166</v>
      </c>
      <c r="M4" s="244">
        <v>2000</v>
      </c>
      <c r="N4" s="76">
        <v>0</v>
      </c>
      <c r="O4" s="76">
        <f t="shared" si="5"/>
        <v>2000</v>
      </c>
      <c r="P4" s="76">
        <v>0</v>
      </c>
      <c r="Q4" s="76">
        <v>0</v>
      </c>
      <c r="R4" s="76">
        <v>0</v>
      </c>
      <c r="S4" t="s">
        <v>1167</v>
      </c>
      <c r="T4" s="200" t="str">
        <f>IFERROR(VLOOKUP($A4,Tabla3[#All],2,0),"no esta registrado")</f>
        <v>no esta registrado</v>
      </c>
    </row>
    <row r="5" spans="1:20" ht="16.5" hidden="1" x14ac:dyDescent="0.3">
      <c r="A5" s="230" t="s">
        <v>1164</v>
      </c>
      <c r="B5" s="193">
        <v>1</v>
      </c>
      <c r="C5" s="194">
        <v>12</v>
      </c>
      <c r="D5" s="195" t="str">
        <f>IF(C5=1,Leyenda!$C$3,IF(C5=2,Leyenda!$C$4,IF(C5=3,Leyenda!$C$5,IF(C5=4,Leyenda!$C$6,IF(C5=5,Leyenda!$C$7,IF(C5=6,Leyenda!$C$8,IF(C5=7,Leyenda!$C$9,IF(C5=8,Leyenda!$C$10," "))))))))&amp;IF(C5=9,Leyenda!$C$11,IF(C5=10,Leyenda!$C$12,IF(C5=11,Leyenda!$C$13,IF(C5=12,Leyenda!$C$14," "))))</f>
        <v xml:space="preserve"> GASTOS MENORES</v>
      </c>
      <c r="E5" s="243">
        <v>0</v>
      </c>
      <c r="F5" s="147">
        <v>45714</v>
      </c>
      <c r="G5" s="148" t="str">
        <f t="shared" si="3"/>
        <v>febrero</v>
      </c>
      <c r="H5" s="191">
        <v>29</v>
      </c>
      <c r="I5" s="148" t="str">
        <f>TEXT(gastos[[#This Row],[Fecha]],"DDDD")</f>
        <v>sábado</v>
      </c>
      <c r="J5" s="249">
        <f t="shared" si="4"/>
        <v>45717</v>
      </c>
      <c r="K5" s="249" t="s">
        <v>1165</v>
      </c>
      <c r="L5" s="147" t="s">
        <v>1166</v>
      </c>
      <c r="M5" s="244">
        <v>2000</v>
      </c>
      <c r="N5" s="76">
        <v>0</v>
      </c>
      <c r="O5" s="76">
        <f t="shared" si="5"/>
        <v>2000</v>
      </c>
      <c r="P5" s="76">
        <v>0</v>
      </c>
      <c r="Q5" s="76">
        <v>0</v>
      </c>
      <c r="R5" s="76">
        <v>0</v>
      </c>
      <c r="S5" t="s">
        <v>1167</v>
      </c>
      <c r="T5" s="200" t="str">
        <f>IFERROR(VLOOKUP($A5,Tabla3[#All],2,0),"no esta registrado")</f>
        <v>no esta registrado</v>
      </c>
    </row>
    <row r="6" spans="1:20" ht="16.5" hidden="1" x14ac:dyDescent="0.3">
      <c r="A6" s="230" t="s">
        <v>1164</v>
      </c>
      <c r="B6" s="193">
        <v>1</v>
      </c>
      <c r="C6" s="194">
        <v>12</v>
      </c>
      <c r="D6" s="195" t="str">
        <f>IF(C6=1,Leyenda!$C$3,IF(C6=2,Leyenda!$C$4,IF(C6=3,Leyenda!$C$5,IF(C6=4,Leyenda!$C$6,IF(C6=5,Leyenda!$C$7,IF(C6=6,Leyenda!$C$8,IF(C6=7,Leyenda!$C$9,IF(C6=8,Leyenda!$C$10," "))))))))&amp;IF(C6=9,Leyenda!$C$11,IF(C6=10,Leyenda!$C$12,IF(C6=11,Leyenda!$C$13,IF(C6=12,Leyenda!$C$14," "))))</f>
        <v xml:space="preserve"> GASTOS MENORES</v>
      </c>
      <c r="E6" s="243">
        <v>0</v>
      </c>
      <c r="F6" s="147">
        <v>45683</v>
      </c>
      <c r="G6" s="148" t="str">
        <f t="shared" si="3"/>
        <v>enero</v>
      </c>
      <c r="H6" s="191">
        <v>29</v>
      </c>
      <c r="I6" s="148" t="str">
        <f>TEXT(gastos[[#This Row],[Fecha]],"DDDD")</f>
        <v>miércoles</v>
      </c>
      <c r="J6" s="249">
        <f t="shared" si="4"/>
        <v>45686</v>
      </c>
      <c r="K6" s="249" t="s">
        <v>1168</v>
      </c>
      <c r="L6" s="147" t="s">
        <v>1166</v>
      </c>
      <c r="M6" s="244">
        <v>2000</v>
      </c>
      <c r="N6" s="76">
        <v>0</v>
      </c>
      <c r="O6" s="76">
        <f t="shared" si="5"/>
        <v>2000</v>
      </c>
      <c r="P6" s="76">
        <v>0</v>
      </c>
      <c r="Q6" s="76">
        <v>0</v>
      </c>
      <c r="R6" s="76">
        <v>0</v>
      </c>
      <c r="S6" t="s">
        <v>1167</v>
      </c>
      <c r="T6" s="200" t="str">
        <f>IFERROR(VLOOKUP($A6,Tabla3[#All],2,0),"no esta registrado")</f>
        <v>no esta registrado</v>
      </c>
    </row>
    <row r="7" spans="1:20" ht="16.5" hidden="1" x14ac:dyDescent="0.3">
      <c r="A7" s="230" t="s">
        <v>1164</v>
      </c>
      <c r="B7" s="193">
        <v>1</v>
      </c>
      <c r="C7" s="194">
        <v>12</v>
      </c>
      <c r="D7" s="195" t="str">
        <f>IF(C7=1,Leyenda!$C$3,IF(C7=2,Leyenda!$C$4,IF(C7=3,Leyenda!$C$5,IF(C7=4,Leyenda!$C$6,IF(C7=5,Leyenda!$C$7,IF(C7=6,Leyenda!$C$8,IF(C7=7,Leyenda!$C$9,IF(C7=8,Leyenda!$C$10," "))))))))&amp;IF(C7=9,Leyenda!$C$11,IF(C7=10,Leyenda!$C$12,IF(C7=11,Leyenda!$C$13,IF(C7=12,Leyenda!$C$14," "))))</f>
        <v xml:space="preserve"> GASTOS MENORES</v>
      </c>
      <c r="E7" s="243">
        <v>0</v>
      </c>
      <c r="F7" s="147">
        <v>45683</v>
      </c>
      <c r="G7" s="148" t="str">
        <f t="shared" si="3"/>
        <v>enero</v>
      </c>
      <c r="H7" s="191">
        <v>29</v>
      </c>
      <c r="I7" s="148" t="str">
        <f>TEXT(gastos[[#This Row],[Fecha]],"DDDD")</f>
        <v>miércoles</v>
      </c>
      <c r="J7" s="249">
        <f t="shared" si="4"/>
        <v>45686</v>
      </c>
      <c r="K7" s="249" t="s">
        <v>1165</v>
      </c>
      <c r="L7" s="147" t="s">
        <v>1166</v>
      </c>
      <c r="M7" s="244">
        <v>2000</v>
      </c>
      <c r="N7" s="76">
        <v>0</v>
      </c>
      <c r="O7" s="76">
        <f t="shared" si="5"/>
        <v>2000</v>
      </c>
      <c r="P7" s="76">
        <v>0</v>
      </c>
      <c r="Q7" s="76">
        <v>0</v>
      </c>
      <c r="R7" s="76">
        <v>0</v>
      </c>
      <c r="S7" t="s">
        <v>1167</v>
      </c>
      <c r="T7" s="200" t="str">
        <f>IFERROR(VLOOKUP($A7,Tabla3[#All],2,0),"no esta registrado")</f>
        <v>no esta registrado</v>
      </c>
    </row>
    <row r="8" spans="1:20" ht="16.5" hidden="1" x14ac:dyDescent="0.3">
      <c r="A8" s="230" t="s">
        <v>1164</v>
      </c>
      <c r="B8" s="193">
        <v>1</v>
      </c>
      <c r="C8" s="194">
        <v>12</v>
      </c>
      <c r="D8" s="195" t="str">
        <f>IF(C8=1,Leyenda!$C$3,IF(C8=2,Leyenda!$C$4,IF(C8=3,Leyenda!$C$5,IF(C8=4,Leyenda!$C$6,IF(C8=5,Leyenda!$C$7,IF(C8=6,Leyenda!$C$8,IF(C8=7,Leyenda!$C$9,IF(C8=8,Leyenda!$C$10," "))))))))&amp;IF(C8=9,Leyenda!$C$11,IF(C8=10,Leyenda!$C$12,IF(C8=11,Leyenda!$C$13,IF(C8=12,Leyenda!$C$14," "))))</f>
        <v xml:space="preserve"> GASTOS MENORES</v>
      </c>
      <c r="E8" s="243">
        <v>0</v>
      </c>
      <c r="F8" s="147">
        <v>45745</v>
      </c>
      <c r="G8" s="148" t="str">
        <f t="shared" si="3"/>
        <v>marzo</v>
      </c>
      <c r="H8" s="191">
        <v>29</v>
      </c>
      <c r="I8" s="148" t="str">
        <f>TEXT(gastos[[#This Row],[Fecha]],"DDDD")</f>
        <v>sábado</v>
      </c>
      <c r="J8" s="249">
        <f t="shared" si="4"/>
        <v>45745</v>
      </c>
      <c r="K8" s="249" t="s">
        <v>1168</v>
      </c>
      <c r="L8" s="147" t="s">
        <v>1166</v>
      </c>
      <c r="M8" s="244">
        <v>2000</v>
      </c>
      <c r="N8" s="76">
        <v>0</v>
      </c>
      <c r="O8" s="76">
        <f t="shared" si="5"/>
        <v>2000</v>
      </c>
      <c r="P8" s="76">
        <v>0</v>
      </c>
      <c r="Q8" s="76">
        <v>0</v>
      </c>
      <c r="R8" s="76">
        <v>0</v>
      </c>
      <c r="S8" t="s">
        <v>1167</v>
      </c>
      <c r="T8" s="200" t="str">
        <f>IFERROR(VLOOKUP($A8,Tabla3[#All],2,0),"no esta registrado")</f>
        <v>no esta registrado</v>
      </c>
    </row>
    <row r="9" spans="1:20" ht="16.5" hidden="1" x14ac:dyDescent="0.3">
      <c r="A9" s="230" t="s">
        <v>1110</v>
      </c>
      <c r="B9" s="193">
        <v>1</v>
      </c>
      <c r="C9" s="194">
        <v>2</v>
      </c>
      <c r="D9" s="195" t="str">
        <f>IF(C9=1,Leyenda!$C$3,IF(C9=2,Leyenda!$C$4,IF(C9=3,Leyenda!$C$5,IF(C9=4,Leyenda!$C$6,IF(C9=5,Leyenda!$C$7,IF(C9=6,Leyenda!$C$8,IF(C9=7,Leyenda!$C$9,IF(C9=8,Leyenda!$C$10," "))))))))&amp;IF(C9=9,Leyenda!$C$11,IF(C9=10,Leyenda!$C$12,IF(C9=11,Leyenda!$C$13,IF(C9=12,Leyenda!D74," "))))</f>
        <v xml:space="preserve">GASTOS POR TRABAJOS, SUMINISTROS Y SERVICIOS </v>
      </c>
      <c r="E9" s="243" t="s">
        <v>1169</v>
      </c>
      <c r="F9" s="147">
        <v>45701</v>
      </c>
      <c r="G9" s="148" t="str">
        <f t="shared" si="0"/>
        <v>febrero</v>
      </c>
      <c r="H9" s="191">
        <v>13</v>
      </c>
      <c r="I9" s="148" t="str">
        <f>TEXT(gastos[[#This Row],[Fecha]],"DDDD")</f>
        <v>jueves</v>
      </c>
      <c r="J9" s="249">
        <f t="shared" si="1"/>
        <v>45701</v>
      </c>
      <c r="K9" s="249" t="s">
        <v>1170</v>
      </c>
      <c r="L9" s="147" t="s">
        <v>1171</v>
      </c>
      <c r="M9" s="244">
        <v>500</v>
      </c>
      <c r="N9" s="76">
        <v>0</v>
      </c>
      <c r="O9" s="76">
        <f t="shared" si="2"/>
        <v>500</v>
      </c>
      <c r="P9" s="76">
        <v>90</v>
      </c>
      <c r="Q9" s="76">
        <v>0</v>
      </c>
      <c r="R9" s="76">
        <v>50</v>
      </c>
      <c r="S9" t="s">
        <v>1163</v>
      </c>
      <c r="T9" s="200" t="str">
        <f>IFERROR(VLOOKUP($A9,Tabla3[#All],2,0),"no esta registrado")</f>
        <v>NOCCIOLA FOOD HALL SRL</v>
      </c>
    </row>
    <row r="10" spans="1:20" ht="16.5" x14ac:dyDescent="0.3">
      <c r="A10" s="230" t="s">
        <v>909</v>
      </c>
      <c r="B10" s="193">
        <v>1</v>
      </c>
      <c r="C10" s="194">
        <v>4</v>
      </c>
      <c r="D10" s="195" t="str">
        <f>IF(C10=1,Leyenda!$C$3,IF(C10=2,Leyenda!$C$4,IF(C10=3,Leyenda!$C$5,IF(C10=4,Leyenda!$C$6,IF(C10=5,Leyenda!$C$7,IF(C10=6,Leyenda!$C$8,IF(C10=7,Leyenda!$C$9,IF(C10=8,Leyenda!$C$10," "))))))))&amp;IF(C10=9,Leyenda!$C$11,IF(C10=10,Leyenda!$C$12,IF(C10=11,Leyenda!$C$13,IF(C10=12,Leyenda!D74," "))))</f>
        <v xml:space="preserve">GASTOS DE ACTIVOS FIJO </v>
      </c>
      <c r="E10" s="243" t="s">
        <v>1172</v>
      </c>
      <c r="F10" s="147">
        <v>45763</v>
      </c>
      <c r="G10" s="148" t="str">
        <f t="shared" si="0"/>
        <v>abril</v>
      </c>
      <c r="H10" s="191">
        <v>16</v>
      </c>
      <c r="I10" s="148" t="str">
        <f>TEXT(gastos[[#This Row],[Fecha]],"DDDD")</f>
        <v>miércoles</v>
      </c>
      <c r="J10" s="249">
        <f t="shared" si="1"/>
        <v>45763</v>
      </c>
      <c r="K10" s="249" t="s">
        <v>1170</v>
      </c>
      <c r="L10" s="147" t="s">
        <v>1173</v>
      </c>
      <c r="M10" s="244">
        <v>4662</v>
      </c>
      <c r="N10" s="76">
        <v>0</v>
      </c>
      <c r="O10" s="76">
        <f t="shared" si="2"/>
        <v>4662</v>
      </c>
      <c r="P10" s="76">
        <v>0</v>
      </c>
      <c r="Q10" s="76">
        <v>0</v>
      </c>
      <c r="R10" s="76">
        <v>0</v>
      </c>
      <c r="S10" t="s">
        <v>1163</v>
      </c>
      <c r="T10" s="200" t="str">
        <f>IFERROR(VLOOKUP($A10,Tabla3[#All],2,0),"no esta registrado")</f>
        <v>Strata, S.R.L.</v>
      </c>
    </row>
    <row r="11" spans="1:20" ht="16.5" hidden="1" x14ac:dyDescent="0.3">
      <c r="A11" s="230" t="s">
        <v>909</v>
      </c>
      <c r="B11" s="193">
        <v>1</v>
      </c>
      <c r="C11" s="194">
        <v>4</v>
      </c>
      <c r="D11" s="195" t="str">
        <f>IF(C11=1,Leyenda!$C$3,IF(C11=2,Leyenda!$C$4,IF(C11=3,Leyenda!$C$5,IF(C11=4,Leyenda!$C$6,IF(C11=5,Leyenda!$C$7,IF(C11=6,Leyenda!$C$8,IF(C11=7,Leyenda!$C$9,IF(C11=8,Leyenda!$C$10," "))))))))&amp;IF(C11=9,Leyenda!$C$11,IF(C11=10,Leyenda!$C$12,IF(C11=11,Leyenda!$C$13,IF(C11=12,Leyenda!D74," "))))</f>
        <v xml:space="preserve">GASTOS DE ACTIVOS FIJO </v>
      </c>
      <c r="E11" s="243" t="s">
        <v>1174</v>
      </c>
      <c r="F11" s="147">
        <v>45675</v>
      </c>
      <c r="G11" s="148" t="str">
        <f t="shared" si="0"/>
        <v>enero</v>
      </c>
      <c r="H11" s="191">
        <v>18</v>
      </c>
      <c r="I11" s="148" t="str">
        <f>TEXT(gastos[[#This Row],[Fecha]],"DDDD")</f>
        <v>sábado</v>
      </c>
      <c r="J11" s="249">
        <f t="shared" si="1"/>
        <v>45675</v>
      </c>
      <c r="K11" s="249" t="s">
        <v>1170</v>
      </c>
      <c r="L11" s="147" t="s">
        <v>1173</v>
      </c>
      <c r="M11" s="244">
        <v>4702</v>
      </c>
      <c r="N11" s="76">
        <v>0</v>
      </c>
      <c r="O11" s="76">
        <f t="shared" si="2"/>
        <v>4702</v>
      </c>
      <c r="P11" s="76">
        <v>0</v>
      </c>
      <c r="Q11" s="76">
        <v>0</v>
      </c>
      <c r="R11" s="76">
        <v>0</v>
      </c>
      <c r="S11" t="s">
        <v>1163</v>
      </c>
      <c r="T11" s="200" t="str">
        <f>IFERROR(VLOOKUP($A11,Tabla3[#All],2,0),"no esta registrado")</f>
        <v>Strata, S.R.L.</v>
      </c>
    </row>
    <row r="12" spans="1:20" ht="16.5" hidden="1" x14ac:dyDescent="0.3">
      <c r="A12" s="230" t="s">
        <v>909</v>
      </c>
      <c r="B12" s="193">
        <v>1</v>
      </c>
      <c r="C12" s="194">
        <v>4</v>
      </c>
      <c r="D12" s="195" t="str">
        <f>IF(C12=1,Leyenda!$C$3,IF(C12=2,Leyenda!$C$4,IF(C12=3,Leyenda!$C$5,IF(C12=4,Leyenda!$C$6,IF(C12=5,Leyenda!$C$7,IF(C12=6,Leyenda!$C$8,IF(C12=7,Leyenda!$C$9,IF(C12=8,Leyenda!$C$10," "))))))))&amp;IF(C12=9,Leyenda!$C$11,IF(C12=10,Leyenda!$C$12,IF(C12=11,Leyenda!$C$13,IF(C12=12,Leyenda!D74," "))))</f>
        <v xml:space="preserve">GASTOS DE ACTIVOS FIJO </v>
      </c>
      <c r="E12" s="243" t="s">
        <v>1175</v>
      </c>
      <c r="F12" s="147">
        <v>45738</v>
      </c>
      <c r="G12" s="148" t="str">
        <f t="shared" si="0"/>
        <v>marzo</v>
      </c>
      <c r="H12" s="191">
        <v>22</v>
      </c>
      <c r="I12" s="148" t="str">
        <f>TEXT(gastos[[#This Row],[Fecha]],"DDDD")</f>
        <v>sábado</v>
      </c>
      <c r="J12" s="249">
        <f t="shared" si="1"/>
        <v>45738</v>
      </c>
      <c r="K12" s="249" t="s">
        <v>1170</v>
      </c>
      <c r="L12" s="147" t="s">
        <v>1173</v>
      </c>
      <c r="M12" s="244">
        <v>4822.8999999999996</v>
      </c>
      <c r="N12" s="76">
        <v>0</v>
      </c>
      <c r="O12" s="76">
        <f t="shared" si="2"/>
        <v>4822.8999999999996</v>
      </c>
      <c r="P12" s="76">
        <v>0</v>
      </c>
      <c r="Q12" s="76">
        <v>0</v>
      </c>
      <c r="R12" s="76">
        <v>0</v>
      </c>
      <c r="S12" t="s">
        <v>1163</v>
      </c>
      <c r="T12" s="200" t="str">
        <f>IFERROR(VLOOKUP($A12,Tabla3[#All],2,0),"no esta registrado")</f>
        <v>Strata, S.R.L.</v>
      </c>
    </row>
    <row r="13" spans="1:20" ht="16.5" hidden="1" x14ac:dyDescent="0.3">
      <c r="A13" s="230" t="s">
        <v>909</v>
      </c>
      <c r="B13" s="193">
        <v>1</v>
      </c>
      <c r="C13" s="194">
        <v>4</v>
      </c>
      <c r="D13" s="195" t="str">
        <f>IF(C13=1,Leyenda!$C$3,IF(C13=2,Leyenda!$C$4,IF(C13=3,Leyenda!$C$5,IF(C13=4,Leyenda!$C$6,IF(C13=5,Leyenda!$C$7,IF(C13=6,Leyenda!$C$8,IF(C13=7,Leyenda!$C$9,IF(C13=8,Leyenda!$C$10," "))))))))&amp;IF(C13=9,Leyenda!$C$11,IF(C13=10,Leyenda!$C$12,IF(C13=11,Leyenda!$C$13,IF(C13=12,Leyenda!D74," "))))</f>
        <v xml:space="preserve">GASTOS DE ACTIVOS FIJO </v>
      </c>
      <c r="E13" s="243" t="s">
        <v>1176</v>
      </c>
      <c r="F13" s="147">
        <v>45723</v>
      </c>
      <c r="G13" s="148" t="str">
        <f t="shared" si="0"/>
        <v>marzo</v>
      </c>
      <c r="H13" s="191">
        <v>7</v>
      </c>
      <c r="I13" s="148" t="str">
        <f>TEXT(gastos[[#This Row],[Fecha]],"DDDD")</f>
        <v>viernes</v>
      </c>
      <c r="J13" s="249">
        <f t="shared" si="1"/>
        <v>45723</v>
      </c>
      <c r="K13" s="249" t="s">
        <v>1170</v>
      </c>
      <c r="L13" s="147" t="s">
        <v>1173</v>
      </c>
      <c r="M13" s="244">
        <v>4867</v>
      </c>
      <c r="N13" s="76">
        <v>0</v>
      </c>
      <c r="O13" s="76">
        <f t="shared" si="2"/>
        <v>4867</v>
      </c>
      <c r="P13" s="76">
        <v>0</v>
      </c>
      <c r="Q13" s="76">
        <v>0</v>
      </c>
      <c r="R13" s="76">
        <v>0</v>
      </c>
      <c r="S13" t="s">
        <v>1163</v>
      </c>
      <c r="T13" s="200" t="str">
        <f>IFERROR(VLOOKUP($A13,Tabla3[#All],2,0),"no esta registrado")</f>
        <v>Strata, S.R.L.</v>
      </c>
    </row>
    <row r="14" spans="1:20" ht="16.5" hidden="1" x14ac:dyDescent="0.3">
      <c r="A14" s="230" t="s">
        <v>577</v>
      </c>
      <c r="B14" s="193">
        <v>1</v>
      </c>
      <c r="C14" s="194">
        <v>4</v>
      </c>
      <c r="D14" s="195" t="str">
        <f>IF(C14=1,Leyenda!$C$3,IF(C14=2,Leyenda!$C$4,IF(C14=3,Leyenda!$C$5,IF(C14=4,Leyenda!$C$6,IF(C14=5,Leyenda!$C$7,IF(C14=6,Leyenda!$C$8,IF(C14=7,Leyenda!$C$9,IF(C14=8,Leyenda!$C$10," "))))))))&amp;IF(C14=9,Leyenda!$C$11,IF(C14=10,Leyenda!$C$12,IF(C14=11,Leyenda!$C$13,IF(C14=12,Leyenda!D74," "))))</f>
        <v xml:space="preserve">GASTOS DE ACTIVOS FIJO </v>
      </c>
      <c r="E14" s="243" t="s">
        <v>1177</v>
      </c>
      <c r="F14" s="147">
        <v>45692</v>
      </c>
      <c r="G14" s="148" t="str">
        <f t="shared" si="0"/>
        <v>febrero</v>
      </c>
      <c r="H14" s="191">
        <v>4</v>
      </c>
      <c r="I14" s="148" t="str">
        <f>TEXT(gastos[[#This Row],[Fecha]],"DDDD")</f>
        <v>martes</v>
      </c>
      <c r="J14" s="249">
        <f t="shared" si="1"/>
        <v>45692</v>
      </c>
      <c r="K14" s="249" t="s">
        <v>1178</v>
      </c>
      <c r="L14" s="147" t="s">
        <v>1179</v>
      </c>
      <c r="M14" s="244">
        <v>1458</v>
      </c>
      <c r="N14" s="76">
        <v>0</v>
      </c>
      <c r="O14" s="76">
        <f t="shared" si="2"/>
        <v>1458</v>
      </c>
      <c r="P14" s="76">
        <v>0</v>
      </c>
      <c r="Q14" s="76">
        <v>0</v>
      </c>
      <c r="R14" s="76">
        <v>0</v>
      </c>
      <c r="S14" t="s">
        <v>1163</v>
      </c>
      <c r="T14" s="200" t="str">
        <f>IFERROR(VLOOKUP($A14,Tabla3[#All],2,0),"no esta registrado")</f>
        <v>Isla Dominicana de Petroleo, Corp.</v>
      </c>
    </row>
    <row r="15" spans="1:20" ht="16.5" hidden="1" x14ac:dyDescent="0.3">
      <c r="A15" s="230" t="s">
        <v>909</v>
      </c>
      <c r="B15" s="193">
        <v>1</v>
      </c>
      <c r="C15" s="194">
        <v>4</v>
      </c>
      <c r="D15" s="195" t="str">
        <f>IF(C15=1,Leyenda!$C$3,IF(C15=2,Leyenda!$C$4,IF(C15=3,Leyenda!$C$5,IF(C15=4,Leyenda!$C$6,IF(C15=5,Leyenda!$C$7,IF(C15=6,Leyenda!$C$8,IF(C15=7,Leyenda!$C$9,IF(C15=8,Leyenda!$C$10," "))))))))&amp;IF(C15=9,Leyenda!$C$11,IF(C15=10,Leyenda!$C$12,IF(C15=11,Leyenda!$C$13,IF(C15=12,Leyenda!D74," "))))</f>
        <v xml:space="preserve">GASTOS DE ACTIVOS FIJO </v>
      </c>
      <c r="E15" s="243" t="s">
        <v>1180</v>
      </c>
      <c r="F15" s="147">
        <v>45700</v>
      </c>
      <c r="G15" s="148" t="str">
        <f t="shared" si="0"/>
        <v>febrero</v>
      </c>
      <c r="H15" s="191">
        <v>12</v>
      </c>
      <c r="I15" s="148" t="str">
        <f>TEXT(gastos[[#This Row],[Fecha]],"DDDD")</f>
        <v>miércoles</v>
      </c>
      <c r="J15" s="249">
        <f t="shared" si="1"/>
        <v>45700</v>
      </c>
      <c r="K15" s="249" t="s">
        <v>1170</v>
      </c>
      <c r="L15" s="147" t="s">
        <v>1173</v>
      </c>
      <c r="M15" s="244">
        <v>4722</v>
      </c>
      <c r="N15" s="76">
        <v>0</v>
      </c>
      <c r="O15" s="76">
        <f t="shared" si="2"/>
        <v>4722</v>
      </c>
      <c r="P15" s="76">
        <v>0</v>
      </c>
      <c r="Q15" s="76">
        <v>0</v>
      </c>
      <c r="R15" s="76">
        <v>0</v>
      </c>
      <c r="S15" t="s">
        <v>1163</v>
      </c>
      <c r="T15" s="200" t="str">
        <f>IFERROR(VLOOKUP($A15,Tabla3[#All],2,0),"no esta registrado")</f>
        <v>Strata, S.R.L.</v>
      </c>
    </row>
    <row r="16" spans="1:20" ht="16.5" hidden="1" x14ac:dyDescent="0.3">
      <c r="A16" s="230" t="s">
        <v>1108</v>
      </c>
      <c r="B16" s="193">
        <v>1</v>
      </c>
      <c r="C16" s="194">
        <v>4</v>
      </c>
      <c r="D16" s="195" t="str">
        <f>IF(C16=1,Leyenda!$C$3,IF(C16=2,Leyenda!$C$4,IF(C16=3,Leyenda!$C$5,IF(C16=4,Leyenda!$C$6,IF(C16=5,Leyenda!$C$7,IF(C16=6,Leyenda!$C$8,IF(C16=7,Leyenda!$C$9,IF(C16=8,Leyenda!$C$10," "))))))))&amp;IF(C16=9,Leyenda!$C$11,IF(C16=10,Leyenda!$C$12,IF(C16=11,Leyenda!$C$13,IF(C16=12,Leyenda!D74," "))))</f>
        <v xml:space="preserve">GASTOS DE ACTIVOS FIJO </v>
      </c>
      <c r="E16" s="243" t="s">
        <v>1181</v>
      </c>
      <c r="F16" s="147">
        <v>45728</v>
      </c>
      <c r="G16" s="148" t="str">
        <f t="shared" si="0"/>
        <v>marzo</v>
      </c>
      <c r="H16" s="191">
        <v>12</v>
      </c>
      <c r="I16" s="148" t="str">
        <f>TEXT(gastos[[#This Row],[Fecha]],"DDDD")</f>
        <v>miércoles</v>
      </c>
      <c r="J16" s="249">
        <f t="shared" si="1"/>
        <v>45728</v>
      </c>
      <c r="K16" s="249" t="s">
        <v>1178</v>
      </c>
      <c r="L16" s="147" t="s">
        <v>1179</v>
      </c>
      <c r="M16" s="244">
        <v>1578</v>
      </c>
      <c r="N16" s="76">
        <v>0</v>
      </c>
      <c r="O16" s="76">
        <f t="shared" si="2"/>
        <v>1578</v>
      </c>
      <c r="P16" s="76">
        <v>0</v>
      </c>
      <c r="Q16" s="76">
        <v>0</v>
      </c>
      <c r="R16" s="76">
        <v>0</v>
      </c>
      <c r="S16" t="s">
        <v>1163</v>
      </c>
      <c r="T16" s="200" t="str">
        <f>IFERROR(VLOOKUP($A16,Tabla3[#All],2,0),"no esta registrado")</f>
        <v>Envasadora Gas Caribe Principal</v>
      </c>
    </row>
    <row r="17" spans="1:21" ht="16.5" hidden="1" x14ac:dyDescent="0.3">
      <c r="A17" s="230" t="s">
        <v>909</v>
      </c>
      <c r="B17" s="193">
        <v>1</v>
      </c>
      <c r="C17" s="194">
        <v>4</v>
      </c>
      <c r="D17" s="195" t="str">
        <f>IF(C17=1,Leyenda!$C$3,IF(C17=2,Leyenda!$C$4,IF(C17=3,Leyenda!$C$5,IF(C17=4,Leyenda!$C$6,IF(C17=5,Leyenda!$C$7,IF(C17=6,Leyenda!$C$8,IF(C17=7,Leyenda!$C$9,IF(C17=8,Leyenda!$C$10," "))))))))&amp;IF(C17=9,Leyenda!$C$11,IF(C17=10,Leyenda!$C$12,IF(C17=11,Leyenda!$C$13,IF(C17=12,Leyenda!D74," "))))</f>
        <v xml:space="preserve">GASTOS DE ACTIVOS FIJO </v>
      </c>
      <c r="E17" s="196" t="s">
        <v>1182</v>
      </c>
      <c r="F17" s="248">
        <v>45316</v>
      </c>
      <c r="G17" s="247" t="str">
        <f t="shared" si="0"/>
        <v>enero</v>
      </c>
      <c r="H17" s="191">
        <v>25</v>
      </c>
      <c r="I17" s="148" t="str">
        <f>TEXT(gastos[[#This Row],[Fecha]],"DDDD")</f>
        <v>jueves</v>
      </c>
      <c r="J17" s="249">
        <f t="shared" si="1"/>
        <v>45316</v>
      </c>
      <c r="K17" s="249"/>
      <c r="L17" s="147"/>
      <c r="M17" s="197">
        <v>0</v>
      </c>
      <c r="N17" s="197">
        <v>3560</v>
      </c>
      <c r="O17" s="198">
        <f t="shared" ref="O17:O48" si="6">SUM(M17:N17)</f>
        <v>3560</v>
      </c>
      <c r="P17" s="199">
        <v>0</v>
      </c>
      <c r="Q17" s="199">
        <v>0</v>
      </c>
      <c r="R17" s="199">
        <v>0</v>
      </c>
      <c r="S17" s="199">
        <v>0</v>
      </c>
      <c r="T17" s="200" t="str">
        <f>VLOOKUP($A17,Tabla3[#All],2,0)</f>
        <v>Strata, S.R.L.</v>
      </c>
    </row>
    <row r="18" spans="1:21" ht="16.5" hidden="1" x14ac:dyDescent="0.3">
      <c r="A18" s="230" t="s">
        <v>909</v>
      </c>
      <c r="B18" s="193">
        <v>1</v>
      </c>
      <c r="C18" s="194">
        <v>4</v>
      </c>
      <c r="D18" s="195" t="str">
        <f>IF(C18=1,Leyenda!$C$3,IF(C18=2,Leyenda!$C$4,IF(C18=3,Leyenda!$C$5,IF(C18=4,Leyenda!$C$6,IF(C18=5,Leyenda!$C$7,IF(C18=6,Leyenda!$C$8,IF(C18=7,Leyenda!$C$9,IF(C18=8,Leyenda!$C$10," "))))))))&amp;IF(C18=9,Leyenda!$C$11,IF(C18=10,Leyenda!$C$12,IF(C18=11,Leyenda!$C$13,IF(C18=12,Leyenda!D75," "))))</f>
        <v xml:space="preserve">GASTOS DE ACTIVOS FIJO </v>
      </c>
      <c r="E18" s="196" t="s">
        <v>1183</v>
      </c>
      <c r="F18" s="247">
        <v>45301</v>
      </c>
      <c r="G18" s="247" t="str">
        <f t="shared" ref="G18:G81" si="7">TEXT(F18,"MMMM")</f>
        <v>enero</v>
      </c>
      <c r="H18" s="191">
        <v>10</v>
      </c>
      <c r="I18" s="148" t="str">
        <f>TEXT(gastos[[#This Row],[Fecha]],"DDDD")</f>
        <v>miércoles</v>
      </c>
      <c r="J18" s="249">
        <f t="shared" si="1"/>
        <v>45301</v>
      </c>
      <c r="K18" s="249"/>
      <c r="L18" s="147"/>
      <c r="M18" s="197">
        <v>0</v>
      </c>
      <c r="N18" s="197">
        <v>3500</v>
      </c>
      <c r="O18" s="198">
        <f t="shared" si="6"/>
        <v>3500</v>
      </c>
      <c r="P18" s="199">
        <v>0</v>
      </c>
      <c r="Q18" s="199">
        <v>0</v>
      </c>
      <c r="R18" s="199">
        <v>0</v>
      </c>
      <c r="S18" s="199">
        <v>0</v>
      </c>
      <c r="T18" s="200" t="str">
        <f>VLOOKUP($A18,Tabla3[#All],2,0)</f>
        <v>Strata, S.R.L.</v>
      </c>
    </row>
    <row r="19" spans="1:21" ht="16.5" hidden="1" x14ac:dyDescent="0.3">
      <c r="A19" s="230" t="s">
        <v>909</v>
      </c>
      <c r="B19" s="193">
        <v>1</v>
      </c>
      <c r="C19" s="194">
        <v>4</v>
      </c>
      <c r="D19" s="195" t="str">
        <f>IF(C19=1,Leyenda!$C$3,IF(C19=2,Leyenda!$C$4,IF(C19=3,Leyenda!$C$5,IF(C19=4,Leyenda!$C$6,IF(C19=5,Leyenda!$C$7,IF(C19=6,Leyenda!$C$8,IF(C19=7,Leyenda!$C$9,IF(C19=8,Leyenda!$C$10," "))))))))&amp;IF(C19=9,Leyenda!$C$11,IF(C19=10,Leyenda!$C$12,IF(C19=11,Leyenda!$C$13,IF(C19=12,Leyenda!D76," "))))</f>
        <v xml:space="preserve">GASTOS DE ACTIVOS FIJO </v>
      </c>
      <c r="E19" s="196" t="s">
        <v>1184</v>
      </c>
      <c r="F19" s="247">
        <v>45292</v>
      </c>
      <c r="G19" s="247" t="str">
        <f t="shared" si="7"/>
        <v>enero</v>
      </c>
      <c r="H19" s="191">
        <v>1</v>
      </c>
      <c r="I19" s="148" t="str">
        <f>TEXT(gastos[[#This Row],[Fecha]],"DDDD")</f>
        <v>lunes</v>
      </c>
      <c r="J19" s="249">
        <f t="shared" si="1"/>
        <v>45292</v>
      </c>
      <c r="K19" s="249"/>
      <c r="L19" s="147"/>
      <c r="M19" s="197">
        <v>0</v>
      </c>
      <c r="N19" s="197">
        <v>3384</v>
      </c>
      <c r="O19" s="198">
        <f t="shared" si="6"/>
        <v>3384</v>
      </c>
      <c r="P19" s="199">
        <v>0</v>
      </c>
      <c r="Q19" s="199">
        <v>0</v>
      </c>
      <c r="R19" s="199">
        <v>0</v>
      </c>
      <c r="S19" s="199">
        <v>0</v>
      </c>
      <c r="T19" s="200" t="str">
        <f>VLOOKUP($A19,Tabla3[#All],2,0)</f>
        <v>Strata, S.R.L.</v>
      </c>
      <c r="U19" s="76"/>
    </row>
    <row r="20" spans="1:21" ht="16.5" hidden="1" x14ac:dyDescent="0.3">
      <c r="A20" s="230" t="s">
        <v>1185</v>
      </c>
      <c r="B20" s="193">
        <v>2</v>
      </c>
      <c r="C20" s="194">
        <v>2</v>
      </c>
      <c r="D20" s="195" t="str">
        <f>IF(C20=1,Leyenda!$C$3,IF(C20=2,Leyenda!$C$4,IF(C20=3,Leyenda!$C$5,IF(C20=4,Leyenda!$C$6,IF(C20=5,Leyenda!$C$7,IF(C20=6,Leyenda!$C$8,IF(C20=7,Leyenda!$C$9,IF(C20=8,Leyenda!$C$10," "))))))))&amp;IF(C20=9,Leyenda!$C$11,IF(C20=10,Leyenda!$C$12,IF(C20=11,Leyenda!$C$13,IF(C20=12,Leyenda!D77," "))))</f>
        <v xml:space="preserve">GASTOS POR TRABAJOS, SUMINISTROS Y SERVICIOS </v>
      </c>
      <c r="E20" s="196" t="s">
        <v>1186</v>
      </c>
      <c r="F20" s="247">
        <v>45307</v>
      </c>
      <c r="G20" s="247" t="str">
        <f t="shared" si="7"/>
        <v>enero</v>
      </c>
      <c r="H20" s="191">
        <v>16</v>
      </c>
      <c r="I20" s="148" t="str">
        <f>TEXT(gastos[[#This Row],[Fecha]],"DDDD")</f>
        <v>martes</v>
      </c>
      <c r="J20" s="249">
        <f t="shared" si="1"/>
        <v>45307</v>
      </c>
      <c r="K20" s="249"/>
      <c r="L20" s="147"/>
      <c r="M20" s="197">
        <v>0</v>
      </c>
      <c r="N20" s="197">
        <f>1500-228.81</f>
        <v>1271.19</v>
      </c>
      <c r="O20" s="198">
        <f t="shared" si="6"/>
        <v>1271.19</v>
      </c>
      <c r="P20" s="199">
        <v>228.81</v>
      </c>
      <c r="Q20" s="199">
        <v>0</v>
      </c>
      <c r="R20" s="199">
        <v>0</v>
      </c>
      <c r="S20" s="199">
        <v>0</v>
      </c>
      <c r="T20" s="200" t="str">
        <f>IFERROR(VLOOKUP($A20,Tabla3[#All],2,0),"no esta registrado")</f>
        <v>no esta registrado</v>
      </c>
    </row>
    <row r="21" spans="1:21" ht="16.5" hidden="1" x14ac:dyDescent="0.3">
      <c r="A21" s="230" t="s">
        <v>1132</v>
      </c>
      <c r="B21" s="193">
        <v>1</v>
      </c>
      <c r="C21" s="194">
        <v>2</v>
      </c>
      <c r="D21" s="195" t="str">
        <f>IF(C21=1,Leyenda!$C$3,IF(C21=2,Leyenda!$C$4,IF(C21=3,Leyenda!$C$5,IF(C21=4,Leyenda!$C$6,IF(C21=5,Leyenda!$C$7,IF(C21=6,Leyenda!$C$8,IF(C21=7,Leyenda!$C$9,IF(C21=8,Leyenda!$C$10," "))))))))&amp;IF(C21=9,Leyenda!$C$11,IF(C21=10,Leyenda!$C$12,IF(C21=11,Leyenda!$C$13,IF(C21=12,Leyenda!D78," "))))</f>
        <v xml:space="preserve">GASTOS POR TRABAJOS, SUMINISTROS Y SERVICIOS </v>
      </c>
      <c r="E21" s="196" t="s">
        <v>1187</v>
      </c>
      <c r="F21" s="247">
        <v>45295</v>
      </c>
      <c r="G21" s="247" t="str">
        <f t="shared" si="7"/>
        <v>enero</v>
      </c>
      <c r="H21" s="191">
        <v>4</v>
      </c>
      <c r="I21" s="148" t="str">
        <f>TEXT(gastos[[#This Row],[Fecha]],"DDDD")</f>
        <v>jueves</v>
      </c>
      <c r="J21" s="249">
        <f t="shared" si="1"/>
        <v>45295</v>
      </c>
      <c r="K21" s="249"/>
      <c r="L21" s="147"/>
      <c r="M21" s="197">
        <v>0</v>
      </c>
      <c r="N21" s="197">
        <v>622.89</v>
      </c>
      <c r="O21" s="198">
        <f t="shared" si="6"/>
        <v>622.89</v>
      </c>
      <c r="P21" s="199">
        <v>112.13</v>
      </c>
      <c r="Q21" s="199">
        <v>0</v>
      </c>
      <c r="R21" s="199">
        <v>0</v>
      </c>
      <c r="S21" s="199">
        <v>0</v>
      </c>
      <c r="T21" s="200" t="str">
        <f>IFERROR(VLOOKUP($A21,Tabla3[#All],2,0),"no esta registrado")</f>
        <v>Grupo VARNET</v>
      </c>
    </row>
    <row r="22" spans="1:21" ht="16.5" hidden="1" x14ac:dyDescent="0.3">
      <c r="A22" s="230" t="s">
        <v>685</v>
      </c>
      <c r="B22" s="193">
        <v>1</v>
      </c>
      <c r="C22" s="194">
        <v>2</v>
      </c>
      <c r="D22" s="195" t="str">
        <f>IF(C22=1,Leyenda!$C$3,IF(C22=2,Leyenda!$C$4,IF(C22=3,Leyenda!$C$5,IF(C22=4,Leyenda!$C$6,IF(C22=5,Leyenda!$C$7,IF(C22=6,Leyenda!$C$8,IF(C22=7,Leyenda!$C$9,IF(C22=8,Leyenda!$C$10," "))))))))&amp;IF(C22=9,Leyenda!$C$11,IF(C22=10,Leyenda!$C$12,IF(C22=11,Leyenda!$C$13,IF(C22=12,Leyenda!D79," "))))</f>
        <v xml:space="preserve">GASTOS POR TRABAJOS, SUMINISTROS Y SERVICIOS </v>
      </c>
      <c r="E22" s="196" t="s">
        <v>1188</v>
      </c>
      <c r="F22" s="247">
        <v>45305</v>
      </c>
      <c r="G22" s="247" t="str">
        <f t="shared" si="7"/>
        <v>enero</v>
      </c>
      <c r="H22" s="191">
        <v>14</v>
      </c>
      <c r="I22" s="148" t="str">
        <f>TEXT(gastos[[#This Row],[Fecha]],"DDDD")</f>
        <v>domingo</v>
      </c>
      <c r="J22" s="249">
        <f t="shared" si="1"/>
        <v>45305</v>
      </c>
      <c r="K22" s="249"/>
      <c r="L22" s="147"/>
      <c r="M22" s="197">
        <v>0</v>
      </c>
      <c r="N22" s="197">
        <v>794.49</v>
      </c>
      <c r="O22" s="198">
        <f t="shared" si="6"/>
        <v>794.49</v>
      </c>
      <c r="P22" s="199">
        <v>143.01</v>
      </c>
      <c r="Q22" s="199">
        <v>0</v>
      </c>
      <c r="R22" s="199">
        <v>0</v>
      </c>
      <c r="S22" s="199">
        <v>0</v>
      </c>
      <c r="T22" s="200" t="str">
        <f>IFERROR(VLOOKUP($A22,Tabla3[#All],2,0),"no esta registrado")</f>
        <v>Payless Shoesource</v>
      </c>
    </row>
    <row r="23" spans="1:21" ht="16.5" hidden="1" x14ac:dyDescent="0.3">
      <c r="A23" s="230" t="s">
        <v>511</v>
      </c>
      <c r="B23" s="193">
        <v>1</v>
      </c>
      <c r="C23" s="194">
        <v>2</v>
      </c>
      <c r="D23" s="195" t="str">
        <f>IF(C23=1,Leyenda!$C$3,IF(C23=2,Leyenda!$C$4,IF(C23=3,Leyenda!$C$5,IF(C23=4,Leyenda!$C$6,IF(C23=5,Leyenda!$C$7,IF(C23=6,Leyenda!$C$8,IF(C23=7,Leyenda!$C$9,IF(C23=8,Leyenda!$C$10," "))))))))&amp;IF(C23=9,Leyenda!$C$11,IF(C23=10,Leyenda!$C$12,IF(C23=11,Leyenda!$C$13,IF(C23=12,Leyenda!D80," "))))</f>
        <v xml:space="preserve">GASTOS POR TRABAJOS, SUMINISTROS Y SERVICIOS </v>
      </c>
      <c r="E23" s="196" t="s">
        <v>1189</v>
      </c>
      <c r="F23" s="247">
        <v>45297</v>
      </c>
      <c r="G23" s="247" t="str">
        <f t="shared" si="7"/>
        <v>enero</v>
      </c>
      <c r="H23" s="191">
        <v>6</v>
      </c>
      <c r="I23" s="148" t="str">
        <f>TEXT(gastos[[#This Row],[Fecha]],"DDDD")</f>
        <v>sábado</v>
      </c>
      <c r="J23" s="249">
        <f t="shared" si="1"/>
        <v>45297</v>
      </c>
      <c r="K23" s="249"/>
      <c r="L23" s="147"/>
      <c r="M23" s="197">
        <v>0</v>
      </c>
      <c r="N23" s="197">
        <f>1712-149.35</f>
        <v>1562.65</v>
      </c>
      <c r="O23" s="198">
        <f t="shared" si="6"/>
        <v>1562.65</v>
      </c>
      <c r="P23" s="199">
        <v>149.35</v>
      </c>
      <c r="Q23" s="199">
        <v>0</v>
      </c>
      <c r="R23" s="199">
        <v>0</v>
      </c>
      <c r="S23" s="199">
        <v>0</v>
      </c>
      <c r="T23" s="200" t="str">
        <f>IFERROR(VLOOKUP($A23,Tabla3[#All],2,0),"no esta registrado")</f>
        <v>Bravo, S.A.//Supermercados Bravo</v>
      </c>
    </row>
    <row r="24" spans="1:21" ht="16.5" hidden="1" x14ac:dyDescent="0.3">
      <c r="A24" s="230" t="s">
        <v>511</v>
      </c>
      <c r="B24" s="193">
        <v>1</v>
      </c>
      <c r="C24" s="194">
        <v>2</v>
      </c>
      <c r="D24" s="195" t="str">
        <f>IF(C24=1,Leyenda!$C$3,IF(C24=2,Leyenda!$C$4,IF(C24=3,Leyenda!$C$5,IF(C24=4,Leyenda!$C$6,IF(C24=5,Leyenda!$C$7,IF(C24=6,Leyenda!$C$8,IF(C24=7,Leyenda!$C$9,IF(C24=8,Leyenda!$C$10," "))))))))&amp;IF(C24=9,Leyenda!$C$11,IF(C24=10,Leyenda!$C$12,IF(C24=11,Leyenda!$C$13,IF(C24=12,Leyenda!D81," "))))</f>
        <v xml:space="preserve">GASTOS POR TRABAJOS, SUMINISTROS Y SERVICIOS </v>
      </c>
      <c r="E24" s="196" t="s">
        <v>1190</v>
      </c>
      <c r="F24" s="247">
        <v>45304</v>
      </c>
      <c r="G24" s="247" t="str">
        <f t="shared" si="7"/>
        <v>enero</v>
      </c>
      <c r="H24" s="191">
        <v>13</v>
      </c>
      <c r="I24" s="148" t="str">
        <f>TEXT(gastos[[#This Row],[Fecha]],"DDDD")</f>
        <v>sábado</v>
      </c>
      <c r="J24" s="249">
        <f t="shared" si="1"/>
        <v>45304</v>
      </c>
      <c r="K24" s="249"/>
      <c r="L24" s="147"/>
      <c r="M24" s="197">
        <v>0</v>
      </c>
      <c r="N24" s="197">
        <f>14132-1135.17</f>
        <v>12996.83</v>
      </c>
      <c r="O24" s="198">
        <f t="shared" si="6"/>
        <v>12996.83</v>
      </c>
      <c r="P24" s="199">
        <v>1135.17</v>
      </c>
      <c r="Q24" s="199">
        <v>0</v>
      </c>
      <c r="R24" s="199">
        <v>0</v>
      </c>
      <c r="S24" s="199">
        <v>0</v>
      </c>
      <c r="T24" s="200" t="str">
        <f>IFERROR(VLOOKUP($A24,Tabla3[#All],2,0),"no esta registrado")</f>
        <v>Bravo, S.A.//Supermercados Bravo</v>
      </c>
    </row>
    <row r="25" spans="1:21" ht="16.5" hidden="1" x14ac:dyDescent="0.3">
      <c r="A25" s="231" t="s">
        <v>511</v>
      </c>
      <c r="B25" s="193">
        <v>1</v>
      </c>
      <c r="C25" s="194">
        <v>2</v>
      </c>
      <c r="D25" s="195" t="str">
        <f>IF(C25=1,Leyenda!$C$3,IF(C25=2,Leyenda!$C$4,IF(C25=3,Leyenda!$C$5,IF(C25=4,Leyenda!$C$6,IF(C25=5,Leyenda!$C$7,IF(C25=6,Leyenda!$C$8,IF(C25=7,Leyenda!$C$9,IF(C25=8,Leyenda!$C$10," "))))))))&amp;IF(C25=9,Leyenda!$C$11,IF(C25=10,Leyenda!$C$12,IF(C25=11,Leyenda!$C$13,IF(C25=12,Leyenda!D82," "))))</f>
        <v xml:space="preserve">GASTOS POR TRABAJOS, SUMINISTROS Y SERVICIOS </v>
      </c>
      <c r="E25" s="196" t="s">
        <v>1191</v>
      </c>
      <c r="F25" s="247">
        <v>45308</v>
      </c>
      <c r="G25" s="247" t="str">
        <f t="shared" si="7"/>
        <v>enero</v>
      </c>
      <c r="H25" s="191">
        <v>17</v>
      </c>
      <c r="I25" s="148" t="str">
        <f>TEXT(gastos[[#This Row],[Fecha]],"DDDD")</f>
        <v>miércoles</v>
      </c>
      <c r="J25" s="249">
        <f t="shared" si="1"/>
        <v>45308</v>
      </c>
      <c r="K25" s="249"/>
      <c r="L25" s="147"/>
      <c r="M25" s="197">
        <v>0</v>
      </c>
      <c r="N25" s="197">
        <f>1725-201.67</f>
        <v>1523.33</v>
      </c>
      <c r="O25" s="198">
        <f t="shared" si="6"/>
        <v>1523.33</v>
      </c>
      <c r="P25" s="199">
        <v>201.67</v>
      </c>
      <c r="Q25" s="199">
        <v>0</v>
      </c>
      <c r="R25" s="199">
        <v>0</v>
      </c>
      <c r="S25" s="199">
        <v>0</v>
      </c>
      <c r="T25" s="200" t="str">
        <f>IFERROR(VLOOKUP($A25,Tabla3[#All],2,0),"no esta registrado")</f>
        <v>Bravo, S.A.//Supermercados Bravo</v>
      </c>
    </row>
    <row r="26" spans="1:21" ht="16.5" hidden="1" x14ac:dyDescent="0.3">
      <c r="A26" s="230" t="s">
        <v>504</v>
      </c>
      <c r="B26" s="193">
        <v>1</v>
      </c>
      <c r="C26" s="194">
        <v>2</v>
      </c>
      <c r="D26" s="195" t="str">
        <f>IF(C26=1,Leyenda!$C$3,IF(C26=2,Leyenda!$C$4,IF(C26=3,Leyenda!$C$5,IF(C26=4,Leyenda!$C$6,IF(C26=5,Leyenda!$C$7,IF(C26=6,Leyenda!$C$8,IF(C26=7,Leyenda!$C$9,IF(C26=8,Leyenda!$C$10," "))))))))&amp;IF(C26=9,Leyenda!$C$11,IF(C26=10,Leyenda!$C$12,IF(C26=11,Leyenda!$C$13,IF(C26=12,Leyenda!D83," "))))</f>
        <v xml:space="preserve">GASTOS POR TRABAJOS, SUMINISTROS Y SERVICIOS </v>
      </c>
      <c r="E26" s="196" t="s">
        <v>1192</v>
      </c>
      <c r="F26" s="247">
        <v>45311</v>
      </c>
      <c r="G26" s="247" t="str">
        <f t="shared" si="7"/>
        <v>enero</v>
      </c>
      <c r="H26" s="191">
        <v>20</v>
      </c>
      <c r="I26" s="148" t="str">
        <f>TEXT(gastos[[#This Row],[Fecha]],"DDDD")</f>
        <v>sábado</v>
      </c>
      <c r="J26" s="249">
        <f t="shared" si="1"/>
        <v>45311</v>
      </c>
      <c r="K26" s="249"/>
      <c r="L26" s="147"/>
      <c r="M26" s="197">
        <v>0</v>
      </c>
      <c r="N26" s="197">
        <f>2059.95-314.23</f>
        <v>1745.7199999999998</v>
      </c>
      <c r="O26" s="198">
        <f t="shared" si="6"/>
        <v>1745.7199999999998</v>
      </c>
      <c r="P26" s="199">
        <v>314.23</v>
      </c>
      <c r="Q26" s="199">
        <v>0</v>
      </c>
      <c r="R26" s="199">
        <v>0</v>
      </c>
      <c r="S26" s="199">
        <v>0</v>
      </c>
      <c r="T26" s="200" t="str">
        <f>IFERROR(VLOOKUP($A26,Tabla3[#All],2,0),"no esta registrado")</f>
        <v>Centro Cuesta Nacional S.A.S.//Supermercados Nacional//Casa Cuesta//Ferretería Cuesta//JUMBO//Bebemundo</v>
      </c>
    </row>
    <row r="27" spans="1:21" ht="16.5" hidden="1" x14ac:dyDescent="0.3">
      <c r="A27" s="230" t="s">
        <v>511</v>
      </c>
      <c r="B27" s="193">
        <v>1</v>
      </c>
      <c r="C27" s="194">
        <v>2</v>
      </c>
      <c r="D27" s="195" t="str">
        <f>IF(C27=1,Leyenda!$C$3,IF(C27=2,Leyenda!$C$4,IF(C27=3,Leyenda!$C$5,IF(C27=4,Leyenda!$C$6,IF(C27=5,Leyenda!$C$7,IF(C27=6,Leyenda!$C$8,IF(C27=7,Leyenda!$C$9,IF(C27=8,Leyenda!$C$10," "))))))))&amp;IF(C27=9,Leyenda!$C$11,IF(C27=10,Leyenda!$C$12,IF(C27=11,Leyenda!$C$13,IF(C27=12,Leyenda!D84," "))))</f>
        <v xml:space="preserve">GASTOS POR TRABAJOS, SUMINISTROS Y SERVICIOS </v>
      </c>
      <c r="E27" s="196" t="s">
        <v>1193</v>
      </c>
      <c r="F27" s="247">
        <v>45293</v>
      </c>
      <c r="G27" s="247" t="str">
        <f t="shared" si="7"/>
        <v>enero</v>
      </c>
      <c r="H27" s="191">
        <v>2</v>
      </c>
      <c r="I27" s="148" t="str">
        <f>TEXT(gastos[[#This Row],[Fecha]],"DDDD")</f>
        <v>martes</v>
      </c>
      <c r="J27" s="249">
        <f t="shared" si="1"/>
        <v>45293</v>
      </c>
      <c r="K27" s="249"/>
      <c r="L27" s="147"/>
      <c r="M27" s="197">
        <v>0</v>
      </c>
      <c r="N27" s="197">
        <f>12866-1080.27</f>
        <v>11785.73</v>
      </c>
      <c r="O27" s="198">
        <f t="shared" si="6"/>
        <v>11785.73</v>
      </c>
      <c r="P27" s="199">
        <v>1080.27</v>
      </c>
      <c r="Q27" s="199">
        <v>0</v>
      </c>
      <c r="R27" s="199">
        <v>0</v>
      </c>
      <c r="S27" s="199">
        <v>0</v>
      </c>
      <c r="T27" s="200" t="str">
        <f>IFERROR(VLOOKUP($A27,Tabla3[#All],2,0),"no esta registrado")</f>
        <v>Bravo, S.A.//Supermercados Bravo</v>
      </c>
    </row>
    <row r="28" spans="1:21" ht="16.5" hidden="1" x14ac:dyDescent="0.3">
      <c r="A28" s="230" t="s">
        <v>1114</v>
      </c>
      <c r="B28" s="193">
        <v>1</v>
      </c>
      <c r="C28" s="194">
        <v>2</v>
      </c>
      <c r="D28" s="195" t="str">
        <f>IF(C28=1,Leyenda!$C$3,IF(C28=2,Leyenda!$C$4,IF(C28=3,Leyenda!$C$5,IF(C28=4,Leyenda!$C$6,IF(C28=5,Leyenda!$C$7,IF(C28=6,Leyenda!$C$8,IF(C28=7,Leyenda!$C$9,IF(C28=8,Leyenda!$C$10," "))))))))&amp;IF(C28=9,Leyenda!$C$11,IF(C28=10,Leyenda!$C$12,IF(C28=11,Leyenda!$C$13,IF(C28=12,Leyenda!D85," "))))</f>
        <v xml:space="preserve">GASTOS POR TRABAJOS, SUMINISTROS Y SERVICIOS </v>
      </c>
      <c r="E28" s="196" t="s">
        <v>1194</v>
      </c>
      <c r="F28" s="247">
        <v>45311</v>
      </c>
      <c r="G28" s="247" t="str">
        <f t="shared" si="7"/>
        <v>enero</v>
      </c>
      <c r="H28" s="191">
        <v>20</v>
      </c>
      <c r="I28" s="148" t="str">
        <f>TEXT(gastos[[#This Row],[Fecha]],"DDDD")</f>
        <v>sábado</v>
      </c>
      <c r="J28" s="249">
        <f t="shared" si="1"/>
        <v>45311</v>
      </c>
      <c r="K28" s="249"/>
      <c r="L28" s="147"/>
      <c r="M28" s="197">
        <v>2876</v>
      </c>
      <c r="N28" s="197">
        <v>0</v>
      </c>
      <c r="O28" s="198">
        <f t="shared" si="6"/>
        <v>2876</v>
      </c>
      <c r="P28" s="199">
        <v>0</v>
      </c>
      <c r="Q28" s="199">
        <v>0</v>
      </c>
      <c r="R28" s="199">
        <v>0</v>
      </c>
      <c r="S28" s="199">
        <v>0</v>
      </c>
      <c r="T28" s="200" t="str">
        <f>IFERROR(VLOOKUP($A28,Tabla3[#All],2,0),"no esta registrado")</f>
        <v>ACADEMIA EUROPEA</v>
      </c>
    </row>
    <row r="29" spans="1:21" ht="16.5" hidden="1" x14ac:dyDescent="0.3">
      <c r="A29" s="230" t="s">
        <v>1114</v>
      </c>
      <c r="B29" s="193">
        <v>1</v>
      </c>
      <c r="C29" s="194">
        <v>2</v>
      </c>
      <c r="D29" s="195" t="str">
        <f>IF(C29=1,Leyenda!$C$3,IF(C29=2,Leyenda!$C$4,IF(C29=3,Leyenda!$C$5,IF(C29=4,Leyenda!$C$6,IF(C29=5,Leyenda!$C$7,IF(C29=6,Leyenda!$C$8,IF(C29=7,Leyenda!$C$9,IF(C29=8,Leyenda!$C$10," "))))))))&amp;IF(C29=9,Leyenda!$C$11,IF(C29=10,Leyenda!$C$12,IF(C29=11,Leyenda!$C$13,IF(C29=12,Leyenda!D86," "))))</f>
        <v xml:space="preserve">GASTOS POR TRABAJOS, SUMINISTROS Y SERVICIOS </v>
      </c>
      <c r="E29" s="196" t="s">
        <v>1195</v>
      </c>
      <c r="F29" s="247">
        <v>45303</v>
      </c>
      <c r="G29" s="247" t="str">
        <f t="shared" si="7"/>
        <v>enero</v>
      </c>
      <c r="H29" s="191">
        <v>12</v>
      </c>
      <c r="I29" s="148" t="str">
        <f>TEXT(gastos[[#This Row],[Fecha]],"DDDD")</f>
        <v>viernes</v>
      </c>
      <c r="J29" s="249">
        <f t="shared" si="1"/>
        <v>45303</v>
      </c>
      <c r="K29" s="249"/>
      <c r="L29" s="147"/>
      <c r="M29" s="197">
        <v>3190</v>
      </c>
      <c r="N29" s="197">
        <v>0</v>
      </c>
      <c r="O29" s="198">
        <f t="shared" si="6"/>
        <v>3190</v>
      </c>
      <c r="P29" s="199">
        <v>0</v>
      </c>
      <c r="Q29" s="199">
        <v>0</v>
      </c>
      <c r="R29" s="199">
        <v>0</v>
      </c>
      <c r="S29" s="199">
        <v>0</v>
      </c>
      <c r="T29" s="200" t="str">
        <f>IFERROR(VLOOKUP($A29,Tabla3[#All],2,0),"no esta registrado")</f>
        <v>ACADEMIA EUROPEA</v>
      </c>
    </row>
    <row r="30" spans="1:21" ht="16.5" hidden="1" x14ac:dyDescent="0.3">
      <c r="A30" s="231" t="s">
        <v>1196</v>
      </c>
      <c r="B30" s="193">
        <v>1</v>
      </c>
      <c r="C30" s="194">
        <v>7</v>
      </c>
      <c r="D30" s="195" t="str">
        <f>IF(C30=1,Leyenda!$C$3,IF(C30=2,Leyenda!$C$4,IF(C30=3,Leyenda!$C$5,IF(C30=4,Leyenda!$C$6,IF(C30=5,Leyenda!$C$7,IF(C30=6,Leyenda!$C$8,IF(C30=7,Leyenda!$C$9,IF(C30=8,Leyenda!$C$10," "))))))))&amp;IF(C30=9,Leyenda!$C$11,IF(C30=10,Leyenda!$C$12,IF(C30=11,Leyenda!$C$13,IF(C30=12,Leyenda!D87," "))))</f>
        <v xml:space="preserve">GASTOS FINANCIEROS </v>
      </c>
      <c r="E30" s="196" t="s">
        <v>1197</v>
      </c>
      <c r="F30" s="247">
        <v>45292</v>
      </c>
      <c r="G30" s="247" t="str">
        <f t="shared" si="7"/>
        <v>enero</v>
      </c>
      <c r="H30" s="191">
        <v>1</v>
      </c>
      <c r="I30" s="148" t="str">
        <f>TEXT(gastos[[#This Row],[Fecha]],"DDDD")</f>
        <v>lunes</v>
      </c>
      <c r="J30" s="249">
        <f t="shared" si="1"/>
        <v>45292</v>
      </c>
      <c r="K30" s="249"/>
      <c r="L30" s="147"/>
      <c r="M30" s="197">
        <v>0</v>
      </c>
      <c r="N30" s="197">
        <v>1309.32</v>
      </c>
      <c r="O30" s="198">
        <f t="shared" si="6"/>
        <v>1309.32</v>
      </c>
      <c r="P30" s="199">
        <v>235.68</v>
      </c>
      <c r="Q30" s="199">
        <v>0</v>
      </c>
      <c r="R30" s="199">
        <v>0</v>
      </c>
      <c r="S30" s="199">
        <v>0</v>
      </c>
      <c r="T30" s="200" t="str">
        <f>IFERROR(VLOOKUP($A30,Tabla3[#All],2,0),"no esta registrado")</f>
        <v>no esta registrado</v>
      </c>
    </row>
    <row r="31" spans="1:21" ht="16.5" hidden="1" x14ac:dyDescent="0.3">
      <c r="A31" s="230" t="s">
        <v>511</v>
      </c>
      <c r="B31" s="193">
        <v>1</v>
      </c>
      <c r="C31" s="194">
        <v>2</v>
      </c>
      <c r="D31" s="195" t="str">
        <f>IF(C31=1,Leyenda!$C$3,IF(C31=2,Leyenda!$C$4,IF(C31=3,Leyenda!$C$5,IF(C31=4,Leyenda!$C$6,IF(C31=5,Leyenda!$C$7,IF(C31=6,Leyenda!$C$8,IF(C31=7,Leyenda!$C$9,IF(C31=8,Leyenda!$C$10," "))))))))&amp;IF(C31=9,Leyenda!$C$11,IF(C31=10,Leyenda!$C$12,IF(C31=11,Leyenda!$C$13,IF(C31=12,Leyenda!D88," "))))</f>
        <v xml:space="preserve">GASTOS POR TRABAJOS, SUMINISTROS Y SERVICIOS </v>
      </c>
      <c r="E31" s="196" t="s">
        <v>1198</v>
      </c>
      <c r="F31" s="247">
        <v>45315</v>
      </c>
      <c r="G31" s="247" t="str">
        <f t="shared" si="7"/>
        <v>enero</v>
      </c>
      <c r="H31" s="191">
        <v>24</v>
      </c>
      <c r="I31" s="148" t="str">
        <f>TEXT(gastos[[#This Row],[Fecha]],"DDDD")</f>
        <v>miércoles</v>
      </c>
      <c r="J31" s="249">
        <f t="shared" si="1"/>
        <v>45315</v>
      </c>
      <c r="K31" s="249"/>
      <c r="L31" s="147"/>
      <c r="M31" s="197">
        <v>1490</v>
      </c>
      <c r="N31" s="197">
        <v>0</v>
      </c>
      <c r="O31" s="198">
        <f t="shared" si="6"/>
        <v>1490</v>
      </c>
      <c r="P31" s="199">
        <v>0</v>
      </c>
      <c r="Q31" s="199">
        <v>0</v>
      </c>
      <c r="R31" s="199">
        <v>0</v>
      </c>
      <c r="S31" s="199">
        <v>0</v>
      </c>
      <c r="T31" s="200" t="str">
        <f>IFERROR(VLOOKUP($A31,Tabla3[#All],2,0),"no esta registrado")</f>
        <v>Bravo, S.A.//Supermercados Bravo</v>
      </c>
    </row>
    <row r="32" spans="1:21" ht="16.5" hidden="1" x14ac:dyDescent="0.3">
      <c r="A32" s="230" t="s">
        <v>1199</v>
      </c>
      <c r="B32" s="193">
        <v>1</v>
      </c>
      <c r="C32" s="194">
        <v>2</v>
      </c>
      <c r="D32" s="195" t="str">
        <f>IF(C32=1,Leyenda!$C$3,IF(C32=2,Leyenda!$C$4,IF(C32=3,Leyenda!$C$5,IF(C32=4,Leyenda!$C$6,IF(C32=5,Leyenda!$C$7,IF(C32=6,Leyenda!$C$8,IF(C32=7,Leyenda!$C$9,IF(C32=8,Leyenda!$C$10," "))))))))&amp;IF(C32=9,Leyenda!$C$11,IF(C32=10,Leyenda!$C$12,IF(C32=11,Leyenda!$C$13,IF(C32=12,Leyenda!D89," "))))</f>
        <v xml:space="preserve">GASTOS POR TRABAJOS, SUMINISTROS Y SERVICIOS </v>
      </c>
      <c r="E32" s="196" t="s">
        <v>1200</v>
      </c>
      <c r="F32" s="247">
        <v>45308</v>
      </c>
      <c r="G32" s="247" t="str">
        <f t="shared" si="7"/>
        <v>enero</v>
      </c>
      <c r="H32" s="191">
        <v>17</v>
      </c>
      <c r="I32" s="148" t="str">
        <f>TEXT(gastos[[#This Row],[Fecha]],"DDDD")</f>
        <v>miércoles</v>
      </c>
      <c r="J32" s="249">
        <f t="shared" si="1"/>
        <v>45308</v>
      </c>
      <c r="K32" s="249"/>
      <c r="L32" s="147"/>
      <c r="M32" s="197">
        <v>0</v>
      </c>
      <c r="N32" s="197">
        <v>1072.03</v>
      </c>
      <c r="O32" s="198">
        <f t="shared" si="6"/>
        <v>1072.03</v>
      </c>
      <c r="P32" s="199">
        <v>192.97</v>
      </c>
      <c r="Q32" s="199">
        <v>0</v>
      </c>
      <c r="R32" s="199">
        <v>0</v>
      </c>
      <c r="S32" s="199">
        <v>0</v>
      </c>
      <c r="T32" s="200" t="str">
        <f>IFERROR(VLOOKUP($A32,Tabla3[#All],2,0),"no esta registrado")</f>
        <v>no esta registrado</v>
      </c>
    </row>
    <row r="33" spans="1:20" ht="16.5" hidden="1" x14ac:dyDescent="0.3">
      <c r="A33" s="230" t="s">
        <v>1201</v>
      </c>
      <c r="B33" s="193">
        <v>1</v>
      </c>
      <c r="C33" s="194">
        <v>2</v>
      </c>
      <c r="D33" s="195" t="str">
        <f>IF(C33=1,Leyenda!$C$3,IF(C33=2,Leyenda!$C$4,IF(C33=3,Leyenda!$C$5,IF(C33=4,Leyenda!$C$6,IF(C33=5,Leyenda!$C$7,IF(C33=6,Leyenda!$C$8,IF(C33=7,Leyenda!$C$9,IF(C33=8,Leyenda!$C$10," "))))))))&amp;IF(C33=9,Leyenda!$C$11,IF(C33=10,Leyenda!$C$12,IF(C33=11,Leyenda!$C$13,IF(C33=12,Leyenda!D90," "))))</f>
        <v xml:space="preserve">GASTOS POR TRABAJOS, SUMINISTROS Y SERVICIOS </v>
      </c>
      <c r="E33" s="196" t="s">
        <v>1202</v>
      </c>
      <c r="F33" s="247">
        <v>45314</v>
      </c>
      <c r="G33" s="247" t="str">
        <f t="shared" si="7"/>
        <v>enero</v>
      </c>
      <c r="H33" s="191">
        <v>23</v>
      </c>
      <c r="I33" s="148" t="str">
        <f>TEXT(gastos[[#This Row],[Fecha]],"DDDD")</f>
        <v>martes</v>
      </c>
      <c r="J33" s="249">
        <f t="shared" si="1"/>
        <v>45314</v>
      </c>
      <c r="K33" s="249"/>
      <c r="L33" s="147"/>
      <c r="M33" s="197">
        <v>0</v>
      </c>
      <c r="N33" s="197">
        <v>8474.58</v>
      </c>
      <c r="O33" s="198">
        <f t="shared" si="6"/>
        <v>8474.58</v>
      </c>
      <c r="P33" s="199">
        <v>1525.42</v>
      </c>
      <c r="Q33" s="199">
        <v>0</v>
      </c>
      <c r="R33" s="199">
        <v>0</v>
      </c>
      <c r="S33" s="199">
        <v>0</v>
      </c>
      <c r="T33" s="200" t="str">
        <f>IFERROR(VLOOKUP($A33,Tabla3[#All],2,0),"no esta registrado")</f>
        <v>no esta registrado</v>
      </c>
    </row>
    <row r="34" spans="1:20" ht="16.5" hidden="1" x14ac:dyDescent="0.3">
      <c r="A34" s="230" t="s">
        <v>1203</v>
      </c>
      <c r="B34" s="193">
        <v>1</v>
      </c>
      <c r="C34" s="194">
        <v>2</v>
      </c>
      <c r="D34" s="195" t="str">
        <f>IF(C34=1,Leyenda!$C$3,IF(C34=2,Leyenda!$C$4,IF(C34=3,Leyenda!$C$5,IF(C34=4,Leyenda!$C$6,IF(C34=5,Leyenda!$C$7,IF(C34=6,Leyenda!$C$8,IF(C34=7,Leyenda!$C$9,IF(C34=8,Leyenda!$C$10," "))))))))&amp;IF(C34=9,Leyenda!$C$11,IF(C34=10,Leyenda!$C$12,IF(C34=11,Leyenda!$C$13,IF(C34=12,Leyenda!D91," "))))</f>
        <v xml:space="preserve">GASTOS POR TRABAJOS, SUMINISTROS Y SERVICIOS </v>
      </c>
      <c r="E34" s="196" t="s">
        <v>1204</v>
      </c>
      <c r="F34" s="247">
        <v>45299</v>
      </c>
      <c r="G34" s="247" t="str">
        <f t="shared" si="7"/>
        <v>enero</v>
      </c>
      <c r="H34" s="191">
        <v>8</v>
      </c>
      <c r="I34" s="148" t="str">
        <f>TEXT(gastos[[#This Row],[Fecha]],"DDDD")</f>
        <v>lunes</v>
      </c>
      <c r="J34" s="249">
        <f t="shared" si="1"/>
        <v>45299</v>
      </c>
      <c r="K34" s="249"/>
      <c r="L34" s="147"/>
      <c r="M34" s="197">
        <v>0</v>
      </c>
      <c r="N34" s="197">
        <v>250.16</v>
      </c>
      <c r="O34" s="198">
        <f t="shared" si="6"/>
        <v>250.16</v>
      </c>
      <c r="P34" s="199">
        <v>25.28</v>
      </c>
      <c r="Q34" s="199">
        <v>0</v>
      </c>
      <c r="R34" s="199">
        <v>0</v>
      </c>
      <c r="S34" s="199">
        <v>0</v>
      </c>
      <c r="T34" s="200" t="str">
        <f>IFERROR(VLOOKUP($A34,Tabla3[#All],2,0),"no esta registrado")</f>
        <v>no esta registrado</v>
      </c>
    </row>
    <row r="35" spans="1:20" ht="16.5" hidden="1" x14ac:dyDescent="0.3">
      <c r="A35" s="230" t="s">
        <v>1116</v>
      </c>
      <c r="B35" s="193">
        <v>1</v>
      </c>
      <c r="C35" s="194">
        <v>2</v>
      </c>
      <c r="D35" s="195" t="str">
        <f>IF(C35=1,Leyenda!$C$3,IF(C35=2,Leyenda!$C$4,IF(C35=3,Leyenda!$C$5,IF(C35=4,Leyenda!$C$6,IF(C35=5,Leyenda!$C$7,IF(C35=6,Leyenda!$C$8,IF(C35=7,Leyenda!$C$9,IF(C35=8,Leyenda!$C$10," "))))))))&amp;IF(C35=9,Leyenda!$C$11,IF(C35=10,Leyenda!$C$12,IF(C35=11,Leyenda!$C$13,IF(C35=12,Leyenda!D92," "))))</f>
        <v xml:space="preserve">GASTOS POR TRABAJOS, SUMINISTROS Y SERVICIOS </v>
      </c>
      <c r="E35" s="196" t="s">
        <v>1205</v>
      </c>
      <c r="F35" s="247">
        <v>45300</v>
      </c>
      <c r="G35" s="247" t="str">
        <f t="shared" si="7"/>
        <v>enero</v>
      </c>
      <c r="H35" s="191">
        <v>9</v>
      </c>
      <c r="I35" s="148" t="str">
        <f>TEXT(gastos[[#This Row],[Fecha]],"DDDD")</f>
        <v>martes</v>
      </c>
      <c r="J35" s="249">
        <f t="shared" si="1"/>
        <v>45300</v>
      </c>
      <c r="K35" s="249"/>
      <c r="L35" s="147"/>
      <c r="M35" s="197">
        <v>7100</v>
      </c>
      <c r="N35" s="197">
        <v>0</v>
      </c>
      <c r="O35" s="198">
        <f t="shared" si="6"/>
        <v>7100</v>
      </c>
      <c r="P35" s="199">
        <v>0</v>
      </c>
      <c r="Q35" s="199">
        <v>0</v>
      </c>
      <c r="R35" s="199">
        <v>0</v>
      </c>
      <c r="S35" s="199">
        <v>0</v>
      </c>
      <c r="T35" s="200" t="str">
        <f>IFERROR(VLOOKUP($A35,Tabla3[#All],2,0),"no esta registrado")</f>
        <v>COLEGIO SANTA ROSA DE LIMA</v>
      </c>
    </row>
    <row r="36" spans="1:20" ht="16.5" hidden="1" x14ac:dyDescent="0.3">
      <c r="A36" s="230" t="s">
        <v>1116</v>
      </c>
      <c r="B36" s="193">
        <v>1</v>
      </c>
      <c r="C36" s="194">
        <v>2</v>
      </c>
      <c r="D36" s="195" t="str">
        <f>IF(C36=1,Leyenda!$C$3,IF(C36=2,Leyenda!$C$4,IF(C36=3,Leyenda!$C$5,IF(C36=4,Leyenda!$C$6,IF(C36=5,Leyenda!$C$7,IF(C36=6,Leyenda!$C$8,IF(C36=7,Leyenda!$C$9,IF(C36=8,Leyenda!$C$10," "))))))))&amp;IF(C36=9,Leyenda!$C$11,IF(C36=10,Leyenda!$C$12,IF(C36=11,Leyenda!$C$13,IF(C36=12,Leyenda!D93," "))))</f>
        <v xml:space="preserve">GASTOS POR TRABAJOS, SUMINISTROS Y SERVICIOS </v>
      </c>
      <c r="E36" s="196" t="s">
        <v>1206</v>
      </c>
      <c r="F36" s="247">
        <v>45300</v>
      </c>
      <c r="G36" s="247" t="str">
        <f t="shared" si="7"/>
        <v>enero</v>
      </c>
      <c r="H36" s="191">
        <v>9</v>
      </c>
      <c r="I36" s="148" t="str">
        <f>TEXT(gastos[[#This Row],[Fecha]],"DDDD")</f>
        <v>martes</v>
      </c>
      <c r="J36" s="249">
        <f t="shared" si="1"/>
        <v>45300</v>
      </c>
      <c r="K36" s="249"/>
      <c r="L36" s="147"/>
      <c r="M36" s="197">
        <v>6800</v>
      </c>
      <c r="N36" s="197">
        <v>0</v>
      </c>
      <c r="O36" s="198">
        <f t="shared" si="6"/>
        <v>6800</v>
      </c>
      <c r="P36" s="199">
        <v>0</v>
      </c>
      <c r="Q36" s="199">
        <v>0</v>
      </c>
      <c r="R36" s="199">
        <v>0</v>
      </c>
      <c r="S36" s="199">
        <v>0</v>
      </c>
      <c r="T36" s="200" t="str">
        <f>IFERROR(VLOOKUP($A36,Tabla3[#All],2,0),"no esta registrado")</f>
        <v>COLEGIO SANTA ROSA DE LIMA</v>
      </c>
    </row>
    <row r="37" spans="1:20" ht="16.5" hidden="1" x14ac:dyDescent="0.3">
      <c r="A37" s="230" t="s">
        <v>1116</v>
      </c>
      <c r="B37" s="193">
        <v>1</v>
      </c>
      <c r="C37" s="194">
        <v>2</v>
      </c>
      <c r="D37" s="195" t="str">
        <f>IF(C37=1,Leyenda!$C$3,IF(C37=2,Leyenda!$C$4,IF(C37=3,Leyenda!$C$5,IF(C37=4,Leyenda!$C$6,IF(C37=5,Leyenda!$C$7,IF(C37=6,Leyenda!$C$8,IF(C37=7,Leyenda!$C$9,IF(C37=8,Leyenda!$C$10," "))))))))&amp;IF(C37=9,Leyenda!$C$11,IF(C37=10,Leyenda!$C$12,IF(C37=11,Leyenda!$C$13,IF(C37=12,Leyenda!D94," "))))</f>
        <v xml:space="preserve">GASTOS POR TRABAJOS, SUMINISTROS Y SERVICIOS </v>
      </c>
      <c r="E37" s="196" t="s">
        <v>1207</v>
      </c>
      <c r="F37" s="247">
        <f t="shared" ref="F37:F46" si="8">IF($C37=0," ",$F$17)</f>
        <v>45316</v>
      </c>
      <c r="G37" s="247" t="str">
        <f t="shared" si="7"/>
        <v>enero</v>
      </c>
      <c r="H37" s="191">
        <v>9</v>
      </c>
      <c r="I37" s="148" t="str">
        <f>TEXT(gastos[[#This Row],[Fecha]],"DDDD")</f>
        <v>martes</v>
      </c>
      <c r="J37" s="249">
        <f t="shared" si="1"/>
        <v>45300</v>
      </c>
      <c r="K37" s="249"/>
      <c r="L37" s="147"/>
      <c r="M37" s="197">
        <v>6800</v>
      </c>
      <c r="N37" s="197">
        <v>0</v>
      </c>
      <c r="O37" s="198">
        <f t="shared" si="6"/>
        <v>6800</v>
      </c>
      <c r="P37" s="199">
        <v>0</v>
      </c>
      <c r="Q37" s="199">
        <v>0</v>
      </c>
      <c r="R37" s="199">
        <v>0</v>
      </c>
      <c r="S37" s="199">
        <v>0</v>
      </c>
      <c r="T37" s="200" t="str">
        <f>IFERROR(VLOOKUP($A37,Tabla3[#All],2,0),"no esta registrado")</f>
        <v>COLEGIO SANTA ROSA DE LIMA</v>
      </c>
    </row>
    <row r="38" spans="1:20" ht="16.5" hidden="1" x14ac:dyDescent="0.3">
      <c r="A38" s="230" t="s">
        <v>1116</v>
      </c>
      <c r="B38" s="193">
        <v>1</v>
      </c>
      <c r="C38" s="194">
        <v>2</v>
      </c>
      <c r="D38" s="195" t="str">
        <f>IF(C38=1,Leyenda!$C$3,IF(C38=2,Leyenda!$C$4,IF(C38=3,Leyenda!$C$5,IF(C38=4,Leyenda!$C$6,IF(C38=5,Leyenda!$C$7,IF(C38=6,Leyenda!$C$8,IF(C38=7,Leyenda!$C$9,IF(C38=8,Leyenda!$C$10," "))))))))&amp;IF(C38=9,Leyenda!$C$11,IF(C38=10,Leyenda!$C$12,IF(C38=11,Leyenda!$C$13,IF(C38=12,Leyenda!D95," "))))</f>
        <v xml:space="preserve">GASTOS POR TRABAJOS, SUMINISTROS Y SERVICIOS </v>
      </c>
      <c r="E38" s="196" t="s">
        <v>1208</v>
      </c>
      <c r="F38" s="247">
        <f t="shared" si="8"/>
        <v>45316</v>
      </c>
      <c r="G38" s="247" t="str">
        <f t="shared" si="7"/>
        <v>enero</v>
      </c>
      <c r="H38" s="191">
        <v>31</v>
      </c>
      <c r="I38" s="148" t="str">
        <f>TEXT(gastos[[#This Row],[Fecha]],"DDDD")</f>
        <v>miércoles</v>
      </c>
      <c r="J38" s="249">
        <f t="shared" si="1"/>
        <v>45322</v>
      </c>
      <c r="K38" s="249"/>
      <c r="L38" s="147"/>
      <c r="M38" s="197">
        <v>7100</v>
      </c>
      <c r="N38" s="197">
        <v>0</v>
      </c>
      <c r="O38" s="198">
        <f t="shared" si="6"/>
        <v>7100</v>
      </c>
      <c r="P38" s="199">
        <v>0</v>
      </c>
      <c r="Q38" s="199">
        <v>0</v>
      </c>
      <c r="R38" s="199">
        <v>0</v>
      </c>
      <c r="S38" s="199">
        <v>0</v>
      </c>
      <c r="T38" s="200" t="str">
        <f>IFERROR(VLOOKUP($A38,Tabla3[#All],2,0),"no esta registrado")</f>
        <v>COLEGIO SANTA ROSA DE LIMA</v>
      </c>
    </row>
    <row r="39" spans="1:20" ht="16.5" hidden="1" x14ac:dyDescent="0.3">
      <c r="A39" s="230" t="s">
        <v>1116</v>
      </c>
      <c r="B39" s="193">
        <v>1</v>
      </c>
      <c r="C39" s="194">
        <v>2</v>
      </c>
      <c r="D39" s="195" t="str">
        <f>IF(C39=1,Leyenda!$C$3,IF(C39=2,Leyenda!$C$4,IF(C39=3,Leyenda!$C$5,IF(C39=4,Leyenda!$C$6,IF(C39=5,Leyenda!$C$7,IF(C39=6,Leyenda!$C$8,IF(C39=7,Leyenda!$C$9,IF(C39=8,Leyenda!$C$10," "))))))))&amp;IF(C39=9,Leyenda!$C$11,IF(C39=10,Leyenda!$C$12,IF(C39=11,Leyenda!$C$13,IF(C39=12,Leyenda!D96," "))))</f>
        <v xml:space="preserve">GASTOS POR TRABAJOS, SUMINISTROS Y SERVICIOS </v>
      </c>
      <c r="E39" s="196" t="s">
        <v>1209</v>
      </c>
      <c r="F39" s="247">
        <f t="shared" si="8"/>
        <v>45316</v>
      </c>
      <c r="G39" s="247" t="str">
        <f t="shared" si="7"/>
        <v>enero</v>
      </c>
      <c r="H39" s="191">
        <v>31</v>
      </c>
      <c r="I39" s="148" t="str">
        <f>TEXT(gastos[[#This Row],[Fecha]],"DDDD")</f>
        <v>miércoles</v>
      </c>
      <c r="J39" s="249">
        <f t="shared" si="1"/>
        <v>45322</v>
      </c>
      <c r="K39" s="249"/>
      <c r="L39" s="147"/>
      <c r="M39" s="197">
        <v>6800</v>
      </c>
      <c r="N39" s="197">
        <v>0</v>
      </c>
      <c r="O39" s="198">
        <f t="shared" si="6"/>
        <v>6800</v>
      </c>
      <c r="P39" s="199">
        <v>0</v>
      </c>
      <c r="Q39" s="199">
        <v>0</v>
      </c>
      <c r="R39" s="199">
        <v>0</v>
      </c>
      <c r="S39" s="199">
        <v>0</v>
      </c>
      <c r="T39" s="200" t="str">
        <f>IFERROR(VLOOKUP($A39,Tabla3[#All],2,0),"no esta registrado")</f>
        <v>COLEGIO SANTA ROSA DE LIMA</v>
      </c>
    </row>
    <row r="40" spans="1:20" ht="16.5" hidden="1" x14ac:dyDescent="0.3">
      <c r="A40" s="230" t="s">
        <v>1116</v>
      </c>
      <c r="B40" s="193">
        <v>1</v>
      </c>
      <c r="C40" s="194">
        <v>2</v>
      </c>
      <c r="D40" s="195" t="str">
        <f>IF(C40=1,Leyenda!$C$3,IF(C40=2,Leyenda!$C$4,IF(C40=3,Leyenda!$C$5,IF(C40=4,Leyenda!$C$6,IF(C40=5,Leyenda!$C$7,IF(C40=6,Leyenda!$C$8,IF(C40=7,Leyenda!$C$9,IF(C40=8,Leyenda!$C$10," "))))))))&amp;IF(C40=9,Leyenda!$C$11,IF(C40=10,Leyenda!$C$12,IF(C40=11,Leyenda!$C$13,IF(C40=12,Leyenda!D97," "))))</f>
        <v xml:space="preserve">GASTOS POR TRABAJOS, SUMINISTROS Y SERVICIOS </v>
      </c>
      <c r="E40" s="196" t="s">
        <v>1210</v>
      </c>
      <c r="F40" s="247">
        <f t="shared" si="8"/>
        <v>45316</v>
      </c>
      <c r="G40" s="247" t="str">
        <f t="shared" si="7"/>
        <v>enero</v>
      </c>
      <c r="H40" s="191">
        <v>31</v>
      </c>
      <c r="I40" s="148" t="str">
        <f>TEXT(gastos[[#This Row],[Fecha]],"DDDD")</f>
        <v>miércoles</v>
      </c>
      <c r="J40" s="249">
        <f t="shared" si="1"/>
        <v>45322</v>
      </c>
      <c r="K40" s="249"/>
      <c r="L40" s="147"/>
      <c r="M40" s="197">
        <v>6800</v>
      </c>
      <c r="N40" s="197">
        <v>0</v>
      </c>
      <c r="O40" s="198">
        <f t="shared" si="6"/>
        <v>6800</v>
      </c>
      <c r="P40" s="199">
        <v>0</v>
      </c>
      <c r="Q40" s="199">
        <v>0</v>
      </c>
      <c r="R40" s="199">
        <v>0</v>
      </c>
      <c r="S40" s="199">
        <v>0</v>
      </c>
      <c r="T40" s="200" t="str">
        <f>IFERROR(VLOOKUP($A40,Tabla3[#All],2,0),"no esta registrado")</f>
        <v>COLEGIO SANTA ROSA DE LIMA</v>
      </c>
    </row>
    <row r="41" spans="1:20" ht="16.5" hidden="1" x14ac:dyDescent="0.3">
      <c r="A41" s="230" t="s">
        <v>1112</v>
      </c>
      <c r="B41" s="193">
        <v>1</v>
      </c>
      <c r="C41" s="194">
        <v>2</v>
      </c>
      <c r="D41" s="195" t="str">
        <f>IF(C41=1,Leyenda!$C$3,IF(C41=2,Leyenda!$C$4,IF(C41=3,Leyenda!$C$5,IF(C41=4,Leyenda!$C$6,IF(C41=5,Leyenda!$C$7,IF(C41=6,Leyenda!$C$8,IF(C41=7,Leyenda!$C$9,IF(C41=8,Leyenda!$C$10," "))))))))&amp;IF(C41=9,Leyenda!$C$11,IF(C41=10,Leyenda!$C$12,IF(C41=11,Leyenda!$C$13,IF(C41=12,Leyenda!D98," "))))</f>
        <v xml:space="preserve">GASTOS POR TRABAJOS, SUMINISTROS Y SERVICIOS </v>
      </c>
      <c r="E41" s="196" t="s">
        <v>1211</v>
      </c>
      <c r="F41" s="247">
        <f t="shared" si="8"/>
        <v>45316</v>
      </c>
      <c r="G41" s="247" t="str">
        <f t="shared" si="7"/>
        <v>enero</v>
      </c>
      <c r="H41" s="191">
        <v>20</v>
      </c>
      <c r="I41" s="148" t="str">
        <f>TEXT(gastos[[#This Row],[Fecha]],"DDDD")</f>
        <v>sábado</v>
      </c>
      <c r="J41" s="249">
        <f t="shared" si="1"/>
        <v>45311</v>
      </c>
      <c r="K41" s="249"/>
      <c r="L41" s="147"/>
      <c r="M41" s="197">
        <v>5023.3900000000003</v>
      </c>
      <c r="N41" s="197">
        <v>0</v>
      </c>
      <c r="O41" s="198">
        <f t="shared" si="6"/>
        <v>5023.3900000000003</v>
      </c>
      <c r="P41" s="199">
        <v>0</v>
      </c>
      <c r="Q41" s="199">
        <v>0</v>
      </c>
      <c r="R41" s="199">
        <v>0</v>
      </c>
      <c r="S41" s="199">
        <v>0</v>
      </c>
      <c r="T41" s="200" t="str">
        <f>IFERROR(VLOOKUP($A41,Tabla3[#All],2,0),"no esta registrado")</f>
        <v>EDEESTE</v>
      </c>
    </row>
    <row r="42" spans="1:20" ht="16.5" hidden="1" x14ac:dyDescent="0.3">
      <c r="A42" s="230" t="s">
        <v>495</v>
      </c>
      <c r="B42" s="193">
        <v>1</v>
      </c>
      <c r="C42" s="194">
        <v>2</v>
      </c>
      <c r="D42" s="195" t="str">
        <f>IF(C42=1,Leyenda!$C$3,IF(C42=2,Leyenda!$C$4,IF(C42=3,Leyenda!$C$5,IF(C42=4,Leyenda!$C$6,IF(C42=5,Leyenda!$C$7,IF(C42=6,Leyenda!$C$8,IF(C42=7,Leyenda!$C$9,IF(C42=8,Leyenda!$C$10," "))))))))&amp;IF(C42=9,Leyenda!$C$11,IF(C42=10,Leyenda!$C$12,IF(C42=11,Leyenda!$C$13,IF(C42=12,Leyenda!D99," "))))</f>
        <v xml:space="preserve">GASTOS POR TRABAJOS, SUMINISTROS Y SERVICIOS </v>
      </c>
      <c r="E42" s="196" t="s">
        <v>1212</v>
      </c>
      <c r="F42" s="247">
        <f t="shared" si="8"/>
        <v>45316</v>
      </c>
      <c r="G42" s="247" t="str">
        <f t="shared" si="7"/>
        <v>enero</v>
      </c>
      <c r="H42" s="191">
        <v>7</v>
      </c>
      <c r="I42" s="148" t="str">
        <f>TEXT(gastos[[#This Row],[Fecha]],"DDDD")</f>
        <v>domingo</v>
      </c>
      <c r="J42" s="249">
        <f t="shared" si="1"/>
        <v>45298</v>
      </c>
      <c r="K42" s="249"/>
      <c r="L42" s="147"/>
      <c r="M42" s="197">
        <v>2407.69</v>
      </c>
      <c r="N42" s="197">
        <v>0</v>
      </c>
      <c r="O42" s="198">
        <f t="shared" si="6"/>
        <v>2407.69</v>
      </c>
      <c r="P42" s="199">
        <v>433.39</v>
      </c>
      <c r="Q42" s="199">
        <v>0</v>
      </c>
      <c r="R42" s="199">
        <v>0</v>
      </c>
      <c r="S42">
        <v>0</v>
      </c>
      <c r="T42" s="200" t="str">
        <f>IFERROR(VLOOKUP($A42,Tabla3[#All],2,0),"no esta registrado")</f>
        <v>CLARO//CODETEL</v>
      </c>
    </row>
    <row r="43" spans="1:20" ht="16.5" hidden="1" x14ac:dyDescent="0.3">
      <c r="A43" s="231" t="s">
        <v>495</v>
      </c>
      <c r="B43" s="193">
        <v>2</v>
      </c>
      <c r="C43" s="194">
        <v>2</v>
      </c>
      <c r="D43" s="195" t="str">
        <f>IF(C43=1,Leyenda!$C$3,IF(C43=2,Leyenda!$C$4,IF(C43=3,Leyenda!$C$5,IF(C43=4,Leyenda!$C$6,IF(C43=5,Leyenda!$C$7,IF(C43=6,Leyenda!$C$8,IF(C43=7,Leyenda!$C$9,IF(C43=8,Leyenda!$C$10," "))))))))&amp;IF(C43=9,Leyenda!$C$11,IF(C43=10,Leyenda!$C$12,IF(C43=11,Leyenda!$C$13,IF(C43=12,Leyenda!D100," "))))</f>
        <v xml:space="preserve">GASTOS POR TRABAJOS, SUMINISTROS Y SERVICIOS </v>
      </c>
      <c r="E43" s="202" t="s">
        <v>1213</v>
      </c>
      <c r="F43" s="247">
        <f t="shared" si="8"/>
        <v>45316</v>
      </c>
      <c r="G43" s="247" t="str">
        <f t="shared" si="7"/>
        <v>enero</v>
      </c>
      <c r="H43" s="203">
        <v>7</v>
      </c>
      <c r="I43" s="250" t="str">
        <f>TEXT(gastos[[#This Row],[Fecha]],"DDDD")</f>
        <v>domingo</v>
      </c>
      <c r="J43" s="249">
        <f t="shared" si="1"/>
        <v>45298</v>
      </c>
      <c r="K43" s="249"/>
      <c r="L43" s="147"/>
      <c r="M43" s="197">
        <v>830</v>
      </c>
      <c r="N43" s="197">
        <v>0</v>
      </c>
      <c r="O43" s="198">
        <f t="shared" si="6"/>
        <v>830</v>
      </c>
      <c r="P43" s="199">
        <v>149.4</v>
      </c>
      <c r="Q43" s="199">
        <v>0</v>
      </c>
      <c r="R43" s="199">
        <v>0</v>
      </c>
      <c r="S43" s="199">
        <v>0</v>
      </c>
      <c r="T43" s="200" t="str">
        <f>IFERROR(VLOOKUP($A43,Tabla3[#All],2,0),"no esta registrado")</f>
        <v>CLARO//CODETEL</v>
      </c>
    </row>
    <row r="44" spans="1:20" ht="16.5" hidden="1" x14ac:dyDescent="0.3">
      <c r="A44" s="230" t="s">
        <v>486</v>
      </c>
      <c r="B44" s="193">
        <v>1</v>
      </c>
      <c r="C44" s="194">
        <v>7</v>
      </c>
      <c r="D44" s="195" t="str">
        <f>IF(C44=1,Leyenda!$C$3,IF(C44=2,Leyenda!$C$4,IF(C44=3,Leyenda!$C$5,IF(C44=4,Leyenda!$C$6,IF(C44=5,Leyenda!$C$7,IF(C44=6,Leyenda!$C$8,IF(C44=7,Leyenda!$C$9,IF(C44=8,Leyenda!$C$10," "))))))))&amp;IF(C44=9,Leyenda!$C$11,IF(C44=10,Leyenda!$C$12,IF(C44=11,Leyenda!$C$13,IF(C44=12,Leyenda!D101," "))))</f>
        <v xml:space="preserve">GASTOS FINANCIEROS </v>
      </c>
      <c r="E44" s="196" t="s">
        <v>1214</v>
      </c>
      <c r="F44" s="247">
        <f t="shared" si="8"/>
        <v>45316</v>
      </c>
      <c r="G44" s="247" t="str">
        <f t="shared" si="7"/>
        <v>enero</v>
      </c>
      <c r="H44" s="191">
        <v>22</v>
      </c>
      <c r="I44" s="148" t="str">
        <f>TEXT(gastos[[#This Row],[Fecha]],"DDDD")</f>
        <v>lunes</v>
      </c>
      <c r="J44" s="249">
        <f t="shared" si="1"/>
        <v>45313</v>
      </c>
      <c r="K44" s="249"/>
      <c r="L44" s="147"/>
      <c r="M44" s="197">
        <v>22604.17</v>
      </c>
      <c r="N44" s="197">
        <v>0</v>
      </c>
      <c r="O44" s="198">
        <f t="shared" si="6"/>
        <v>22604.17</v>
      </c>
      <c r="P44" s="199">
        <v>0</v>
      </c>
      <c r="Q44" s="199">
        <v>0</v>
      </c>
      <c r="R44" s="199">
        <v>0</v>
      </c>
      <c r="S44">
        <v>0</v>
      </c>
      <c r="T44" s="200" t="str">
        <f>IFERROR(VLOOKUP($A44,Tabla3[#All],2,0),"no esta registrado")</f>
        <v>Banco Multiple BHD León, S. A.</v>
      </c>
    </row>
    <row r="45" spans="1:20" ht="16.5" hidden="1" x14ac:dyDescent="0.3">
      <c r="A45" s="230" t="s">
        <v>486</v>
      </c>
      <c r="B45" s="193">
        <v>1</v>
      </c>
      <c r="C45" s="194">
        <v>7</v>
      </c>
      <c r="D45" s="195" t="str">
        <f>IF(C45=1,Leyenda!$C$3,IF(C45=2,Leyenda!$C$4,IF(C45=3,Leyenda!$C$5,IF(C45=4,Leyenda!$C$6,IF(C45=5,Leyenda!$C$7,IF(C45=6,Leyenda!$C$8,IF(C45=7,Leyenda!$C$9,IF(C45=8,Leyenda!$C$10," "))))))))&amp;IF(C45=9,Leyenda!$C$11,IF(C45=10,Leyenda!$C$12,IF(C45=11,Leyenda!$C$13,IF(C45=12,Leyenda!D102," "))))</f>
        <v xml:space="preserve">GASTOS FINANCIEROS </v>
      </c>
      <c r="E45" s="196" t="s">
        <v>1215</v>
      </c>
      <c r="F45" s="247">
        <f t="shared" si="8"/>
        <v>45316</v>
      </c>
      <c r="G45" s="247" t="str">
        <f t="shared" si="7"/>
        <v>enero</v>
      </c>
      <c r="H45" s="191">
        <v>1</v>
      </c>
      <c r="I45" s="148" t="str">
        <f>TEXT(gastos[[#This Row],[Fecha]],"DDDD")</f>
        <v>lunes</v>
      </c>
      <c r="J45" s="249">
        <f t="shared" si="1"/>
        <v>45292</v>
      </c>
      <c r="K45" s="249"/>
      <c r="L45" s="147"/>
      <c r="M45" s="197">
        <v>7500</v>
      </c>
      <c r="N45" s="197">
        <v>0</v>
      </c>
      <c r="O45" s="198">
        <f t="shared" si="6"/>
        <v>7500</v>
      </c>
      <c r="P45" s="199">
        <v>0</v>
      </c>
      <c r="Q45" s="199">
        <v>0</v>
      </c>
      <c r="R45" s="199">
        <v>0</v>
      </c>
      <c r="S45">
        <v>0</v>
      </c>
      <c r="T45" s="200" t="str">
        <f>IFERROR(VLOOKUP($A45,Tabla3[#All],2,0),"no esta registrado")</f>
        <v>Banco Multiple BHD León, S. A.</v>
      </c>
    </row>
    <row r="46" spans="1:20" ht="16.5" hidden="1" x14ac:dyDescent="0.3">
      <c r="A46" s="230" t="s">
        <v>489</v>
      </c>
      <c r="B46" s="193">
        <v>1</v>
      </c>
      <c r="C46" s="194">
        <v>7</v>
      </c>
      <c r="D46" s="195" t="str">
        <f>IF(C46=1,Leyenda!$C$3,IF(C46=2,Leyenda!$C$4,IF(C46=3,Leyenda!$C$5,IF(C46=4,Leyenda!$C$6,IF(C46=5,Leyenda!$C$7,IF(C46=6,Leyenda!$C$8,IF(C46=7,Leyenda!$C$9,IF(C46=8,Leyenda!$C$10," "))))))))&amp;IF(C46=9,Leyenda!$C$11,IF(C46=10,Leyenda!$C$12,IF(C46=11,Leyenda!$C$13,IF(C46=12,Leyenda!D103," "))))</f>
        <v xml:space="preserve">GASTOS FINANCIEROS </v>
      </c>
      <c r="E46" s="196" t="s">
        <v>1216</v>
      </c>
      <c r="F46" s="247">
        <f t="shared" si="8"/>
        <v>45316</v>
      </c>
      <c r="G46" s="247" t="str">
        <f t="shared" si="7"/>
        <v>enero</v>
      </c>
      <c r="H46" s="191">
        <v>31</v>
      </c>
      <c r="I46" s="148" t="str">
        <f>TEXT(gastos[[#This Row],[Fecha]],"DDDD")</f>
        <v>miércoles</v>
      </c>
      <c r="J46" s="249">
        <f t="shared" si="1"/>
        <v>45322</v>
      </c>
      <c r="K46" s="249"/>
      <c r="L46" s="147"/>
      <c r="M46" s="197">
        <v>11927.34</v>
      </c>
      <c r="N46" s="197">
        <v>0</v>
      </c>
      <c r="O46" s="198">
        <f t="shared" si="6"/>
        <v>11927.34</v>
      </c>
      <c r="P46" s="199">
        <v>0</v>
      </c>
      <c r="Q46" s="199">
        <v>0</v>
      </c>
      <c r="R46" s="199">
        <v>0</v>
      </c>
      <c r="S46">
        <v>0</v>
      </c>
      <c r="T46" s="200" t="str">
        <f>IFERROR(VLOOKUP($A46,Tabla3[#All],2,0),"no esta registrado")</f>
        <v>Banco Popular Dominicano, S. A. Banco Multiple</v>
      </c>
    </row>
    <row r="47" spans="1:20" ht="16.5" hidden="1" x14ac:dyDescent="0.3">
      <c r="A47" s="230" t="s">
        <v>909</v>
      </c>
      <c r="B47" s="193">
        <v>1</v>
      </c>
      <c r="C47" s="194">
        <v>4</v>
      </c>
      <c r="D47" s="195" t="str">
        <f>IF(C47=1,Leyenda!$C$3,IF(C47=2,Leyenda!$C$4,IF(C47=3,Leyenda!$C$5,IF(C47=4,Leyenda!$C$6,IF(C47=5,Leyenda!$C$7,IF(C47=6,Leyenda!$C$8,IF(C47=7,Leyenda!$C$9,IF(C47=8,Leyenda!$C$10," "))))))))&amp;IF(C47=9,Leyenda!$C$11,IF(C47=10,Leyenda!$C$12,IF(C47=11,Leyenda!$C$13,IF(C47=12,Leyenda!D104," "))))</f>
        <v xml:space="preserve">GASTOS DE ACTIVOS FIJO </v>
      </c>
      <c r="E47" s="196" t="s">
        <v>1217</v>
      </c>
      <c r="F47" s="247">
        <v>45328</v>
      </c>
      <c r="G47" s="247" t="str">
        <f t="shared" si="7"/>
        <v>febrero</v>
      </c>
      <c r="H47" s="191">
        <v>6</v>
      </c>
      <c r="I47" s="148" t="str">
        <f>TEXT(gastos[[#This Row],[Fecha]],"DDDD")</f>
        <v>martes</v>
      </c>
      <c r="J47" s="249">
        <f t="shared" si="1"/>
        <v>45328</v>
      </c>
      <c r="K47" s="249"/>
      <c r="L47" s="147"/>
      <c r="M47" s="197">
        <v>0</v>
      </c>
      <c r="N47" s="197">
        <v>3400</v>
      </c>
      <c r="O47" s="198">
        <f t="shared" si="6"/>
        <v>3400</v>
      </c>
      <c r="P47" s="199">
        <v>0</v>
      </c>
      <c r="Q47" s="199">
        <v>0</v>
      </c>
      <c r="R47" s="199">
        <v>0</v>
      </c>
      <c r="S47" s="199">
        <v>0</v>
      </c>
      <c r="T47" s="200" t="str">
        <f>IFERROR(VLOOKUP($A47,Tabla3[#All],2,0),"no esta registrado")</f>
        <v>Strata, S.R.L.</v>
      </c>
    </row>
    <row r="48" spans="1:20" ht="16.5" hidden="1" x14ac:dyDescent="0.3">
      <c r="A48" s="230" t="s">
        <v>1108</v>
      </c>
      <c r="B48" s="193">
        <v>1</v>
      </c>
      <c r="C48" s="194">
        <v>4</v>
      </c>
      <c r="D48" s="195" t="str">
        <f>IF(C48=1,Leyenda!$C$3,IF(C48=2,Leyenda!$C$4,IF(C48=3,Leyenda!$C$5,IF(C48=4,Leyenda!$C$6,IF(C48=5,Leyenda!$C$7,IF(C48=6,Leyenda!$C$8,IF(C48=7,Leyenda!$C$9,IF(C48=8,Leyenda!$C$10," "))))))))&amp;IF(C48=9,Leyenda!$C$11,IF(C48=10,Leyenda!$C$12,IF(C48=11,Leyenda!$C$13,IF(C48=12,Leyenda!D105," "))))</f>
        <v xml:space="preserve">GASTOS DE ACTIVOS FIJO </v>
      </c>
      <c r="E48" s="196" t="s">
        <v>1218</v>
      </c>
      <c r="F48" s="247">
        <v>45329</v>
      </c>
      <c r="G48" s="247" t="str">
        <f t="shared" si="7"/>
        <v>febrero</v>
      </c>
      <c r="H48" s="191">
        <v>15</v>
      </c>
      <c r="I48" s="148" t="str">
        <f>TEXT(gastos[[#This Row],[Fecha]],"DDDD")</f>
        <v>jueves</v>
      </c>
      <c r="J48" s="249">
        <f t="shared" si="1"/>
        <v>45337</v>
      </c>
      <c r="K48" s="249"/>
      <c r="L48" s="147"/>
      <c r="M48" s="197">
        <v>0</v>
      </c>
      <c r="N48" s="197">
        <v>1591</v>
      </c>
      <c r="O48" s="198">
        <f t="shared" si="6"/>
        <v>1591</v>
      </c>
      <c r="P48" s="199">
        <v>0</v>
      </c>
      <c r="Q48" s="199">
        <v>0</v>
      </c>
      <c r="R48" s="199">
        <v>0</v>
      </c>
      <c r="S48" s="199">
        <v>0</v>
      </c>
      <c r="T48" s="200" t="str">
        <f>IFERROR(VLOOKUP($A48,Tabla3[#All],2,0),"no esta registrado")</f>
        <v>Envasadora Gas Caribe Principal</v>
      </c>
    </row>
    <row r="49" spans="1:20" ht="16.5" hidden="1" x14ac:dyDescent="0.3">
      <c r="A49" s="230" t="s">
        <v>909</v>
      </c>
      <c r="B49" s="193">
        <v>1</v>
      </c>
      <c r="C49" s="194">
        <v>4</v>
      </c>
      <c r="D49" s="195" t="str">
        <f>IF(C49=1,Leyenda!$C$3,IF(C49=2,Leyenda!$C$4,IF(C49=3,Leyenda!$C$5,IF(C49=4,Leyenda!$C$6,IF(C49=5,Leyenda!$C$7,IF(C49=6,Leyenda!$C$8,IF(C49=7,Leyenda!$C$9,IF(C49=8,Leyenda!$C$10," "))))))))&amp;IF(C49=9,Leyenda!$C$11,IF(C49=10,Leyenda!$C$12,IF(C49=11,Leyenda!$C$13,IF(C49=12,Leyenda!D106," "))))</f>
        <v xml:space="preserve">GASTOS DE ACTIVOS FIJO </v>
      </c>
      <c r="E49" s="196" t="s">
        <v>1219</v>
      </c>
      <c r="F49" s="247">
        <v>45330</v>
      </c>
      <c r="G49" s="247" t="str">
        <f t="shared" si="7"/>
        <v>febrero</v>
      </c>
      <c r="H49" s="191">
        <v>22</v>
      </c>
      <c r="I49" s="148" t="str">
        <f>TEXT(gastos[[#This Row],[Fecha]],"DDDD")</f>
        <v>jueves</v>
      </c>
      <c r="J49" s="249">
        <f t="shared" si="1"/>
        <v>45344</v>
      </c>
      <c r="K49" s="249"/>
      <c r="L49" s="147"/>
      <c r="M49" s="197">
        <v>0</v>
      </c>
      <c r="N49" s="197">
        <v>4630</v>
      </c>
      <c r="O49" s="198">
        <f t="shared" ref="O49:O80" si="9">SUM(M49:N49)</f>
        <v>4630</v>
      </c>
      <c r="P49" s="199">
        <v>0</v>
      </c>
      <c r="Q49" s="199">
        <v>0</v>
      </c>
      <c r="R49" s="199">
        <v>0</v>
      </c>
      <c r="S49" s="199">
        <v>0</v>
      </c>
      <c r="T49" s="200" t="str">
        <f>IFERROR(VLOOKUP($A49,Tabla3[#All],2,0),"no esta registrado")</f>
        <v>Strata, S.R.L.</v>
      </c>
    </row>
    <row r="50" spans="1:20" ht="16.5" hidden="1" x14ac:dyDescent="0.3">
      <c r="A50" s="230" t="s">
        <v>909</v>
      </c>
      <c r="B50" s="193">
        <v>1</v>
      </c>
      <c r="C50" s="194">
        <v>4</v>
      </c>
      <c r="D50" s="195" t="str">
        <f>IF(C50=1,Leyenda!$C$3,IF(C50=2,Leyenda!$C$4,IF(C50=3,Leyenda!$C$5,IF(C50=4,Leyenda!$C$6,IF(C50=5,Leyenda!$C$7,IF(C50=6,Leyenda!$C$8,IF(C50=7,Leyenda!$C$9,IF(C50=8,Leyenda!$C$10," "))))))))&amp;IF(C50=9,Leyenda!$C$11,IF(C50=10,Leyenda!$C$12,IF(C50=11,Leyenda!$C$13,IF(C50=12,Leyenda!D107," "))))</f>
        <v xml:space="preserve">GASTOS DE ACTIVOS FIJO </v>
      </c>
      <c r="E50" s="196" t="s">
        <v>1220</v>
      </c>
      <c r="F50" s="247">
        <v>45331</v>
      </c>
      <c r="G50" s="247" t="str">
        <f t="shared" si="7"/>
        <v>febrero</v>
      </c>
      <c r="H50" s="191">
        <v>2</v>
      </c>
      <c r="I50" s="148" t="str">
        <f>TEXT(gastos[[#This Row],[Fecha]],"DDDD")</f>
        <v>viernes</v>
      </c>
      <c r="J50" s="249">
        <f t="shared" si="1"/>
        <v>45324</v>
      </c>
      <c r="K50" s="249"/>
      <c r="L50" s="147"/>
      <c r="M50" s="197">
        <v>0</v>
      </c>
      <c r="N50" s="197">
        <v>4549</v>
      </c>
      <c r="O50" s="198">
        <f t="shared" si="9"/>
        <v>4549</v>
      </c>
      <c r="P50" s="199">
        <v>0</v>
      </c>
      <c r="Q50" s="199">
        <v>0</v>
      </c>
      <c r="R50" s="199">
        <v>0</v>
      </c>
      <c r="S50" s="199">
        <v>0</v>
      </c>
      <c r="T50" s="200" t="str">
        <f>IFERROR(VLOOKUP($A50,Tabla3[#All],2,0),"no esta registrado")</f>
        <v>Strata, S.R.L.</v>
      </c>
    </row>
    <row r="51" spans="1:20" ht="16.5" hidden="1" x14ac:dyDescent="0.3">
      <c r="A51" s="230" t="s">
        <v>517</v>
      </c>
      <c r="B51" s="193">
        <v>1</v>
      </c>
      <c r="C51" s="194">
        <v>2</v>
      </c>
      <c r="D51" s="195" t="str">
        <f>IF(C51=1,Leyenda!$C$3,IF(C51=2,Leyenda!$C$4,IF(C51=3,Leyenda!$C$5,IF(C51=4,Leyenda!$C$6,IF(C51=5,Leyenda!$C$7,IF(C51=6,Leyenda!$C$8,IF(C51=7,Leyenda!$C$9,IF(C51=8,Leyenda!$C$10," "))))))))&amp;IF(C51=9,Leyenda!$C$11,IF(C51=10,Leyenda!$C$12,IF(C51=11,Leyenda!$C$13,IF(C51=12,Leyenda!D108," "))))</f>
        <v xml:space="preserve">GASTOS POR TRABAJOS, SUMINISTROS Y SERVICIOS </v>
      </c>
      <c r="E51" s="196" t="s">
        <v>1221</v>
      </c>
      <c r="F51" s="247">
        <v>45332</v>
      </c>
      <c r="G51" s="247" t="str">
        <f t="shared" si="7"/>
        <v>febrero</v>
      </c>
      <c r="H51" s="191">
        <v>10</v>
      </c>
      <c r="I51" s="148" t="str">
        <f>TEXT(gastos[[#This Row],[Fecha]],"DDDD")</f>
        <v>sábado</v>
      </c>
      <c r="J51" s="249">
        <f t="shared" si="1"/>
        <v>45332</v>
      </c>
      <c r="K51" s="249"/>
      <c r="L51" s="147"/>
      <c r="M51" s="197">
        <v>0</v>
      </c>
      <c r="N51" s="197">
        <f>390-59.43</f>
        <v>330.57</v>
      </c>
      <c r="O51" s="198">
        <f t="shared" si="9"/>
        <v>330.57</v>
      </c>
      <c r="P51" s="199">
        <v>59.43</v>
      </c>
      <c r="Q51" s="199">
        <v>0</v>
      </c>
      <c r="R51" s="199">
        <v>0</v>
      </c>
      <c r="S51" s="199">
        <v>0</v>
      </c>
      <c r="T51" s="200" t="str">
        <f>IFERROR(VLOOKUP($A51,Tabla3[#All],2,0),"no esta registrado")</f>
        <v>Pricesmart Dominicana S. A.</v>
      </c>
    </row>
    <row r="52" spans="1:20" ht="16.5" hidden="1" x14ac:dyDescent="0.3">
      <c r="A52" s="230" t="s">
        <v>1222</v>
      </c>
      <c r="B52" s="193">
        <v>1</v>
      </c>
      <c r="C52" s="194">
        <v>2</v>
      </c>
      <c r="D52" s="195" t="str">
        <f>IF(C52=1,Leyenda!$C$3,IF(C52=2,Leyenda!$C$4,IF(C52=3,Leyenda!$C$5,IF(C52=4,Leyenda!$C$6,IF(C52=5,Leyenda!$C$7,IF(C52=6,Leyenda!$C$8,IF(C52=7,Leyenda!$C$9,IF(C52=8,Leyenda!$C$10," "))))))))&amp;IF(C52=9,Leyenda!$C$11,IF(C52=10,Leyenda!$C$12,IF(C52=11,Leyenda!$C$13,IF(C52=12,Leyenda!D109," "))))</f>
        <v xml:space="preserve">GASTOS POR TRABAJOS, SUMINISTROS Y SERVICIOS </v>
      </c>
      <c r="E52" s="196" t="s">
        <v>1223</v>
      </c>
      <c r="F52" s="247">
        <v>45333</v>
      </c>
      <c r="G52" s="247" t="str">
        <f t="shared" si="7"/>
        <v>febrero</v>
      </c>
      <c r="H52" s="191">
        <v>26</v>
      </c>
      <c r="I52" s="148" t="str">
        <f>TEXT(gastos[[#This Row],[Fecha]],"DDDD")</f>
        <v>lunes</v>
      </c>
      <c r="J52" s="249">
        <f t="shared" si="1"/>
        <v>45348</v>
      </c>
      <c r="K52" s="249"/>
      <c r="L52" s="147"/>
      <c r="M52" s="197">
        <v>0</v>
      </c>
      <c r="N52" s="197">
        <v>1478.84</v>
      </c>
      <c r="O52" s="198">
        <f t="shared" si="9"/>
        <v>1478.84</v>
      </c>
      <c r="P52" s="199">
        <v>266.19</v>
      </c>
      <c r="Q52" s="199">
        <v>0</v>
      </c>
      <c r="R52" s="199">
        <v>0</v>
      </c>
      <c r="S52" s="199">
        <v>0</v>
      </c>
      <c r="T52" s="200" t="str">
        <f>IFERROR(VLOOKUP($A52,Tabla3[#All],2,0),"no esta registrado")</f>
        <v>no esta registrado</v>
      </c>
    </row>
    <row r="53" spans="1:20" ht="16.5" hidden="1" x14ac:dyDescent="0.3">
      <c r="A53" s="230" t="s">
        <v>1138</v>
      </c>
      <c r="B53" s="193">
        <v>1</v>
      </c>
      <c r="C53" s="194">
        <v>2</v>
      </c>
      <c r="D53" s="195" t="str">
        <f>IF(C53=1,Leyenda!$C$3,IF(C53=2,Leyenda!$C$4,IF(C53=3,Leyenda!$C$5,IF(C53=4,Leyenda!$C$6,IF(C53=5,Leyenda!$C$7,IF(C53=6,Leyenda!$C$8,IF(C53=7,Leyenda!$C$9,IF(C53=8,Leyenda!$C$10," "))))))))&amp;IF(C53=9,Leyenda!$C$11,IF(C53=10,Leyenda!$C$12,IF(C53=11,Leyenda!$C$13,IF(C53=12,Leyenda!D110," "))))</f>
        <v xml:space="preserve">GASTOS POR TRABAJOS, SUMINISTROS Y SERVICIOS </v>
      </c>
      <c r="E53" s="196" t="s">
        <v>1224</v>
      </c>
      <c r="F53" s="247">
        <v>45334</v>
      </c>
      <c r="G53" s="247" t="str">
        <f t="shared" si="7"/>
        <v>febrero</v>
      </c>
      <c r="H53" s="191">
        <v>15</v>
      </c>
      <c r="I53" s="148" t="str">
        <f>TEXT(gastos[[#This Row],[Fecha]],"DDDD")</f>
        <v>jueves</v>
      </c>
      <c r="J53" s="249">
        <f t="shared" si="1"/>
        <v>45337</v>
      </c>
      <c r="K53" s="249"/>
      <c r="L53" s="147"/>
      <c r="M53" s="197">
        <v>0</v>
      </c>
      <c r="N53" s="197">
        <f>650-99.15</f>
        <v>550.85</v>
      </c>
      <c r="O53" s="198">
        <f t="shared" si="9"/>
        <v>550.85</v>
      </c>
      <c r="P53" s="199">
        <v>99.15</v>
      </c>
      <c r="Q53" s="199">
        <v>0</v>
      </c>
      <c r="R53" s="199">
        <v>0</v>
      </c>
      <c r="S53" s="199">
        <v>0</v>
      </c>
      <c r="T53" s="200" t="str">
        <f>IFERROR(VLOOKUP($A53,Tabla3[#All],2,0),"no esta registrado")</f>
        <v>Almacenes Garrido</v>
      </c>
    </row>
    <row r="54" spans="1:20" ht="16.5" hidden="1" x14ac:dyDescent="0.3">
      <c r="A54" s="230" t="s">
        <v>1138</v>
      </c>
      <c r="B54" s="193">
        <v>1</v>
      </c>
      <c r="C54" s="194">
        <v>2</v>
      </c>
      <c r="D54" s="195" t="str">
        <f>IF(C54=1,Leyenda!$C$3,IF(C54=2,Leyenda!$C$4,IF(C54=3,Leyenda!$C$5,IF(C54=4,Leyenda!$C$6,IF(C54=5,Leyenda!$C$7,IF(C54=6,Leyenda!$C$8,IF(C54=7,Leyenda!$C$9,IF(C54=8,Leyenda!$C$10," "))))))))&amp;IF(C54=9,Leyenda!$C$11,IF(C54=10,Leyenda!$C$12,IF(C54=11,Leyenda!$C$13,IF(C54=12,Leyenda!D111," "))))</f>
        <v xml:space="preserve">GASTOS POR TRABAJOS, SUMINISTROS Y SERVICIOS </v>
      </c>
      <c r="E54" s="196" t="s">
        <v>1225</v>
      </c>
      <c r="F54" s="247">
        <v>45335</v>
      </c>
      <c r="G54" s="247" t="str">
        <f t="shared" si="7"/>
        <v>febrero</v>
      </c>
      <c r="H54" s="191">
        <v>16</v>
      </c>
      <c r="I54" s="148" t="str">
        <f>TEXT(gastos[[#This Row],[Fecha]],"DDDD")</f>
        <v>viernes</v>
      </c>
      <c r="J54" s="249">
        <f t="shared" si="1"/>
        <v>45338</v>
      </c>
      <c r="K54" s="249"/>
      <c r="L54" s="147"/>
      <c r="M54" s="197">
        <v>0</v>
      </c>
      <c r="N54" s="197">
        <f>2795-425.36</f>
        <v>2369.64</v>
      </c>
      <c r="O54" s="198">
        <f t="shared" si="9"/>
        <v>2369.64</v>
      </c>
      <c r="P54" s="199">
        <v>425.36</v>
      </c>
      <c r="Q54" s="199">
        <v>0</v>
      </c>
      <c r="R54" s="199">
        <v>0</v>
      </c>
      <c r="S54" s="199">
        <v>0</v>
      </c>
      <c r="T54" s="200" t="str">
        <f>IFERROR(VLOOKUP($A54,Tabla3[#All],2,0),"no esta registrado")</f>
        <v>Almacenes Garrido</v>
      </c>
    </row>
    <row r="55" spans="1:20" ht="16.5" hidden="1" x14ac:dyDescent="0.3">
      <c r="A55" s="231" t="s">
        <v>1124</v>
      </c>
      <c r="B55" s="193">
        <v>1</v>
      </c>
      <c r="C55" s="194">
        <v>2</v>
      </c>
      <c r="D55" s="195" t="str">
        <f>IF(C55=1,Leyenda!$C$3,IF(C55=2,Leyenda!$C$4,IF(C55=3,Leyenda!$C$5,IF(C55=4,Leyenda!$C$6,IF(C55=5,Leyenda!$C$7,IF(C55=6,Leyenda!$C$8,IF(C55=7,Leyenda!$C$9,IF(C55=8,Leyenda!$C$10," "))))))))&amp;IF(C55=9,Leyenda!$C$11,IF(C55=10,Leyenda!$C$12,IF(C55=11,Leyenda!$C$13,IF(C55=12,Leyenda!D112," "))))</f>
        <v xml:space="preserve">GASTOS POR TRABAJOS, SUMINISTROS Y SERVICIOS </v>
      </c>
      <c r="E55" s="196" t="s">
        <v>1226</v>
      </c>
      <c r="F55" s="247">
        <v>45336</v>
      </c>
      <c r="G55" s="247" t="str">
        <f t="shared" si="7"/>
        <v>febrero</v>
      </c>
      <c r="H55" s="191">
        <v>22</v>
      </c>
      <c r="I55" s="148" t="str">
        <f>TEXT(gastos[[#This Row],[Fecha]],"DDDD")</f>
        <v>jueves</v>
      </c>
      <c r="J55" s="249">
        <f t="shared" si="1"/>
        <v>45344</v>
      </c>
      <c r="K55" s="249"/>
      <c r="L55" s="147"/>
      <c r="M55" s="197">
        <v>0</v>
      </c>
      <c r="N55" s="197">
        <v>614.41</v>
      </c>
      <c r="O55" s="198">
        <f t="shared" si="9"/>
        <v>614.41</v>
      </c>
      <c r="P55" s="199">
        <v>110.59</v>
      </c>
      <c r="Q55" s="199">
        <v>0</v>
      </c>
      <c r="R55" s="199">
        <v>0</v>
      </c>
      <c r="S55" s="199">
        <v>0</v>
      </c>
      <c r="T55" s="200" t="str">
        <f>IFERROR(VLOOKUP($A55,Tabla3[#All],2,0),"no esta registrado")</f>
        <v>Little Ceasars Pizza Alma Rosa</v>
      </c>
    </row>
    <row r="56" spans="1:20" ht="16.5" hidden="1" x14ac:dyDescent="0.3">
      <c r="A56" s="230" t="s">
        <v>711</v>
      </c>
      <c r="B56" s="193">
        <v>1</v>
      </c>
      <c r="C56" s="194">
        <v>2</v>
      </c>
      <c r="D56" s="195" t="str">
        <f>IF(C56=1,Leyenda!$C$3,IF(C56=2,Leyenda!$C$4,IF(C56=3,Leyenda!$C$5,IF(C56=4,Leyenda!$C$6,IF(C56=5,Leyenda!$C$7,IF(C56=6,Leyenda!$C$8,IF(C56=7,Leyenda!$C$9,IF(C56=8,Leyenda!$C$10," "))))))))&amp;IF(C56=9,Leyenda!$C$11,IF(C56=10,Leyenda!$C$12,IF(C56=11,Leyenda!$C$13,IF(C56=12,Leyenda!D113," "))))</f>
        <v xml:space="preserve">GASTOS POR TRABAJOS, SUMINISTROS Y SERVICIOS </v>
      </c>
      <c r="E56" s="196" t="s">
        <v>1227</v>
      </c>
      <c r="F56" s="247">
        <v>45337</v>
      </c>
      <c r="G56" s="247" t="str">
        <f t="shared" si="7"/>
        <v>febrero</v>
      </c>
      <c r="H56" s="191">
        <v>20</v>
      </c>
      <c r="I56" s="148" t="str">
        <f>TEXT(gastos[[#This Row],[Fecha]],"DDDD")</f>
        <v>martes</v>
      </c>
      <c r="J56" s="249">
        <f t="shared" si="1"/>
        <v>45342</v>
      </c>
      <c r="K56" s="249"/>
      <c r="L56" s="147"/>
      <c r="M56" s="197">
        <v>0</v>
      </c>
      <c r="N56" s="197">
        <f>3295-502.63</f>
        <v>2792.37</v>
      </c>
      <c r="O56" s="198">
        <f t="shared" si="9"/>
        <v>2792.37</v>
      </c>
      <c r="P56" s="199">
        <v>502.63</v>
      </c>
      <c r="Q56" s="199">
        <v>0</v>
      </c>
      <c r="R56" s="199">
        <v>0</v>
      </c>
      <c r="S56" s="199">
        <v>0</v>
      </c>
      <c r="T56" s="200" t="str">
        <f>IFERROR(VLOOKUP($A56,Tabla3[#All],2,0),"no esta registrado")</f>
        <v>Antonio Chahin M., S.A.//Anthony s</v>
      </c>
    </row>
    <row r="57" spans="1:20" ht="16.5" hidden="1" x14ac:dyDescent="0.3">
      <c r="A57" s="230" t="s">
        <v>504</v>
      </c>
      <c r="B57" s="193">
        <v>1</v>
      </c>
      <c r="C57" s="194">
        <v>2</v>
      </c>
      <c r="D57" s="195" t="str">
        <f>IF(C57=1,Leyenda!$C$3,IF(C57=2,Leyenda!$C$4,IF(C57=3,Leyenda!$C$5,IF(C57=4,Leyenda!$C$6,IF(C57=5,Leyenda!$C$7,IF(C57=6,Leyenda!$C$8,IF(C57=7,Leyenda!$C$9,IF(C57=8,Leyenda!$C$10," "))))))))&amp;IF(C57=9,Leyenda!$C$11,IF(C57=10,Leyenda!$C$12,IF(C57=11,Leyenda!$C$13,IF(C57=12,Leyenda!D114," "))))</f>
        <v xml:space="preserve">GASTOS POR TRABAJOS, SUMINISTROS Y SERVICIOS </v>
      </c>
      <c r="E57" s="196" t="s">
        <v>1228</v>
      </c>
      <c r="F57" s="247">
        <v>45338</v>
      </c>
      <c r="G57" s="247" t="str">
        <f t="shared" si="7"/>
        <v>febrero</v>
      </c>
      <c r="H57" s="191">
        <v>23</v>
      </c>
      <c r="I57" s="148" t="str">
        <f>TEXT(gastos[[#This Row],[Fecha]],"DDDD")</f>
        <v>viernes</v>
      </c>
      <c r="J57" s="249">
        <f t="shared" si="1"/>
        <v>45345</v>
      </c>
      <c r="K57" s="249"/>
      <c r="L57" s="147"/>
      <c r="M57" s="197">
        <v>0</v>
      </c>
      <c r="N57" s="197">
        <v>1850</v>
      </c>
      <c r="O57" s="198">
        <f t="shared" si="9"/>
        <v>1850</v>
      </c>
      <c r="P57" s="199">
        <v>0</v>
      </c>
      <c r="Q57" s="199">
        <v>0</v>
      </c>
      <c r="R57" s="199">
        <v>0</v>
      </c>
      <c r="S57" s="199">
        <v>0</v>
      </c>
      <c r="T57" s="200" t="str">
        <f>IFERROR(VLOOKUP($A57,Tabla3[#All],2,0),"no esta registrado")</f>
        <v>Centro Cuesta Nacional S.A.S.//Supermercados Nacional//Casa Cuesta//Ferretería Cuesta//JUMBO//Bebemundo</v>
      </c>
    </row>
    <row r="58" spans="1:20" ht="16.5" hidden="1" x14ac:dyDescent="0.3">
      <c r="A58" s="230" t="s">
        <v>511</v>
      </c>
      <c r="B58" s="193">
        <v>1</v>
      </c>
      <c r="C58" s="194">
        <v>2</v>
      </c>
      <c r="D58" s="195" t="str">
        <f>IF(C58=1,Leyenda!$C$3,IF(C58=2,Leyenda!$C$4,IF(C58=3,Leyenda!$C$5,IF(C58=4,Leyenda!$C$6,IF(C58=5,Leyenda!$C$7,IF(C58=6,Leyenda!$C$8,IF(C58=7,Leyenda!$C$9,IF(C58=8,Leyenda!$C$10," "))))))))&amp;IF(C58=9,Leyenda!$C$11,IF(C58=10,Leyenda!$C$12,IF(C58=11,Leyenda!$C$13,IF(C58=12,Leyenda!D115," "))))</f>
        <v xml:space="preserve">GASTOS POR TRABAJOS, SUMINISTROS Y SERVICIOS </v>
      </c>
      <c r="E58" s="196" t="s">
        <v>1229</v>
      </c>
      <c r="F58" s="247">
        <v>45339</v>
      </c>
      <c r="G58" s="247" t="str">
        <f t="shared" si="7"/>
        <v>febrero</v>
      </c>
      <c r="H58" s="191">
        <v>26</v>
      </c>
      <c r="I58" s="148" t="str">
        <f>TEXT(gastos[[#This Row],[Fecha]],"DDDD")</f>
        <v>lunes</v>
      </c>
      <c r="J58" s="249">
        <f t="shared" si="1"/>
        <v>45348</v>
      </c>
      <c r="K58" s="249"/>
      <c r="L58" s="147"/>
      <c r="M58" s="197">
        <v>0</v>
      </c>
      <c r="N58" s="197">
        <f>14383-1063.11</f>
        <v>13319.89</v>
      </c>
      <c r="O58" s="198">
        <f t="shared" si="9"/>
        <v>13319.89</v>
      </c>
      <c r="P58" s="199">
        <v>1063.1099999999999</v>
      </c>
      <c r="Q58" s="199">
        <v>0</v>
      </c>
      <c r="R58" s="199">
        <v>0</v>
      </c>
      <c r="S58" s="199">
        <v>0</v>
      </c>
      <c r="T58" s="200" t="str">
        <f>IFERROR(VLOOKUP($A58,Tabla3[#All],2,0),"no esta registrado")</f>
        <v>Bravo, S.A.//Supermercados Bravo</v>
      </c>
    </row>
    <row r="59" spans="1:20" ht="16.5" hidden="1" x14ac:dyDescent="0.3">
      <c r="A59" s="230" t="s">
        <v>507</v>
      </c>
      <c r="B59" s="193">
        <v>1</v>
      </c>
      <c r="C59" s="194">
        <v>2</v>
      </c>
      <c r="D59" s="195" t="str">
        <f>IF(C59=1,Leyenda!$C$3,IF(C59=2,Leyenda!$C$4,IF(C59=3,Leyenda!$C$5,IF(C59=4,Leyenda!$C$6,IF(C59=5,Leyenda!$C$7,IF(C59=6,Leyenda!$C$8,IF(C59=7,Leyenda!$C$9,IF(C59=8,Leyenda!$C$10," "))))))))&amp;IF(C59=9,Leyenda!$C$11,IF(C59=10,Leyenda!$C$12,IF(C59=11,Leyenda!$C$13,IF(C59=12,Leyenda!D116," "))))</f>
        <v xml:space="preserve">GASTOS POR TRABAJOS, SUMINISTROS Y SERVICIOS </v>
      </c>
      <c r="E59" s="196" t="s">
        <v>1230</v>
      </c>
      <c r="F59" s="247">
        <v>45340</v>
      </c>
      <c r="G59" s="247" t="str">
        <f t="shared" si="7"/>
        <v>febrero</v>
      </c>
      <c r="H59" s="191">
        <v>14</v>
      </c>
      <c r="I59" s="148" t="str">
        <f>TEXT(gastos[[#This Row],[Fecha]],"DDDD")</f>
        <v>miércoles</v>
      </c>
      <c r="J59" s="249">
        <f t="shared" si="1"/>
        <v>45336</v>
      </c>
      <c r="K59" s="249"/>
      <c r="L59" s="147"/>
      <c r="M59" s="197">
        <v>0</v>
      </c>
      <c r="N59" s="197">
        <f>4440-677.31</f>
        <v>3762.69</v>
      </c>
      <c r="O59" s="198">
        <f t="shared" si="9"/>
        <v>3762.69</v>
      </c>
      <c r="P59" s="199">
        <v>677.31</v>
      </c>
      <c r="Q59" s="199">
        <v>0</v>
      </c>
      <c r="R59" s="199">
        <v>0</v>
      </c>
      <c r="S59" s="199">
        <v>0</v>
      </c>
      <c r="T59" s="200" t="str">
        <f>IFERROR(VLOOKUP($A59,Tabla3[#All],2,0),"no esta registrado")</f>
        <v>Grupo Ramos, S. A.//Super Pola//La Sirena</v>
      </c>
    </row>
    <row r="60" spans="1:20" ht="16.5" hidden="1" x14ac:dyDescent="0.3">
      <c r="A60" s="231" t="s">
        <v>511</v>
      </c>
      <c r="B60" s="193">
        <v>1</v>
      </c>
      <c r="C60" s="194">
        <v>2</v>
      </c>
      <c r="D60" s="195" t="str">
        <f>IF(C60=1,Leyenda!$C$3,IF(C60=2,Leyenda!$C$4,IF(C60=3,Leyenda!$C$5,IF(C60=4,Leyenda!$C$6,IF(C60=5,Leyenda!$C$7,IF(C60=6,Leyenda!$C$8,IF(C60=7,Leyenda!$C$9,IF(C60=8,Leyenda!$C$10," "))))))))&amp;IF(C60=9,Leyenda!$C$11,IF(C60=10,Leyenda!$C$12,IF(C60=11,Leyenda!$C$13,IF(C60=12,Leyenda!D117," "))))</f>
        <v xml:space="preserve">GASTOS POR TRABAJOS, SUMINISTROS Y SERVICIOS </v>
      </c>
      <c r="E60" s="196" t="s">
        <v>1231</v>
      </c>
      <c r="F60" s="247">
        <v>45341</v>
      </c>
      <c r="G60" s="247" t="str">
        <f t="shared" si="7"/>
        <v>febrero</v>
      </c>
      <c r="H60" s="191">
        <v>8</v>
      </c>
      <c r="I60" s="148" t="str">
        <f>TEXT(gastos[[#This Row],[Fecha]],"DDDD")</f>
        <v>jueves</v>
      </c>
      <c r="J60" s="249">
        <f t="shared" si="1"/>
        <v>45330</v>
      </c>
      <c r="K60" s="249"/>
      <c r="L60" s="147"/>
      <c r="M60" s="197">
        <v>0</v>
      </c>
      <c r="N60" s="197">
        <f>13937-1158.35</f>
        <v>12778.65</v>
      </c>
      <c r="O60" s="198">
        <f t="shared" si="9"/>
        <v>12778.65</v>
      </c>
      <c r="P60" s="199">
        <v>1158.3499999999999</v>
      </c>
      <c r="Q60" s="199">
        <v>0</v>
      </c>
      <c r="R60" s="199">
        <v>0</v>
      </c>
      <c r="S60" s="199">
        <v>0</v>
      </c>
      <c r="T60" s="200" t="str">
        <f>IFERROR(VLOOKUP($A60,Tabla3[#All],2,0),"no esta registrado")</f>
        <v>Bravo, S.A.//Supermercados Bravo</v>
      </c>
    </row>
    <row r="61" spans="1:20" ht="16.5" hidden="1" x14ac:dyDescent="0.3">
      <c r="A61" s="230" t="s">
        <v>507</v>
      </c>
      <c r="B61" s="193">
        <v>1</v>
      </c>
      <c r="C61" s="194">
        <v>2</v>
      </c>
      <c r="D61" s="195" t="str">
        <f>IF(C61=1,Leyenda!$C$3,IF(C61=2,Leyenda!$C$4,IF(C61=3,Leyenda!$C$5,IF(C61=4,Leyenda!$C$6,IF(C61=5,Leyenda!$C$7,IF(C61=6,Leyenda!$C$8,IF(C61=7,Leyenda!$C$9,IF(C61=8,Leyenda!$C$10," "))))))))&amp;IF(C61=9,Leyenda!$C$11,IF(C61=10,Leyenda!$C$12,IF(C61=11,Leyenda!$C$13,IF(C61=12,Leyenda!D118," "))))</f>
        <v xml:space="preserve">GASTOS POR TRABAJOS, SUMINISTROS Y SERVICIOS </v>
      </c>
      <c r="E61" s="196" t="s">
        <v>1232</v>
      </c>
      <c r="F61" s="247">
        <v>45342</v>
      </c>
      <c r="G61" s="247" t="str">
        <f t="shared" si="7"/>
        <v>febrero</v>
      </c>
      <c r="H61" s="191">
        <v>2</v>
      </c>
      <c r="I61" s="148" t="str">
        <f>TEXT(gastos[[#This Row],[Fecha]],"DDDD")</f>
        <v>viernes</v>
      </c>
      <c r="J61" s="249">
        <f t="shared" si="1"/>
        <v>45324</v>
      </c>
      <c r="K61" s="249"/>
      <c r="L61" s="147"/>
      <c r="M61" s="197">
        <v>0</v>
      </c>
      <c r="N61" s="197">
        <f>2975-453.83</f>
        <v>2521.17</v>
      </c>
      <c r="O61" s="198">
        <f t="shared" si="9"/>
        <v>2521.17</v>
      </c>
      <c r="P61" s="199">
        <v>453.83</v>
      </c>
      <c r="Q61" s="199">
        <v>0</v>
      </c>
      <c r="R61" s="199">
        <v>0</v>
      </c>
      <c r="S61" s="199">
        <v>0</v>
      </c>
      <c r="T61" s="200" t="str">
        <f>IFERROR(VLOOKUP($A61,Tabla3[#All],2,0),"no esta registrado")</f>
        <v>Grupo Ramos, S. A.//Super Pola//La Sirena</v>
      </c>
    </row>
    <row r="62" spans="1:20" ht="16.5" hidden="1" x14ac:dyDescent="0.3">
      <c r="A62" s="230" t="s">
        <v>511</v>
      </c>
      <c r="B62" s="193">
        <v>1</v>
      </c>
      <c r="C62" s="194">
        <v>2</v>
      </c>
      <c r="D62" s="195" t="str">
        <f>IF(C62=1,Leyenda!$C$3,IF(C62=2,Leyenda!$C$4,IF(C62=3,Leyenda!$C$5,IF(C62=4,Leyenda!$C$6,IF(C62=5,Leyenda!$C$7,IF(C62=6,Leyenda!$C$8,IF(C62=7,Leyenda!$C$9,IF(C62=8,Leyenda!$C$10," "))))))))&amp;IF(C62=9,Leyenda!$C$11,IF(C62=10,Leyenda!$C$12,IF(C62=11,Leyenda!$C$13,IF(C62=12,Leyenda!D119," "))))</f>
        <v xml:space="preserve">GASTOS POR TRABAJOS, SUMINISTROS Y SERVICIOS </v>
      </c>
      <c r="E62" s="196" t="s">
        <v>1233</v>
      </c>
      <c r="F62" s="247">
        <v>45343</v>
      </c>
      <c r="G62" s="247" t="str">
        <f t="shared" si="7"/>
        <v>febrero</v>
      </c>
      <c r="H62" s="191">
        <v>12</v>
      </c>
      <c r="I62" s="148" t="str">
        <f>TEXT(gastos[[#This Row],[Fecha]],"DDDD")</f>
        <v>lunes</v>
      </c>
      <c r="J62" s="249">
        <f t="shared" si="1"/>
        <v>45334</v>
      </c>
      <c r="K62" s="249"/>
      <c r="L62" s="147"/>
      <c r="M62" s="197">
        <v>0</v>
      </c>
      <c r="N62" s="197">
        <f>2847-150.71</f>
        <v>2696.29</v>
      </c>
      <c r="O62" s="198">
        <f t="shared" si="9"/>
        <v>2696.29</v>
      </c>
      <c r="P62" s="199">
        <v>150.71</v>
      </c>
      <c r="Q62" s="199">
        <v>0</v>
      </c>
      <c r="R62" s="199">
        <v>0</v>
      </c>
      <c r="S62" s="199">
        <v>0</v>
      </c>
      <c r="T62" s="200" t="str">
        <f>IFERROR(VLOOKUP($A62,Tabla3[#All],2,0),"no esta registrado")</f>
        <v>Bravo, S.A.//Supermercados Bravo</v>
      </c>
    </row>
    <row r="63" spans="1:20" ht="16.5" hidden="1" x14ac:dyDescent="0.3">
      <c r="A63" s="230" t="s">
        <v>511</v>
      </c>
      <c r="B63" s="193">
        <v>1</v>
      </c>
      <c r="C63" s="194">
        <v>2</v>
      </c>
      <c r="D63" s="195" t="str">
        <f>IF(C63=1,Leyenda!$C$3,IF(C63=2,Leyenda!$C$4,IF(C63=3,Leyenda!$C$5,IF(C63=4,Leyenda!$C$6,IF(C63=5,Leyenda!$C$7,IF(C63=6,Leyenda!$C$8,IF(C63=7,Leyenda!$C$9,IF(C63=8,Leyenda!$C$10," "))))))))&amp;IF(C63=9,Leyenda!$C$11,IF(C63=10,Leyenda!$C$12,IF(C63=11,Leyenda!$C$13,IF(C63=12,Leyenda!D120," "))))</f>
        <v xml:space="preserve">GASTOS POR TRABAJOS, SUMINISTROS Y SERVICIOS </v>
      </c>
      <c r="E63" s="196" t="s">
        <v>1234</v>
      </c>
      <c r="F63" s="247">
        <v>45344</v>
      </c>
      <c r="G63" s="247" t="str">
        <f t="shared" si="7"/>
        <v>febrero</v>
      </c>
      <c r="H63" s="191">
        <v>17</v>
      </c>
      <c r="I63" s="148" t="str">
        <f>TEXT(gastos[[#This Row],[Fecha]],"DDDD")</f>
        <v>sábado</v>
      </c>
      <c r="J63" s="249">
        <f t="shared" si="1"/>
        <v>45339</v>
      </c>
      <c r="K63" s="249"/>
      <c r="L63" s="147"/>
      <c r="M63" s="197">
        <v>0</v>
      </c>
      <c r="N63" s="197">
        <f>12291-1090.15</f>
        <v>11200.85</v>
      </c>
      <c r="O63" s="198">
        <f t="shared" si="9"/>
        <v>11200.85</v>
      </c>
      <c r="P63" s="199">
        <v>1090.1500000000001</v>
      </c>
      <c r="Q63" s="199">
        <v>0</v>
      </c>
      <c r="R63" s="199">
        <v>0</v>
      </c>
      <c r="S63" s="199">
        <v>0</v>
      </c>
      <c r="T63" s="200" t="str">
        <f>IFERROR(VLOOKUP($A63,Tabla3[#All],2,0),"no esta registrado")</f>
        <v>Bravo, S.A.//Supermercados Bravo</v>
      </c>
    </row>
    <row r="64" spans="1:20" ht="16.5" hidden="1" x14ac:dyDescent="0.3">
      <c r="A64" s="230" t="s">
        <v>504</v>
      </c>
      <c r="B64" s="193">
        <v>1</v>
      </c>
      <c r="C64" s="194">
        <v>2</v>
      </c>
      <c r="D64" s="195" t="str">
        <f>IF(C64=1,Leyenda!$C$3,IF(C64=2,Leyenda!$C$4,IF(C64=3,Leyenda!$C$5,IF(C64=4,Leyenda!$C$6,IF(C64=5,Leyenda!$C$7,IF(C64=6,Leyenda!$C$8,IF(C64=7,Leyenda!$C$9,IF(C64=8,Leyenda!$C$10," "))))))))&amp;IF(C64=9,Leyenda!$C$11,IF(C64=10,Leyenda!$C$12,IF(C64=11,Leyenda!$C$13,IF(C64=12,Leyenda!D121," "))))</f>
        <v xml:space="preserve">GASTOS POR TRABAJOS, SUMINISTROS Y SERVICIOS </v>
      </c>
      <c r="E64" s="196" t="s">
        <v>1235</v>
      </c>
      <c r="F64" s="247">
        <v>45345</v>
      </c>
      <c r="G64" s="247" t="str">
        <f t="shared" si="7"/>
        <v>febrero</v>
      </c>
      <c r="H64" s="191">
        <v>16</v>
      </c>
      <c r="I64" s="148" t="str">
        <f>TEXT(gastos[[#This Row],[Fecha]],"DDDD")</f>
        <v>viernes</v>
      </c>
      <c r="J64" s="249">
        <f t="shared" si="1"/>
        <v>45338</v>
      </c>
      <c r="K64" s="249"/>
      <c r="L64" s="147"/>
      <c r="M64" s="197">
        <v>0</v>
      </c>
      <c r="N64" s="197">
        <f>1655.11-112.31</f>
        <v>1542.8</v>
      </c>
      <c r="O64" s="198">
        <f t="shared" si="9"/>
        <v>1542.8</v>
      </c>
      <c r="P64" s="199">
        <v>112.31</v>
      </c>
      <c r="Q64" s="199">
        <v>0</v>
      </c>
      <c r="R64" s="199">
        <v>0</v>
      </c>
      <c r="S64" s="199">
        <v>0</v>
      </c>
      <c r="T64" s="200" t="str">
        <f>IFERROR(VLOOKUP($A64,Tabla3[#All],2,0),"no esta registrado")</f>
        <v>Centro Cuesta Nacional S.A.S.//Supermercados Nacional//Casa Cuesta//Ferretería Cuesta//JUMBO//Bebemundo</v>
      </c>
    </row>
    <row r="65" spans="1:20" ht="16.5" hidden="1" x14ac:dyDescent="0.3">
      <c r="A65" s="230" t="s">
        <v>511</v>
      </c>
      <c r="B65" s="193">
        <v>1</v>
      </c>
      <c r="C65" s="194">
        <v>2</v>
      </c>
      <c r="D65" s="195" t="str">
        <f>IF(C65=1,Leyenda!$C$3,IF(C65=2,Leyenda!$C$4,IF(C65=3,Leyenda!$C$5,IF(C65=4,Leyenda!$C$6,IF(C65=5,Leyenda!$C$7,IF(C65=6,Leyenda!$C$8,IF(C65=7,Leyenda!$C$9,IF(C65=8,Leyenda!$C$10," "))))))))&amp;IF(C65=9,Leyenda!$C$11,IF(C65=10,Leyenda!$C$12,IF(C65=11,Leyenda!$C$13,IF(C65=12,Leyenda!D122," "))))</f>
        <v xml:space="preserve">GASTOS POR TRABAJOS, SUMINISTROS Y SERVICIOS </v>
      </c>
      <c r="E65" s="196" t="s">
        <v>1236</v>
      </c>
      <c r="F65" s="247">
        <v>45346</v>
      </c>
      <c r="G65" s="247" t="str">
        <f t="shared" si="7"/>
        <v>febrero</v>
      </c>
      <c r="H65" s="191">
        <v>29</v>
      </c>
      <c r="I65" s="148" t="str">
        <f>TEXT(gastos[[#This Row],[Fecha]],"DDDD")</f>
        <v>jueves</v>
      </c>
      <c r="J65" s="249">
        <f t="shared" si="1"/>
        <v>45351</v>
      </c>
      <c r="K65" s="249"/>
      <c r="L65" s="147"/>
      <c r="M65" s="197">
        <v>0</v>
      </c>
      <c r="N65" s="197">
        <f>13042-1075.67</f>
        <v>11966.33</v>
      </c>
      <c r="O65" s="198">
        <f t="shared" si="9"/>
        <v>11966.33</v>
      </c>
      <c r="P65" s="199">
        <v>1075.67</v>
      </c>
      <c r="Q65" s="199">
        <v>0</v>
      </c>
      <c r="R65" s="199">
        <v>0</v>
      </c>
      <c r="S65" s="199">
        <v>0</v>
      </c>
      <c r="T65" s="200" t="str">
        <f>IFERROR(VLOOKUP($A65,Tabla3[#All],2,0),"no esta registrado")</f>
        <v>Bravo, S.A.//Supermercados Bravo</v>
      </c>
    </row>
    <row r="66" spans="1:20" ht="16.5" hidden="1" x14ac:dyDescent="0.3">
      <c r="A66" s="230" t="s">
        <v>1114</v>
      </c>
      <c r="B66" s="193">
        <v>1</v>
      </c>
      <c r="C66" s="194">
        <v>2</v>
      </c>
      <c r="D66" s="195" t="str">
        <f>IF(C66=1,Leyenda!$C$3,IF(C66=2,Leyenda!$C$4,IF(C66=3,Leyenda!$C$5,IF(C66=4,Leyenda!$C$6,IF(C66=5,Leyenda!$C$7,IF(C66=6,Leyenda!$C$8,IF(C66=7,Leyenda!$C$9,IF(C66=8,Leyenda!$C$10," "))))))))&amp;IF(C66=9,Leyenda!$C$11,IF(C66=10,Leyenda!$C$12,IF(C66=11,Leyenda!$C$13,IF(C66=12,Leyenda!D123," "))))</f>
        <v xml:space="preserve">GASTOS POR TRABAJOS, SUMINISTROS Y SERVICIOS </v>
      </c>
      <c r="E66" s="196" t="s">
        <v>1237</v>
      </c>
      <c r="F66" s="247">
        <v>45347</v>
      </c>
      <c r="G66" s="247" t="str">
        <f t="shared" si="7"/>
        <v>febrero</v>
      </c>
      <c r="H66" s="191">
        <v>9</v>
      </c>
      <c r="I66" s="148" t="str">
        <f>TEXT(gastos[[#This Row],[Fecha]],"DDDD")</f>
        <v>viernes</v>
      </c>
      <c r="J66" s="249">
        <f t="shared" si="1"/>
        <v>45331</v>
      </c>
      <c r="K66" s="249"/>
      <c r="L66" s="147"/>
      <c r="M66" s="197">
        <v>2606</v>
      </c>
      <c r="N66" s="197">
        <v>0</v>
      </c>
      <c r="O66" s="198">
        <f t="shared" si="9"/>
        <v>2606</v>
      </c>
      <c r="P66" s="199">
        <v>0</v>
      </c>
      <c r="Q66" s="199">
        <v>0</v>
      </c>
      <c r="R66" s="199">
        <v>0</v>
      </c>
      <c r="S66" s="199">
        <v>0</v>
      </c>
      <c r="T66" s="200" t="str">
        <f>IFERROR(VLOOKUP($A66,Tabla3[#All],2,0),"no esta registrado")</f>
        <v>ACADEMIA EUROPEA</v>
      </c>
    </row>
    <row r="67" spans="1:20" ht="16.5" hidden="1" x14ac:dyDescent="0.3">
      <c r="A67" s="230" t="s">
        <v>1114</v>
      </c>
      <c r="B67" s="193">
        <v>1</v>
      </c>
      <c r="C67" s="194">
        <v>2</v>
      </c>
      <c r="D67" s="195" t="str">
        <f>IF(C67=1,Leyenda!$C$3,IF(C67=2,Leyenda!$C$4,IF(C67=3,Leyenda!$C$5,IF(C67=4,Leyenda!$C$6,IF(C67=5,Leyenda!$C$7,IF(C67=6,Leyenda!$C$8,IF(C67=7,Leyenda!$C$9,IF(C67=8,Leyenda!$C$10," "))))))))&amp;IF(C67=9,Leyenda!$C$11,IF(C67=10,Leyenda!$C$12,IF(C67=11,Leyenda!$C$13,IF(C67=12,Leyenda!D124," "))))</f>
        <v xml:space="preserve">GASTOS POR TRABAJOS, SUMINISTROS Y SERVICIOS </v>
      </c>
      <c r="E67" s="196" t="s">
        <v>1238</v>
      </c>
      <c r="F67" s="247">
        <v>45348</v>
      </c>
      <c r="G67" s="247" t="str">
        <f t="shared" si="7"/>
        <v>febrero</v>
      </c>
      <c r="H67" s="191">
        <v>9</v>
      </c>
      <c r="I67" s="148" t="str">
        <f>TEXT(gastos[[#This Row],[Fecha]],"DDDD")</f>
        <v>viernes</v>
      </c>
      <c r="J67" s="249">
        <f t="shared" si="1"/>
        <v>45331</v>
      </c>
      <c r="K67" s="249"/>
      <c r="L67" s="147"/>
      <c r="M67" s="197">
        <v>2606</v>
      </c>
      <c r="N67" s="197">
        <v>0</v>
      </c>
      <c r="O67" s="198">
        <f t="shared" si="9"/>
        <v>2606</v>
      </c>
      <c r="P67" s="199">
        <v>0</v>
      </c>
      <c r="Q67" s="199">
        <v>0</v>
      </c>
      <c r="R67" s="199">
        <v>0</v>
      </c>
      <c r="S67" s="199">
        <v>0</v>
      </c>
      <c r="T67" s="200" t="str">
        <f>IFERROR(VLOOKUP($A67,Tabla3[#All],2,0),"no esta registrado")</f>
        <v>ACADEMIA EUROPEA</v>
      </c>
    </row>
    <row r="68" spans="1:20" ht="16.5" hidden="1" x14ac:dyDescent="0.3">
      <c r="A68" s="230" t="s">
        <v>1114</v>
      </c>
      <c r="B68" s="193">
        <v>1</v>
      </c>
      <c r="C68" s="194">
        <v>2</v>
      </c>
      <c r="D68" s="195" t="str">
        <f>IF(C68=1,Leyenda!$C$3,IF(C68=2,Leyenda!$C$4,IF(C68=3,Leyenda!$C$5,IF(C68=4,Leyenda!$C$6,IF(C68=5,Leyenda!$C$7,IF(C68=6,Leyenda!$C$8,IF(C68=7,Leyenda!$C$9,IF(C68=8,Leyenda!$C$10," "))))))))&amp;IF(C68=9,Leyenda!$C$11,IF(C68=10,Leyenda!$C$12,IF(C68=11,Leyenda!$C$13,IF(C68=12,Leyenda!D125," "))))</f>
        <v xml:space="preserve">GASTOS POR TRABAJOS, SUMINISTROS Y SERVICIOS </v>
      </c>
      <c r="E68" s="196" t="s">
        <v>1239</v>
      </c>
      <c r="F68" s="247">
        <v>45349</v>
      </c>
      <c r="G68" s="247" t="str">
        <f t="shared" si="7"/>
        <v>febrero</v>
      </c>
      <c r="H68" s="191">
        <v>9</v>
      </c>
      <c r="I68" s="148" t="str">
        <f>TEXT(gastos[[#This Row],[Fecha]],"DDDD")</f>
        <v>viernes</v>
      </c>
      <c r="J68" s="249">
        <f t="shared" si="1"/>
        <v>45331</v>
      </c>
      <c r="K68" s="249"/>
      <c r="L68" s="147"/>
      <c r="M68" s="197">
        <v>2876</v>
      </c>
      <c r="N68" s="197">
        <v>0</v>
      </c>
      <c r="O68" s="198">
        <f t="shared" si="9"/>
        <v>2876</v>
      </c>
      <c r="P68" s="199">
        <v>0</v>
      </c>
      <c r="Q68" s="199">
        <v>0</v>
      </c>
      <c r="R68" s="199">
        <v>0</v>
      </c>
      <c r="S68" s="199">
        <v>0</v>
      </c>
      <c r="T68" s="200" t="str">
        <f>IFERROR(VLOOKUP($A68,Tabla3[#All],2,0),"no esta registrado")</f>
        <v>ACADEMIA EUROPEA</v>
      </c>
    </row>
    <row r="69" spans="1:20" ht="16.5" hidden="1" x14ac:dyDescent="0.3">
      <c r="A69" s="230" t="s">
        <v>1114</v>
      </c>
      <c r="B69" s="193">
        <v>1</v>
      </c>
      <c r="C69" s="194">
        <v>2</v>
      </c>
      <c r="D69" s="195" t="str">
        <f>IF(C69=1,Leyenda!$C$3,IF(C69=2,Leyenda!$C$4,IF(C69=3,Leyenda!$C$5,IF(C69=4,Leyenda!$C$6,IF(C69=5,Leyenda!$C$7,IF(C69=6,Leyenda!$C$8,IF(C69=7,Leyenda!$C$9,IF(C69=8,Leyenda!$C$10," "))))))))&amp;IF(C69=9,Leyenda!$C$11,IF(C69=10,Leyenda!$C$12,IF(C69=11,Leyenda!$C$13,IF(C69=12,Leyenda!D126," "))))</f>
        <v xml:space="preserve">GASTOS POR TRABAJOS, SUMINISTROS Y SERVICIOS </v>
      </c>
      <c r="E69" s="196" t="s">
        <v>1240</v>
      </c>
      <c r="F69" s="247">
        <v>45350</v>
      </c>
      <c r="G69" s="247" t="str">
        <f t="shared" si="7"/>
        <v>febrero</v>
      </c>
      <c r="H69" s="191">
        <v>23</v>
      </c>
      <c r="I69" s="148" t="str">
        <f>TEXT(gastos[[#This Row],[Fecha]],"DDDD")</f>
        <v>viernes</v>
      </c>
      <c r="J69" s="249">
        <f t="shared" si="1"/>
        <v>45345</v>
      </c>
      <c r="K69" s="249"/>
      <c r="L69" s="147"/>
      <c r="M69" s="197">
        <v>2876</v>
      </c>
      <c r="N69" s="197">
        <v>0</v>
      </c>
      <c r="O69" s="198">
        <f t="shared" si="9"/>
        <v>2876</v>
      </c>
      <c r="P69" s="199">
        <v>0</v>
      </c>
      <c r="Q69" s="199">
        <v>0</v>
      </c>
      <c r="R69" s="199">
        <v>0</v>
      </c>
      <c r="S69" s="199">
        <v>0</v>
      </c>
      <c r="T69" s="200" t="str">
        <f>IFERROR(VLOOKUP($A69,Tabla3[#All],2,0),"no esta registrado")</f>
        <v>ACADEMIA EUROPEA</v>
      </c>
    </row>
    <row r="70" spans="1:20" ht="16.5" hidden="1" x14ac:dyDescent="0.3">
      <c r="A70" s="230" t="s">
        <v>1114</v>
      </c>
      <c r="B70" s="193">
        <v>1</v>
      </c>
      <c r="C70" s="194">
        <v>2</v>
      </c>
      <c r="D70" s="195" t="str">
        <f>IF(C70=1,Leyenda!$C$3,IF(C70=2,Leyenda!$C$4,IF(C70=3,Leyenda!$C$5,IF(C70=4,Leyenda!$C$6,IF(C70=5,Leyenda!$C$7,IF(C70=6,Leyenda!$C$8,IF(C70=7,Leyenda!$C$9,IF(C70=8,Leyenda!$C$10," "))))))))&amp;IF(C70=9,Leyenda!$C$11,IF(C70=10,Leyenda!$C$12,IF(C70=11,Leyenda!$C$13,IF(C70=12,Leyenda!D127," "))))</f>
        <v xml:space="preserve">GASTOS POR TRABAJOS, SUMINISTROS Y SERVICIOS </v>
      </c>
      <c r="E70" s="196" t="s">
        <v>1241</v>
      </c>
      <c r="F70" s="247">
        <v>45351</v>
      </c>
      <c r="G70" s="247" t="str">
        <f t="shared" si="7"/>
        <v>febrero</v>
      </c>
      <c r="H70" s="191">
        <v>16</v>
      </c>
      <c r="I70" s="148" t="str">
        <f>TEXT(gastos[[#This Row],[Fecha]],"DDDD")</f>
        <v>viernes</v>
      </c>
      <c r="J70" s="249">
        <f t="shared" si="1"/>
        <v>45338</v>
      </c>
      <c r="K70" s="249"/>
      <c r="L70" s="147"/>
      <c r="M70" s="197">
        <v>3190</v>
      </c>
      <c r="N70" s="197">
        <v>0</v>
      </c>
      <c r="O70" s="198">
        <f t="shared" si="9"/>
        <v>3190</v>
      </c>
      <c r="P70" s="199">
        <v>0</v>
      </c>
      <c r="Q70" s="199">
        <v>0</v>
      </c>
      <c r="R70" s="199">
        <v>0</v>
      </c>
      <c r="S70" s="199">
        <v>0</v>
      </c>
      <c r="T70" s="200" t="str">
        <f>IFERROR(VLOOKUP($A70,Tabla3[#All],2,0),"no esta registrado")</f>
        <v>ACADEMIA EUROPEA</v>
      </c>
    </row>
    <row r="71" spans="1:20" ht="16.5" hidden="1" x14ac:dyDescent="0.3">
      <c r="A71" s="230" t="s">
        <v>1116</v>
      </c>
      <c r="B71" s="193">
        <v>1</v>
      </c>
      <c r="C71" s="194">
        <v>2</v>
      </c>
      <c r="D71" s="195" t="str">
        <f>IF(C71=1,Leyenda!$C$3,IF(C71=2,Leyenda!$C$4,IF(C71=3,Leyenda!$C$5,IF(C71=4,Leyenda!$C$6,IF(C71=5,Leyenda!$C$7,IF(C71=6,Leyenda!$C$8,IF(C71=7,Leyenda!$C$9,IF(C71=8,Leyenda!$C$10," "))))))))&amp;IF(C71=9,Leyenda!$C$11,IF(C71=10,Leyenda!$C$12,IF(C71=11,Leyenda!$C$13,IF(C71=12,Leyenda!D128," "))))</f>
        <v xml:space="preserve">GASTOS POR TRABAJOS, SUMINISTROS Y SERVICIOS </v>
      </c>
      <c r="E71" s="196" t="s">
        <v>1242</v>
      </c>
      <c r="F71" s="247">
        <v>45338</v>
      </c>
      <c r="G71" s="247" t="str">
        <f t="shared" si="7"/>
        <v>febrero</v>
      </c>
      <c r="H71" s="191">
        <v>29</v>
      </c>
      <c r="I71" s="148" t="str">
        <f>TEXT(gastos[[#This Row],[Fecha]],"DDDD")</f>
        <v>jueves</v>
      </c>
      <c r="J71" s="249">
        <f t="shared" si="1"/>
        <v>45351</v>
      </c>
      <c r="K71" s="249"/>
      <c r="L71" s="147"/>
      <c r="M71" s="197">
        <v>7100</v>
      </c>
      <c r="N71" s="197">
        <v>0</v>
      </c>
      <c r="O71" s="198">
        <f t="shared" si="9"/>
        <v>7100</v>
      </c>
      <c r="P71" s="199">
        <v>0</v>
      </c>
      <c r="Q71" s="199">
        <v>0</v>
      </c>
      <c r="R71" s="199">
        <v>0</v>
      </c>
      <c r="S71" s="199">
        <v>0</v>
      </c>
      <c r="T71" s="200" t="str">
        <f>IFERROR(VLOOKUP($A71,Tabla3[#All],2,0),"no esta registrado")</f>
        <v>COLEGIO SANTA ROSA DE LIMA</v>
      </c>
    </row>
    <row r="72" spans="1:20" ht="16.5" hidden="1" x14ac:dyDescent="0.3">
      <c r="A72" s="230" t="s">
        <v>1116</v>
      </c>
      <c r="B72" s="193">
        <v>1</v>
      </c>
      <c r="C72" s="194">
        <v>2</v>
      </c>
      <c r="D72" s="195" t="str">
        <f>IF(C72=1,Leyenda!$C$3,IF(C72=2,Leyenda!$C$4,IF(C72=3,Leyenda!$C$5,IF(C72=4,Leyenda!$C$6,IF(C72=5,Leyenda!$C$7,IF(C72=6,Leyenda!$C$8,IF(C72=7,Leyenda!$C$9,IF(C72=8,Leyenda!$C$10," "))))))))&amp;IF(C72=9,Leyenda!$C$11,IF(C72=10,Leyenda!$C$12,IF(C72=11,Leyenda!$C$13,IF(C72=12,Leyenda!D129," "))))</f>
        <v xml:space="preserve">GASTOS POR TRABAJOS, SUMINISTROS Y SERVICIOS </v>
      </c>
      <c r="E72" s="196" t="s">
        <v>1243</v>
      </c>
      <c r="F72" s="247">
        <v>45339</v>
      </c>
      <c r="G72" s="247" t="str">
        <f t="shared" si="7"/>
        <v>febrero</v>
      </c>
      <c r="H72" s="191">
        <v>29</v>
      </c>
      <c r="I72" s="148" t="str">
        <f>TEXT(gastos[[#This Row],[Fecha]],"DDDD")</f>
        <v>jueves</v>
      </c>
      <c r="J72" s="249">
        <f t="shared" ref="J72:J135" si="10">DATE(YEAR(F72),MONTH(F72),H72)</f>
        <v>45351</v>
      </c>
      <c r="K72" s="249"/>
      <c r="L72" s="147"/>
      <c r="M72" s="197">
        <v>6800</v>
      </c>
      <c r="N72" s="197">
        <v>0</v>
      </c>
      <c r="O72" s="198">
        <f t="shared" si="9"/>
        <v>6800</v>
      </c>
      <c r="P72" s="199">
        <v>0</v>
      </c>
      <c r="Q72" s="199">
        <v>0</v>
      </c>
      <c r="R72" s="199">
        <v>0</v>
      </c>
      <c r="S72" s="199">
        <v>0</v>
      </c>
      <c r="T72" s="200" t="str">
        <f>IFERROR(VLOOKUP($A72,Tabla3[#All],2,0),"no esta registrado")</f>
        <v>COLEGIO SANTA ROSA DE LIMA</v>
      </c>
    </row>
    <row r="73" spans="1:20" ht="16.5" hidden="1" x14ac:dyDescent="0.3">
      <c r="A73" s="230" t="s">
        <v>1116</v>
      </c>
      <c r="B73" s="193">
        <v>1</v>
      </c>
      <c r="C73" s="194">
        <v>2</v>
      </c>
      <c r="D73" s="195" t="str">
        <f>IF(C73=1,Leyenda!$C$3,IF(C73=2,Leyenda!$C$4,IF(C73=3,Leyenda!$C$5,IF(C73=4,Leyenda!$C$6,IF(C73=5,Leyenda!$C$7,IF(C73=6,Leyenda!$C$8,IF(C73=7,Leyenda!$C$9,IF(C73=8,Leyenda!$C$10," "))))))))&amp;IF(C73=9,Leyenda!$C$11,IF(C73=10,Leyenda!$C$12,IF(C73=11,Leyenda!$C$13,IF(C73=12,Leyenda!D130," "))))</f>
        <v xml:space="preserve">GASTOS POR TRABAJOS, SUMINISTROS Y SERVICIOS </v>
      </c>
      <c r="E73" s="196" t="s">
        <v>1244</v>
      </c>
      <c r="F73" s="247">
        <v>45340</v>
      </c>
      <c r="G73" s="247" t="str">
        <f t="shared" si="7"/>
        <v>febrero</v>
      </c>
      <c r="H73" s="203">
        <v>29</v>
      </c>
      <c r="I73" s="250" t="str">
        <f>TEXT(gastos[[#This Row],[Fecha]],"DDDD")</f>
        <v>jueves</v>
      </c>
      <c r="J73" s="249">
        <f t="shared" si="10"/>
        <v>45351</v>
      </c>
      <c r="K73" s="249"/>
      <c r="L73" s="147"/>
      <c r="M73" s="197">
        <v>6800</v>
      </c>
      <c r="N73" s="197">
        <v>0</v>
      </c>
      <c r="O73" s="198">
        <f t="shared" si="9"/>
        <v>6800</v>
      </c>
      <c r="P73" s="199">
        <v>0</v>
      </c>
      <c r="Q73" s="199">
        <v>0</v>
      </c>
      <c r="R73" s="199">
        <v>0</v>
      </c>
      <c r="S73" s="199">
        <v>0</v>
      </c>
      <c r="T73" s="200" t="str">
        <f>IFERROR(VLOOKUP($A73,Tabla3[#All],2,0),"no esta registrado")</f>
        <v>COLEGIO SANTA ROSA DE LIMA</v>
      </c>
    </row>
    <row r="74" spans="1:20" ht="16.5" hidden="1" x14ac:dyDescent="0.3">
      <c r="A74" s="230" t="s">
        <v>495</v>
      </c>
      <c r="B74" s="193">
        <v>1</v>
      </c>
      <c r="C74" s="194">
        <v>2</v>
      </c>
      <c r="D74" s="195" t="str">
        <f>IF(C74=1,Leyenda!$C$3,IF(C74=2,Leyenda!$C$4,IF(C74=3,Leyenda!$C$5,IF(C74=4,Leyenda!$C$6,IF(C74=5,Leyenda!$C$7,IF(C74=6,Leyenda!$C$8,IF(C74=7,Leyenda!$C$9,IF(C74=8,Leyenda!$C$10," "))))))))&amp;IF(C74=9,Leyenda!$C$11,IF(C74=10,Leyenda!$C$12,IF(C74=11,Leyenda!$C$13,IF(C74=12,Leyenda!D131," "))))</f>
        <v xml:space="preserve">GASTOS POR TRABAJOS, SUMINISTROS Y SERVICIOS </v>
      </c>
      <c r="E74" s="196" t="s">
        <v>1245</v>
      </c>
      <c r="F74" s="247">
        <v>45341</v>
      </c>
      <c r="G74" s="247" t="str">
        <f t="shared" si="7"/>
        <v>febrero</v>
      </c>
      <c r="H74" s="191">
        <v>7</v>
      </c>
      <c r="I74" s="148" t="str">
        <f>TEXT(gastos[[#This Row],[Fecha]],"DDDD")</f>
        <v>miércoles</v>
      </c>
      <c r="J74" s="249">
        <f t="shared" si="10"/>
        <v>45329</v>
      </c>
      <c r="K74" s="249"/>
      <c r="L74" s="147"/>
      <c r="M74" s="197">
        <v>830</v>
      </c>
      <c r="N74" s="197">
        <v>0</v>
      </c>
      <c r="O74" s="198">
        <f t="shared" si="9"/>
        <v>830</v>
      </c>
      <c r="P74" s="199">
        <v>149.4</v>
      </c>
      <c r="Q74" s="199">
        <v>0</v>
      </c>
      <c r="R74" s="199">
        <v>0</v>
      </c>
      <c r="S74" s="199">
        <v>0</v>
      </c>
      <c r="T74" s="200" t="str">
        <f>IFERROR(VLOOKUP($A74,Tabla3[#All],2,0),"no esta registrado")</f>
        <v>CLARO//CODETEL</v>
      </c>
    </row>
    <row r="75" spans="1:20" ht="16.5" hidden="1" x14ac:dyDescent="0.3">
      <c r="A75" s="230" t="s">
        <v>495</v>
      </c>
      <c r="B75" s="193">
        <v>1</v>
      </c>
      <c r="C75" s="194">
        <v>2</v>
      </c>
      <c r="D75" s="195" t="str">
        <f>IF(C75=1,Leyenda!$C$3,IF(C75=2,Leyenda!$C$4,IF(C75=3,Leyenda!$C$5,IF(C75=4,Leyenda!$C$6,IF(C75=5,Leyenda!$C$7,IF(C75=6,Leyenda!$C$8,IF(C75=7,Leyenda!$C$9,IF(C75=8,Leyenda!$C$10," "))))))))&amp;IF(C75=9,Leyenda!$C$11,IF(C75=10,Leyenda!$C$12,IF(C75=11,Leyenda!$C$13,IF(C75=12,Leyenda!D132," "))))</f>
        <v xml:space="preserve">GASTOS POR TRABAJOS, SUMINISTROS Y SERVICIOS </v>
      </c>
      <c r="E75" s="196" t="s">
        <v>1246</v>
      </c>
      <c r="F75" s="247">
        <v>45342</v>
      </c>
      <c r="G75" s="247" t="str">
        <f t="shared" si="7"/>
        <v>febrero</v>
      </c>
      <c r="H75" s="191">
        <v>7</v>
      </c>
      <c r="I75" s="148" t="str">
        <f>TEXT(gastos[[#This Row],[Fecha]],"DDDD")</f>
        <v>miércoles</v>
      </c>
      <c r="J75" s="249">
        <f t="shared" si="10"/>
        <v>45329</v>
      </c>
      <c r="K75" s="249"/>
      <c r="L75" s="147"/>
      <c r="M75" s="197">
        <v>2407.69</v>
      </c>
      <c r="N75" s="197">
        <v>0</v>
      </c>
      <c r="O75" s="198">
        <f t="shared" si="9"/>
        <v>2407.69</v>
      </c>
      <c r="P75" s="199">
        <v>433.39</v>
      </c>
      <c r="Q75" s="199">
        <v>0</v>
      </c>
      <c r="R75" s="199">
        <v>0</v>
      </c>
      <c r="S75" s="199">
        <v>0</v>
      </c>
      <c r="T75" s="200" t="str">
        <f>IFERROR(VLOOKUP($A75,Tabla3[#All],2,0),"no esta registrado")</f>
        <v>CLARO//CODETEL</v>
      </c>
    </row>
    <row r="76" spans="1:20" ht="16.5" hidden="1" x14ac:dyDescent="0.3">
      <c r="A76" s="230" t="s">
        <v>1112</v>
      </c>
      <c r="B76" s="193">
        <v>1</v>
      </c>
      <c r="C76" s="194">
        <v>2</v>
      </c>
      <c r="D76" s="195" t="str">
        <f>IF(C76=1,Leyenda!$C$3,IF(C76=2,Leyenda!$C$4,IF(C76=3,Leyenda!$C$5,IF(C76=4,Leyenda!$C$6,IF(C76=5,Leyenda!$C$7,IF(C76=6,Leyenda!$C$8,IF(C76=7,Leyenda!$C$9,IF(C76=8,Leyenda!$C$10," "))))))))&amp;IF(C76=9,Leyenda!$C$11,IF(C76=10,Leyenda!$C$12,IF(C76=11,Leyenda!$C$13,IF(C76=12,Leyenda!D133," "))))</f>
        <v xml:space="preserve">GASTOS POR TRABAJOS, SUMINISTROS Y SERVICIOS </v>
      </c>
      <c r="E76" s="196" t="s">
        <v>1247</v>
      </c>
      <c r="F76" s="247">
        <v>45343</v>
      </c>
      <c r="G76" s="247" t="str">
        <f t="shared" si="7"/>
        <v>febrero</v>
      </c>
      <c r="H76" s="191">
        <v>19</v>
      </c>
      <c r="I76" s="148" t="str">
        <f>TEXT(gastos[[#This Row],[Fecha]],"DDDD")</f>
        <v>lunes</v>
      </c>
      <c r="J76" s="249">
        <f t="shared" si="10"/>
        <v>45341</v>
      </c>
      <c r="K76" s="249"/>
      <c r="L76" s="147"/>
      <c r="M76" s="197">
        <v>6340.43</v>
      </c>
      <c r="N76" s="197">
        <v>0</v>
      </c>
      <c r="O76" s="198">
        <f t="shared" si="9"/>
        <v>6340.43</v>
      </c>
      <c r="P76" s="199">
        <v>0</v>
      </c>
      <c r="Q76" s="199">
        <v>0</v>
      </c>
      <c r="R76" s="199">
        <v>0</v>
      </c>
      <c r="S76" s="199">
        <v>0</v>
      </c>
      <c r="T76" s="200" t="str">
        <f>IFERROR(VLOOKUP($A76,Tabla3[#All],2,0),"no esta registrado")</f>
        <v>EDEESTE</v>
      </c>
    </row>
    <row r="77" spans="1:20" ht="16.5" hidden="1" x14ac:dyDescent="0.3">
      <c r="A77" s="230" t="s">
        <v>486</v>
      </c>
      <c r="B77" s="193">
        <v>1</v>
      </c>
      <c r="C77" s="194">
        <v>7</v>
      </c>
      <c r="D77" s="195" t="str">
        <f>IF(C77=1,Leyenda!$C$3,IF(C77=2,Leyenda!$C$4,IF(C77=3,Leyenda!$C$5,IF(C77=4,Leyenda!$C$6,IF(C77=5,Leyenda!$C$7,IF(C77=6,Leyenda!$C$8,IF(C77=7,Leyenda!$C$9,IF(C77=8,Leyenda!$C$10," "))))))))&amp;IF(C77=9,Leyenda!$C$11,IF(C77=10,Leyenda!$C$12,IF(C77=11,Leyenda!$C$13,IF(C77=12,Leyenda!D134," "))))</f>
        <v xml:space="preserve">GASTOS FINANCIEROS </v>
      </c>
      <c r="E77" s="196" t="s">
        <v>1248</v>
      </c>
      <c r="F77" s="247">
        <v>45344</v>
      </c>
      <c r="G77" s="247" t="str">
        <f t="shared" si="7"/>
        <v>febrero</v>
      </c>
      <c r="H77" s="191">
        <v>20</v>
      </c>
      <c r="I77" s="148" t="str">
        <f>TEXT(gastos[[#This Row],[Fecha]],"DDDD")</f>
        <v>martes</v>
      </c>
      <c r="J77" s="249">
        <f t="shared" si="10"/>
        <v>45342</v>
      </c>
      <c r="K77" s="249"/>
      <c r="L77" s="147"/>
      <c r="M77" s="197">
        <v>22604.17</v>
      </c>
      <c r="N77" s="205">
        <v>0</v>
      </c>
      <c r="O77" s="198">
        <f t="shared" si="9"/>
        <v>22604.17</v>
      </c>
      <c r="P77" s="199">
        <v>0</v>
      </c>
      <c r="Q77" s="199">
        <v>0</v>
      </c>
      <c r="R77" s="199">
        <v>0</v>
      </c>
      <c r="S77" s="199">
        <v>0</v>
      </c>
      <c r="T77" s="200" t="str">
        <f>IFERROR(VLOOKUP($A77,Tabla3[#All],2,0),"no esta registrado")</f>
        <v>Banco Multiple BHD León, S. A.</v>
      </c>
    </row>
    <row r="78" spans="1:20" ht="16.5" hidden="1" x14ac:dyDescent="0.3">
      <c r="A78" s="230" t="s">
        <v>486</v>
      </c>
      <c r="B78" s="193">
        <v>1</v>
      </c>
      <c r="C78" s="194">
        <v>7</v>
      </c>
      <c r="D78" s="195" t="str">
        <f>IF(C78=1,Leyenda!$C$3,IF(C78=2,Leyenda!$C$4,IF(C78=3,Leyenda!$C$5,IF(C78=4,Leyenda!$C$6,IF(C78=5,Leyenda!$C$7,IF(C78=6,Leyenda!$C$8,IF(C78=7,Leyenda!$C$9,IF(C78=8,Leyenda!$C$10," "))))))))&amp;IF(C78=9,Leyenda!$C$11,IF(C78=10,Leyenda!$C$12,IF(C78=11,Leyenda!$C$13,IF(C78=12,Leyenda!D135," "))))</f>
        <v xml:space="preserve">GASTOS FINANCIEROS </v>
      </c>
      <c r="E78" s="196" t="s">
        <v>1249</v>
      </c>
      <c r="F78" s="247">
        <v>45345</v>
      </c>
      <c r="G78" s="247" t="str">
        <f t="shared" si="7"/>
        <v>febrero</v>
      </c>
      <c r="H78" s="191">
        <v>5</v>
      </c>
      <c r="I78" s="148" t="str">
        <f>TEXT(gastos[[#This Row],[Fecha]],"DDDD")</f>
        <v>lunes</v>
      </c>
      <c r="J78" s="249">
        <f t="shared" si="10"/>
        <v>45327</v>
      </c>
      <c r="K78" s="249"/>
      <c r="L78" s="147"/>
      <c r="M78" s="197">
        <v>7500</v>
      </c>
      <c r="N78" s="205">
        <v>0</v>
      </c>
      <c r="O78" s="198">
        <f t="shared" si="9"/>
        <v>7500</v>
      </c>
      <c r="P78" s="199">
        <v>0</v>
      </c>
      <c r="Q78" s="199">
        <v>0</v>
      </c>
      <c r="R78" s="199">
        <v>0</v>
      </c>
      <c r="S78" s="199">
        <v>0</v>
      </c>
      <c r="T78" s="200" t="str">
        <f>IFERROR(VLOOKUP($A78,Tabla3[#All],2,0),"no esta registrado")</f>
        <v>Banco Multiple BHD León, S. A.</v>
      </c>
    </row>
    <row r="79" spans="1:20" ht="16.5" hidden="1" x14ac:dyDescent="0.3">
      <c r="A79" s="230" t="s">
        <v>489</v>
      </c>
      <c r="B79" s="193">
        <v>1</v>
      </c>
      <c r="C79" s="194">
        <v>7</v>
      </c>
      <c r="D79" s="195" t="str">
        <f>IF(C79=1,Leyenda!$C$3,IF(C79=2,Leyenda!$C$4,IF(C79=3,Leyenda!$C$5,IF(C79=4,Leyenda!$C$6,IF(C79=5,Leyenda!$C$7,IF(C79=6,Leyenda!$C$8,IF(C79=7,Leyenda!$C$9,IF(C79=8,Leyenda!$C$10," "))))))))&amp;IF(C79=9,Leyenda!$C$11,IF(C79=10,Leyenda!$C$12,IF(C79=11,Leyenda!$C$13,IF(C79=12,Leyenda!D136," "))))</f>
        <v xml:space="preserve">GASTOS FINANCIEROS </v>
      </c>
      <c r="E79" s="202" t="s">
        <v>1250</v>
      </c>
      <c r="F79" s="247">
        <v>45346</v>
      </c>
      <c r="G79" s="247" t="str">
        <f t="shared" si="7"/>
        <v>febrero</v>
      </c>
      <c r="H79" s="191">
        <v>29</v>
      </c>
      <c r="I79" s="148" t="str">
        <f>TEXT(gastos[[#This Row],[Fecha]],"DDDD")</f>
        <v>jueves</v>
      </c>
      <c r="J79" s="249">
        <f t="shared" si="10"/>
        <v>45351</v>
      </c>
      <c r="K79" s="249"/>
      <c r="L79" s="147"/>
      <c r="M79" s="197">
        <v>11020.48</v>
      </c>
      <c r="N79" s="205">
        <v>0</v>
      </c>
      <c r="O79" s="198">
        <f t="shared" si="9"/>
        <v>11020.48</v>
      </c>
      <c r="P79" s="199">
        <v>0</v>
      </c>
      <c r="Q79" s="199">
        <v>0</v>
      </c>
      <c r="R79" s="199">
        <v>0</v>
      </c>
      <c r="S79" s="199">
        <v>0</v>
      </c>
      <c r="T79" s="200" t="str">
        <f>IFERROR(VLOOKUP($A79,Tabla3[#All],2,0),"no esta registrado")</f>
        <v>Banco Popular Dominicano, S. A. Banco Multiple</v>
      </c>
    </row>
    <row r="80" spans="1:20" ht="16.5" hidden="1" x14ac:dyDescent="0.3">
      <c r="A80" s="230" t="s">
        <v>492</v>
      </c>
      <c r="B80" s="193">
        <v>1</v>
      </c>
      <c r="C80" s="194">
        <v>7</v>
      </c>
      <c r="D80" s="195" t="str">
        <f>IF(C80=1,Leyenda!$C$3,IF(C80=2,Leyenda!$C$4,IF(C80=3,Leyenda!$C$5,IF(C80=4,Leyenda!$C$6,IF(C80=5,Leyenda!$C$7,IF(C80=6,Leyenda!$C$8,IF(C80=7,Leyenda!$C$9,IF(C80=8,Leyenda!$C$10," "))))))))&amp;IF(C80=9,Leyenda!$C$11,IF(C80=10,Leyenda!$C$12,IF(C80=11,Leyenda!$C$13,IF(C80=12,Leyenda!D137," "))))</f>
        <v xml:space="preserve">GASTOS FINANCIEROS </v>
      </c>
      <c r="E80" s="202" t="s">
        <v>1251</v>
      </c>
      <c r="F80" s="247">
        <v>45347</v>
      </c>
      <c r="G80" s="247" t="str">
        <f t="shared" si="7"/>
        <v>febrero</v>
      </c>
      <c r="H80" s="191">
        <v>2</v>
      </c>
      <c r="I80" s="148" t="str">
        <f>TEXT(gastos[[#This Row],[Fecha]],"DDDD")</f>
        <v>viernes</v>
      </c>
      <c r="J80" s="249">
        <f t="shared" si="10"/>
        <v>45324</v>
      </c>
      <c r="K80" s="249"/>
      <c r="L80" s="147"/>
      <c r="M80" s="197">
        <v>73.12</v>
      </c>
      <c r="N80" s="205">
        <v>0</v>
      </c>
      <c r="O80" s="198">
        <f t="shared" si="9"/>
        <v>73.12</v>
      </c>
      <c r="P80" s="199">
        <v>0</v>
      </c>
      <c r="Q80" s="199">
        <v>0</v>
      </c>
      <c r="R80" s="199">
        <v>0</v>
      </c>
      <c r="S80" s="199">
        <v>0</v>
      </c>
      <c r="T80" s="200" t="str">
        <f>IFERROR(VLOOKUP($A80,Tabla3[#All],2,0),"no esta registrado")</f>
        <v>Banco Dominicano del Progreso, S. A.//Banco Multiple</v>
      </c>
    </row>
    <row r="81" spans="1:21" ht="16.5" hidden="1" x14ac:dyDescent="0.3">
      <c r="A81" s="230" t="s">
        <v>492</v>
      </c>
      <c r="B81" s="193">
        <v>1</v>
      </c>
      <c r="C81" s="194">
        <v>7</v>
      </c>
      <c r="D81" s="195" t="str">
        <f>IF(C81=1,Leyenda!$C$3,IF(C81=2,Leyenda!$C$4,IF(C81=3,Leyenda!$C$5,IF(C81=4,Leyenda!$C$6,IF(C81=5,Leyenda!$C$7,IF(C81=6,Leyenda!$C$8,IF(C81=7,Leyenda!$C$9,IF(C81=8,Leyenda!$C$10," "))))))))&amp;IF(C81=9,Leyenda!$C$11,IF(C81=10,Leyenda!$C$12,IF(C81=11,Leyenda!$C$13,IF(C81=12,Leyenda!D138," "))))</f>
        <v xml:space="preserve">GASTOS FINANCIEROS </v>
      </c>
      <c r="E81" s="202" t="s">
        <v>1252</v>
      </c>
      <c r="F81" s="247">
        <v>45348</v>
      </c>
      <c r="G81" s="247" t="str">
        <f t="shared" si="7"/>
        <v>febrero</v>
      </c>
      <c r="H81" s="191">
        <v>2</v>
      </c>
      <c r="I81" s="148" t="str">
        <f>TEXT(gastos[[#This Row],[Fecha]],"DDDD")</f>
        <v>viernes</v>
      </c>
      <c r="J81" s="249">
        <f t="shared" si="10"/>
        <v>45324</v>
      </c>
      <c r="K81" s="249"/>
      <c r="L81" s="147"/>
      <c r="M81" s="197">
        <v>66.930000000000007</v>
      </c>
      <c r="N81" s="205">
        <v>0</v>
      </c>
      <c r="O81" s="198">
        <f t="shared" ref="O81:O84" si="11">SUM(M81:N81)</f>
        <v>66.930000000000007</v>
      </c>
      <c r="P81" s="199">
        <v>0</v>
      </c>
      <c r="Q81" s="199">
        <v>0</v>
      </c>
      <c r="R81" s="199">
        <v>0</v>
      </c>
      <c r="S81" s="199">
        <v>0</v>
      </c>
      <c r="T81" s="200" t="str">
        <f>IFERROR(VLOOKUP($A81,Tabla3[#All],2,0),"no esta registrado")</f>
        <v>Banco Dominicano del Progreso, S. A.//Banco Multiple</v>
      </c>
    </row>
    <row r="82" spans="1:21" ht="16.5" hidden="1" x14ac:dyDescent="0.3">
      <c r="A82" s="230" t="s">
        <v>492</v>
      </c>
      <c r="B82" s="193">
        <v>1</v>
      </c>
      <c r="C82" s="194">
        <v>7</v>
      </c>
      <c r="D82" s="195" t="str">
        <f>IF(C82=1,Leyenda!$C$3,IF(C82=2,Leyenda!$C$4,IF(C82=3,Leyenda!$C$5,IF(C82=4,Leyenda!$C$6,IF(C82=5,Leyenda!$C$7,IF(C82=6,Leyenda!$C$8,IF(C82=7,Leyenda!$C$9,IF(C82=8,Leyenda!$C$10," "))))))))&amp;IF(C82=9,Leyenda!$C$11,IF(C82=10,Leyenda!$C$12,IF(C82=11,Leyenda!$C$13,IF(C82=12,Leyenda!D139," "))))</f>
        <v xml:space="preserve">GASTOS FINANCIEROS </v>
      </c>
      <c r="E82" s="202" t="s">
        <v>1253</v>
      </c>
      <c r="F82" s="247">
        <v>45349</v>
      </c>
      <c r="G82" s="247" t="str">
        <f t="shared" ref="G82:G84" si="12">TEXT(F82,"MMMM")</f>
        <v>febrero</v>
      </c>
      <c r="H82" s="191">
        <v>2</v>
      </c>
      <c r="I82" s="148" t="str">
        <f>TEXT(gastos[[#This Row],[Fecha]],"DDDD")</f>
        <v>viernes</v>
      </c>
      <c r="J82" s="249">
        <f t="shared" si="10"/>
        <v>45324</v>
      </c>
      <c r="K82" s="249"/>
      <c r="L82" s="147"/>
      <c r="M82" s="197">
        <v>24218.42</v>
      </c>
      <c r="N82" s="205">
        <v>0</v>
      </c>
      <c r="O82" s="198">
        <f t="shared" si="11"/>
        <v>24218.42</v>
      </c>
      <c r="P82" s="199">
        <v>0</v>
      </c>
      <c r="Q82" s="199">
        <v>0</v>
      </c>
      <c r="R82" s="199">
        <v>0</v>
      </c>
      <c r="S82" s="199">
        <v>0</v>
      </c>
      <c r="T82" s="200" t="str">
        <f>IFERROR(VLOOKUP($A82,Tabla3[#All],2,0),"no esta registrado")</f>
        <v>Banco Dominicano del Progreso, S. A.//Banco Multiple</v>
      </c>
    </row>
    <row r="83" spans="1:21" ht="16.5" hidden="1" x14ac:dyDescent="0.3">
      <c r="A83" s="230" t="s">
        <v>492</v>
      </c>
      <c r="B83" s="193">
        <v>1</v>
      </c>
      <c r="C83" s="194">
        <v>7</v>
      </c>
      <c r="D83" s="195" t="str">
        <f>IF(C83=1,Leyenda!$C$3,IF(C83=2,Leyenda!$C$4,IF(C83=3,Leyenda!$C$5,IF(C83=4,Leyenda!$C$6,IF(C83=5,Leyenda!$C$7,IF(C83=6,Leyenda!$C$8,IF(C83=7,Leyenda!$C$9,IF(C83=8,Leyenda!$C$10," "))))))))&amp;IF(C83=9,Leyenda!$C$11,IF(C83=10,Leyenda!$C$12,IF(C83=11,Leyenda!$C$13,IF(C83=12,Leyenda!D140," "))))</f>
        <v xml:space="preserve">GASTOS FINANCIEROS </v>
      </c>
      <c r="E83" s="202" t="s">
        <v>1254</v>
      </c>
      <c r="F83" s="247">
        <v>45350</v>
      </c>
      <c r="G83" s="247" t="str">
        <f t="shared" si="12"/>
        <v>febrero</v>
      </c>
      <c r="H83" s="191">
        <v>16</v>
      </c>
      <c r="I83" s="148" t="str">
        <f>TEXT(gastos[[#This Row],[Fecha]],"DDDD")</f>
        <v>viernes</v>
      </c>
      <c r="J83" s="249">
        <f t="shared" si="10"/>
        <v>45338</v>
      </c>
      <c r="K83" s="249"/>
      <c r="L83" s="147"/>
      <c r="M83" s="197">
        <v>2934.8</v>
      </c>
      <c r="N83" s="205">
        <v>0</v>
      </c>
      <c r="O83" s="198">
        <f t="shared" si="11"/>
        <v>2934.8</v>
      </c>
      <c r="P83" s="197">
        <v>0</v>
      </c>
      <c r="Q83">
        <v>0</v>
      </c>
      <c r="R83" s="199">
        <v>0</v>
      </c>
      <c r="S83" s="199">
        <v>0</v>
      </c>
      <c r="T83" s="200" t="str">
        <f>IFERROR(VLOOKUP($A83,Tabla3[#All],2,0),"no esta registrado")</f>
        <v>Banco Dominicano del Progreso, S. A.//Banco Multiple</v>
      </c>
    </row>
    <row r="84" spans="1:21" ht="16.5" hidden="1" x14ac:dyDescent="0.3">
      <c r="A84" s="230" t="s">
        <v>492</v>
      </c>
      <c r="B84" s="193">
        <v>1</v>
      </c>
      <c r="C84" s="194">
        <v>7</v>
      </c>
      <c r="D84" s="195" t="str">
        <f>IF(C84=1,Leyenda!$C$3,IF(C84=2,Leyenda!$C$4,IF(C84=3,Leyenda!$C$5,IF(C84=4,Leyenda!$C$6,IF(C84=5,Leyenda!$C$7,IF(C84=6,Leyenda!$C$8,IF(C84=7,Leyenda!$C$9,IF(C84=8,Leyenda!$C$10," "))))))))&amp;IF(C84=9,Leyenda!$C$11,IF(C84=10,Leyenda!$C$12,IF(C84=11,Leyenda!$C$13,IF(C84=12,Leyenda!D141," "))))</f>
        <v xml:space="preserve">GASTOS FINANCIEROS </v>
      </c>
      <c r="E84" s="202" t="s">
        <v>1255</v>
      </c>
      <c r="F84" s="247">
        <v>45351</v>
      </c>
      <c r="G84" s="247" t="str">
        <f t="shared" si="12"/>
        <v>febrero</v>
      </c>
      <c r="H84" s="191">
        <v>29</v>
      </c>
      <c r="I84" s="148" t="str">
        <f>TEXT(gastos[[#This Row],[Fecha]],"DDDD")</f>
        <v>jueves</v>
      </c>
      <c r="J84" s="249">
        <f t="shared" si="10"/>
        <v>45351</v>
      </c>
      <c r="K84" s="249"/>
      <c r="L84" s="147"/>
      <c r="M84" s="197">
        <v>295</v>
      </c>
      <c r="N84" s="197">
        <v>0</v>
      </c>
      <c r="O84" s="198">
        <f t="shared" si="11"/>
        <v>295</v>
      </c>
      <c r="P84" s="197">
        <v>0</v>
      </c>
      <c r="Q84">
        <v>0</v>
      </c>
      <c r="R84" s="199">
        <v>0</v>
      </c>
      <c r="S84" s="199">
        <v>0</v>
      </c>
      <c r="T84" s="200" t="str">
        <f>IFERROR(VLOOKUP($A84,Tabla3[#All],2,0),"no esta registrado")</f>
        <v>Banco Dominicano del Progreso, S. A.//Banco Multiple</v>
      </c>
    </row>
    <row r="85" spans="1:21" ht="16.5" hidden="1" x14ac:dyDescent="0.3">
      <c r="A85" s="230" t="s">
        <v>909</v>
      </c>
      <c r="B85" s="193">
        <v>1</v>
      </c>
      <c r="C85" s="194">
        <v>4</v>
      </c>
      <c r="D85" s="195" t="str">
        <f>IF(C85=1,Leyenda!$C$3,IF(C85=2,Leyenda!$C$4,IF(C85=3,Leyenda!$C$5,IF(C85=4,Leyenda!$C$6,IF(C85=5,Leyenda!$C$7,IF(C85=6,Leyenda!$C$8,IF(C85=7,Leyenda!$C$9,IF(C85=8,Leyenda!$C$10," "))))))))&amp;IF(C85=9,Leyenda!$C$11,IF(C85=10,Leyenda!$C$12,IF(C85=11,Leyenda!$C$13,IF(C85=12,Leyenda!D142," "))))</f>
        <v xml:space="preserve">GASTOS DE ACTIVOS FIJO </v>
      </c>
      <c r="E85" s="196" t="s">
        <v>1256</v>
      </c>
      <c r="F85" s="248">
        <v>45356</v>
      </c>
      <c r="G85" s="247" t="str">
        <f t="shared" ref="G85:G148" si="13">TEXT(F85,"MMMM")</f>
        <v>marzo</v>
      </c>
      <c r="H85" s="191">
        <v>5</v>
      </c>
      <c r="I85" s="148" t="str">
        <f>TEXT(gastos[[#This Row],[Fecha]],"DDDD")</f>
        <v>martes</v>
      </c>
      <c r="J85" s="249">
        <f t="shared" si="10"/>
        <v>45356</v>
      </c>
      <c r="K85" s="249"/>
      <c r="L85" s="147"/>
      <c r="M85" s="197">
        <v>0</v>
      </c>
      <c r="N85" s="197">
        <v>3205</v>
      </c>
      <c r="O85" s="198">
        <f t="shared" ref="O85:O116" si="14">SUM(M85:N85)</f>
        <v>3205</v>
      </c>
      <c r="P85" s="199">
        <v>0</v>
      </c>
      <c r="Q85" s="199">
        <v>0</v>
      </c>
      <c r="R85" s="199">
        <v>0</v>
      </c>
      <c r="S85" s="199">
        <v>0</v>
      </c>
      <c r="T85" s="200" t="str">
        <f>IFERROR(VLOOKUP($A85,Tabla3[#All],2,0),"no esta registrado")</f>
        <v>Strata, S.R.L.</v>
      </c>
    </row>
    <row r="86" spans="1:21" ht="16.5" hidden="1" x14ac:dyDescent="0.3">
      <c r="A86" s="230" t="s">
        <v>909</v>
      </c>
      <c r="B86" s="193">
        <v>1</v>
      </c>
      <c r="C86" s="194">
        <v>4</v>
      </c>
      <c r="D86" s="195" t="str">
        <f>IF(C86=1,Leyenda!$C$3,IF(C86=2,Leyenda!$C$4,IF(C86=3,Leyenda!$C$5,IF(C86=4,Leyenda!$C$6,IF(C86=5,Leyenda!$C$7,IF(C86=6,Leyenda!$C$8,IF(C86=7,Leyenda!$C$9,IF(C86=8,Leyenda!$C$10," "))))))))&amp;IF(C86=9,Leyenda!$C$11,IF(C86=10,Leyenda!$C$12,IF(C86=11,Leyenda!$C$13,IF(C86=12,Leyenda!D143," "))))</f>
        <v xml:space="preserve">GASTOS DE ACTIVOS FIJO </v>
      </c>
      <c r="E86" s="196" t="s">
        <v>1257</v>
      </c>
      <c r="F86" s="248">
        <v>45356</v>
      </c>
      <c r="G86" s="247" t="str">
        <f t="shared" si="13"/>
        <v>marzo</v>
      </c>
      <c r="H86" s="191">
        <v>10</v>
      </c>
      <c r="I86" s="148" t="str">
        <f>TEXT(gastos[[#This Row],[Fecha]],"DDDD")</f>
        <v>domingo</v>
      </c>
      <c r="J86" s="249">
        <f t="shared" si="10"/>
        <v>45361</v>
      </c>
      <c r="K86" s="249"/>
      <c r="L86" s="147"/>
      <c r="M86" s="197">
        <v>0</v>
      </c>
      <c r="N86" s="197">
        <v>3350</v>
      </c>
      <c r="O86" s="198">
        <f t="shared" si="14"/>
        <v>3350</v>
      </c>
      <c r="P86" s="199">
        <v>0</v>
      </c>
      <c r="Q86" s="199">
        <v>0</v>
      </c>
      <c r="R86" s="199">
        <v>0</v>
      </c>
      <c r="S86" s="199">
        <v>0</v>
      </c>
      <c r="T86" s="200" t="str">
        <f>IFERROR(VLOOKUP($A86,Tabla3[#All],2,0),"no esta registrado")</f>
        <v>Strata, S.R.L.</v>
      </c>
    </row>
    <row r="87" spans="1:21" ht="16.5" hidden="1" x14ac:dyDescent="0.3">
      <c r="A87" s="230" t="s">
        <v>909</v>
      </c>
      <c r="B87" s="193">
        <v>1</v>
      </c>
      <c r="C87" s="194">
        <v>4</v>
      </c>
      <c r="D87" s="195" t="str">
        <f>IF(C87=1,Leyenda!$C$3,IF(C87=2,Leyenda!$C$4,IF(C87=3,Leyenda!$C$5,IF(C87=4,Leyenda!$C$6,IF(C87=5,Leyenda!$C$7,IF(C87=6,Leyenda!$C$8,IF(C87=7,Leyenda!$C$9,IF(C87=8,Leyenda!$C$10," "))))))))&amp;IF(C87=9,Leyenda!$C$11,IF(C87=10,Leyenda!$C$12,IF(C87=11,Leyenda!$C$13,IF(C87=12,Leyenda!D144," "))))</f>
        <v xml:space="preserve">GASTOS DE ACTIVOS FIJO </v>
      </c>
      <c r="E87" s="196" t="s">
        <v>1258</v>
      </c>
      <c r="F87" s="247">
        <v>45356</v>
      </c>
      <c r="G87" s="247" t="str">
        <f t="shared" si="13"/>
        <v>marzo</v>
      </c>
      <c r="H87" s="191">
        <v>11</v>
      </c>
      <c r="I87" s="148" t="str">
        <f>TEXT(gastos[[#This Row],[Fecha]],"DDDD")</f>
        <v>lunes</v>
      </c>
      <c r="J87" s="249">
        <f t="shared" si="10"/>
        <v>45362</v>
      </c>
      <c r="K87" s="249"/>
      <c r="L87" s="147"/>
      <c r="M87" s="197">
        <v>0</v>
      </c>
      <c r="N87" s="197">
        <v>4676</v>
      </c>
      <c r="O87" s="198">
        <f t="shared" si="14"/>
        <v>4676</v>
      </c>
      <c r="P87" s="199">
        <v>0</v>
      </c>
      <c r="Q87" s="199">
        <v>0</v>
      </c>
      <c r="R87" s="199">
        <v>0</v>
      </c>
      <c r="S87" s="199">
        <v>0</v>
      </c>
      <c r="T87" s="200" t="str">
        <f>IFERROR(VLOOKUP($A87,Tabla3[#All],2,0),"no esta registrado")</f>
        <v>Strata, S.R.L.</v>
      </c>
    </row>
    <row r="88" spans="1:21" ht="16.5" hidden="1" x14ac:dyDescent="0.3">
      <c r="A88" s="230" t="s">
        <v>1259</v>
      </c>
      <c r="B88" s="193">
        <v>1</v>
      </c>
      <c r="C88" s="194">
        <v>4</v>
      </c>
      <c r="D88" s="195" t="str">
        <f>IF(C88=1,Leyenda!$C$3,IF(C88=2,Leyenda!$C$4,IF(C88=3,Leyenda!$C$5,IF(C88=4,Leyenda!$C$6,IF(C88=5,Leyenda!$C$7,IF(C88=6,Leyenda!$C$8,IF(C88=7,Leyenda!$C$9,IF(C88=8,Leyenda!$C$10," "))))))))&amp;IF(C88=9,Leyenda!$C$11,IF(C88=10,Leyenda!$C$12,IF(C88=11,Leyenda!$C$13,IF(C88=12,Leyenda!D145," "))))</f>
        <v xml:space="preserve">GASTOS DE ACTIVOS FIJO </v>
      </c>
      <c r="E88" s="196" t="s">
        <v>1260</v>
      </c>
      <c r="F88" s="247">
        <v>45356</v>
      </c>
      <c r="G88" s="247" t="str">
        <f t="shared" si="13"/>
        <v>marzo</v>
      </c>
      <c r="H88" s="191">
        <v>20</v>
      </c>
      <c r="I88" s="148" t="str">
        <f>TEXT(gastos[[#This Row],[Fecha]],"DDDD")</f>
        <v>miércoles</v>
      </c>
      <c r="J88" s="249">
        <f t="shared" si="10"/>
        <v>45371</v>
      </c>
      <c r="K88" s="249"/>
      <c r="L88" s="147"/>
      <c r="M88" s="197">
        <v>0</v>
      </c>
      <c r="N88" s="197">
        <v>4974</v>
      </c>
      <c r="O88" s="198">
        <f t="shared" si="14"/>
        <v>4974</v>
      </c>
      <c r="P88" s="199">
        <v>0</v>
      </c>
      <c r="Q88" s="199">
        <v>0</v>
      </c>
      <c r="R88" s="199">
        <v>0</v>
      </c>
      <c r="S88" s="199">
        <v>0</v>
      </c>
      <c r="T88" s="200" t="str">
        <f>IFERROR(VLOOKUP($A88,Tabla3[#All],2,0),"no esta registrado")</f>
        <v>no esta registrado</v>
      </c>
    </row>
    <row r="89" spans="1:21" ht="16.5" hidden="1" x14ac:dyDescent="0.3">
      <c r="A89" s="230" t="s">
        <v>1261</v>
      </c>
      <c r="B89" s="193">
        <v>1</v>
      </c>
      <c r="C89" s="194">
        <v>2</v>
      </c>
      <c r="D89" s="195" t="str">
        <f>IF(C89=1,Leyenda!$C$3,IF(C89=2,Leyenda!$C$4,IF(C89=3,Leyenda!$C$5,IF(C89=4,Leyenda!$C$6,IF(C89=5,Leyenda!$C$7,IF(C89=6,Leyenda!$C$8,IF(C89=7,Leyenda!$C$9,IF(C89=8,Leyenda!$C$10," "))))))))&amp;IF(C89=9,Leyenda!$C$11,IF(C89=10,Leyenda!$C$12,IF(C89=11,Leyenda!$C$13,IF(C89=12,Leyenda!D146," "))))</f>
        <v xml:space="preserve">GASTOS POR TRABAJOS, SUMINISTROS Y SERVICIOS </v>
      </c>
      <c r="E89" s="196" t="s">
        <v>1262</v>
      </c>
      <c r="F89" s="247">
        <v>45356</v>
      </c>
      <c r="G89" s="247" t="str">
        <f t="shared" si="13"/>
        <v>marzo</v>
      </c>
      <c r="H89" s="191">
        <v>4</v>
      </c>
      <c r="I89" s="148" t="str">
        <f>TEXT(gastos[[#This Row],[Fecha]],"DDDD")</f>
        <v>lunes</v>
      </c>
      <c r="J89" s="249">
        <f t="shared" si="10"/>
        <v>45355</v>
      </c>
      <c r="K89" s="249"/>
      <c r="L89" s="147"/>
      <c r="M89" s="197">
        <v>0</v>
      </c>
      <c r="N89" s="197">
        <v>1250</v>
      </c>
      <c r="O89" s="198">
        <f t="shared" si="14"/>
        <v>1250</v>
      </c>
      <c r="P89" s="199">
        <v>225</v>
      </c>
      <c r="Q89" s="199">
        <v>0</v>
      </c>
      <c r="R89" s="199">
        <v>0</v>
      </c>
      <c r="S89" s="199">
        <v>0</v>
      </c>
      <c r="T89" s="200" t="str">
        <f>IFERROR(VLOOKUP($A89,Tabla3[#All],2,0),"no esta registrado")</f>
        <v>no esta registrado</v>
      </c>
    </row>
    <row r="90" spans="1:21" ht="16.5" hidden="1" x14ac:dyDescent="0.3">
      <c r="A90" s="230" t="s">
        <v>533</v>
      </c>
      <c r="B90" s="193">
        <v>1</v>
      </c>
      <c r="C90" s="194">
        <v>2</v>
      </c>
      <c r="D90" s="195" t="str">
        <f>IF(C90=1,Leyenda!$C$3,IF(C90=2,Leyenda!$C$4,IF(C90=3,Leyenda!$C$5,IF(C90=4,Leyenda!$C$6,IF(C90=5,Leyenda!$C$7,IF(C90=6,Leyenda!$C$8,IF(C90=7,Leyenda!$C$9,IF(C90=8,Leyenda!$C$10," "))))))))&amp;IF(C90=9,Leyenda!$C$11,IF(C90=10,Leyenda!$C$12,IF(C90=11,Leyenda!$C$13,IF(C90=12,Leyenda!D147," "))))</f>
        <v xml:space="preserve">GASTOS POR TRABAJOS, SUMINISTROS Y SERVICIOS </v>
      </c>
      <c r="E90" s="196" t="s">
        <v>1263</v>
      </c>
      <c r="F90" s="247">
        <v>45356</v>
      </c>
      <c r="G90" s="247" t="str">
        <f t="shared" si="13"/>
        <v>marzo</v>
      </c>
      <c r="H90" s="191">
        <v>25</v>
      </c>
      <c r="I90" s="148" t="str">
        <f>TEXT(gastos[[#This Row],[Fecha]],"DDDD")</f>
        <v>lunes</v>
      </c>
      <c r="J90" s="249">
        <f t="shared" si="10"/>
        <v>45376</v>
      </c>
      <c r="K90" s="249"/>
      <c r="L90" s="147"/>
      <c r="M90" s="197">
        <v>0</v>
      </c>
      <c r="N90" s="197">
        <v>1386.42</v>
      </c>
      <c r="O90" s="198">
        <f t="shared" si="14"/>
        <v>1386.42</v>
      </c>
      <c r="P90" s="199">
        <v>0</v>
      </c>
      <c r="Q90" s="199">
        <v>0</v>
      </c>
      <c r="R90" s="199">
        <v>0</v>
      </c>
      <c r="S90" s="199">
        <v>0</v>
      </c>
      <c r="T90" s="200" t="str">
        <f>IFERROR(VLOOKUP($A90,Tabla3[#All],2,0),"no esta registrado")</f>
        <v>Farmacía Medicar GBC, A. H.</v>
      </c>
    </row>
    <row r="91" spans="1:21" ht="16.5" hidden="1" x14ac:dyDescent="0.3">
      <c r="A91" s="230" t="s">
        <v>1093</v>
      </c>
      <c r="B91" s="193">
        <v>1</v>
      </c>
      <c r="C91" s="194">
        <v>2</v>
      </c>
      <c r="D91" s="195" t="str">
        <f>IF(C91=1,Leyenda!$C$3,IF(C91=2,Leyenda!$C$4,IF(C91=3,Leyenda!$C$5,IF(C91=4,Leyenda!$C$6,IF(C91=5,Leyenda!$C$7,IF(C91=6,Leyenda!$C$8,IF(C91=7,Leyenda!$C$9,IF(C91=8,Leyenda!$C$10," "))))))))&amp;IF(C91=9,Leyenda!$C$11,IF(C91=10,Leyenda!$C$12,IF(C91=11,Leyenda!$C$13,IF(C91=12,Leyenda!D148," "))))</f>
        <v xml:space="preserve">GASTOS POR TRABAJOS, SUMINISTROS Y SERVICIOS </v>
      </c>
      <c r="E91" s="196" t="s">
        <v>1264</v>
      </c>
      <c r="F91" s="247">
        <v>45356</v>
      </c>
      <c r="G91" s="247" t="str">
        <f t="shared" si="13"/>
        <v>marzo</v>
      </c>
      <c r="H91" s="191">
        <v>15</v>
      </c>
      <c r="I91" s="148" t="str">
        <f>TEXT(gastos[[#This Row],[Fecha]],"DDDD")</f>
        <v>viernes</v>
      </c>
      <c r="J91" s="249">
        <f t="shared" si="10"/>
        <v>45366</v>
      </c>
      <c r="K91" s="249"/>
      <c r="L91" s="147"/>
      <c r="M91" s="197">
        <v>0</v>
      </c>
      <c r="N91" s="197">
        <f>1595-243.31</f>
        <v>1351.69</v>
      </c>
      <c r="O91" s="198">
        <f t="shared" si="14"/>
        <v>1351.69</v>
      </c>
      <c r="P91" s="199" t="s">
        <v>1265</v>
      </c>
      <c r="Q91" s="199">
        <v>0</v>
      </c>
      <c r="R91" s="199">
        <v>0</v>
      </c>
      <c r="S91" s="199">
        <v>0</v>
      </c>
      <c r="T91" s="200" t="str">
        <f>IFERROR(VLOOKUP($A91,Tabla3[#All],2,0),"no esta registrado")</f>
        <v>BAKERS DR LLC</v>
      </c>
      <c r="U91" s="76"/>
    </row>
    <row r="92" spans="1:21" ht="16.5" hidden="1" x14ac:dyDescent="0.3">
      <c r="A92" s="232" t="s">
        <v>1266</v>
      </c>
      <c r="B92" s="208">
        <v>1</v>
      </c>
      <c r="C92" s="194">
        <v>2</v>
      </c>
      <c r="D92" s="195" t="str">
        <f>IF(C92=1,Leyenda!$C$3,IF(C92=2,Leyenda!$C$4,IF(C92=3,Leyenda!$C$5,IF(C92=4,Leyenda!$C$6,IF(C92=5,Leyenda!$C$7,IF(C92=6,Leyenda!$C$8,IF(C92=7,Leyenda!$C$9,IF(C92=8,Leyenda!$C$10," "))))))))&amp;IF(C92=9,Leyenda!$C$11,IF(C92=10,Leyenda!$C$12,IF(C92=11,Leyenda!$C$13,IF(C92=12,Leyenda!D149," "))))</f>
        <v xml:space="preserve">GASTOS POR TRABAJOS, SUMINISTROS Y SERVICIOS </v>
      </c>
      <c r="E92" s="206" t="s">
        <v>1267</v>
      </c>
      <c r="F92" s="327">
        <v>45356</v>
      </c>
      <c r="G92" s="247" t="str">
        <f t="shared" si="13"/>
        <v>marzo</v>
      </c>
      <c r="H92" s="204">
        <v>5</v>
      </c>
      <c r="I92" s="251" t="str">
        <f>TEXT(gastos[[#This Row],[Fecha]],"DDDD")</f>
        <v>martes</v>
      </c>
      <c r="J92" s="249">
        <f t="shared" si="10"/>
        <v>45356</v>
      </c>
      <c r="K92" s="249"/>
      <c r="L92" s="147"/>
      <c r="M92" s="207">
        <v>0</v>
      </c>
      <c r="N92" s="207">
        <v>16271</v>
      </c>
      <c r="O92" s="221">
        <f t="shared" si="14"/>
        <v>16271</v>
      </c>
      <c r="P92" s="199">
        <v>2928.78</v>
      </c>
      <c r="Q92" s="199">
        <v>0</v>
      </c>
      <c r="R92" s="199">
        <v>0</v>
      </c>
      <c r="S92" s="199">
        <v>0</v>
      </c>
      <c r="T92" s="200" t="str">
        <f>IFERROR(VLOOKUP($A92,Tabla3[#All],2,0),"no esta registrado")</f>
        <v>no esta registrado</v>
      </c>
    </row>
    <row r="93" spans="1:21" ht="16.5" hidden="1" x14ac:dyDescent="0.3">
      <c r="A93" s="231" t="s">
        <v>531</v>
      </c>
      <c r="B93" s="193">
        <v>1</v>
      </c>
      <c r="C93" s="194">
        <v>2</v>
      </c>
      <c r="D93" s="195" t="str">
        <f>IF(C93=1,Leyenda!$C$3,IF(C93=2,Leyenda!$C$4,IF(C93=3,Leyenda!$C$5,IF(C93=4,Leyenda!$C$6,IF(C93=5,Leyenda!$C$7,IF(C93=6,Leyenda!$C$8,IF(C93=7,Leyenda!$C$9,IF(C93=8,Leyenda!$C$10," "))))))))&amp;IF(C93=9,Leyenda!$C$11,IF(C93=10,Leyenda!$C$12,IF(C93=11,Leyenda!$C$13,IF(C93=12,Leyenda!D150," "))))</f>
        <v xml:space="preserve">GASTOS POR TRABAJOS, SUMINISTROS Y SERVICIOS </v>
      </c>
      <c r="E93" s="196" t="s">
        <v>1268</v>
      </c>
      <c r="F93" s="247">
        <v>45356</v>
      </c>
      <c r="G93" s="247" t="str">
        <f t="shared" si="13"/>
        <v>marzo</v>
      </c>
      <c r="H93" s="191">
        <v>15</v>
      </c>
      <c r="I93" s="148" t="str">
        <f>TEXT(gastos[[#This Row],[Fecha]],"DDDD")</f>
        <v>viernes</v>
      </c>
      <c r="J93" s="249">
        <f t="shared" si="10"/>
        <v>45366</v>
      </c>
      <c r="K93" s="249"/>
      <c r="L93" s="147"/>
      <c r="M93" s="197">
        <v>0</v>
      </c>
      <c r="N93" s="197">
        <f>1320-201.36</f>
        <v>1118.6399999999999</v>
      </c>
      <c r="O93" s="198">
        <f t="shared" si="14"/>
        <v>1118.6399999999999</v>
      </c>
      <c r="P93" s="199">
        <v>201.36</v>
      </c>
      <c r="Q93" s="199">
        <v>0</v>
      </c>
      <c r="R93" s="199">
        <v>0</v>
      </c>
      <c r="S93" s="199">
        <v>0</v>
      </c>
      <c r="T93" s="200" t="str">
        <f>IFERROR(VLOOKUP($A93,Tabla3[#All],2,0),"no esta registrado")</f>
        <v>Grupo Carol, S. A.//Farmacia Carol</v>
      </c>
    </row>
    <row r="94" spans="1:21" ht="16.5" hidden="1" x14ac:dyDescent="0.3">
      <c r="A94" s="230" t="s">
        <v>517</v>
      </c>
      <c r="B94" s="193">
        <v>1</v>
      </c>
      <c r="C94" s="194">
        <v>2</v>
      </c>
      <c r="D94" s="195" t="str">
        <f>IF(C94=1,Leyenda!$C$3,IF(C94=2,Leyenda!$C$4,IF(C94=3,Leyenda!$C$5,IF(C94=4,Leyenda!$C$6,IF(C94=5,Leyenda!$C$7,IF(C94=6,Leyenda!$C$8,IF(C94=7,Leyenda!$C$9,IF(C94=8,Leyenda!$C$10," "))))))))&amp;IF(C94=9,Leyenda!$C$11,IF(C94=10,Leyenda!$C$12,IF(C94=11,Leyenda!$C$13,IF(C94=12,Leyenda!D151," "))))</f>
        <v xml:space="preserve">GASTOS POR TRABAJOS, SUMINISTROS Y SERVICIOS </v>
      </c>
      <c r="E94" s="196" t="s">
        <v>1269</v>
      </c>
      <c r="F94" s="247">
        <v>45356</v>
      </c>
      <c r="G94" s="247" t="str">
        <f t="shared" si="13"/>
        <v>marzo</v>
      </c>
      <c r="H94" s="191">
        <v>24</v>
      </c>
      <c r="I94" s="148" t="str">
        <f>TEXT(gastos[[#This Row],[Fecha]],"DDDD")</f>
        <v>domingo</v>
      </c>
      <c r="J94" s="249">
        <f t="shared" si="10"/>
        <v>45375</v>
      </c>
      <c r="K94" s="249"/>
      <c r="L94" s="147"/>
      <c r="M94" s="197">
        <v>0</v>
      </c>
      <c r="N94" s="197">
        <v>2350</v>
      </c>
      <c r="O94" s="198">
        <f t="shared" si="14"/>
        <v>2350</v>
      </c>
      <c r="P94" s="199">
        <v>0</v>
      </c>
      <c r="Q94" s="199">
        <v>0</v>
      </c>
      <c r="R94" s="199">
        <v>0</v>
      </c>
      <c r="S94" s="199">
        <v>0</v>
      </c>
      <c r="T94" s="200" t="str">
        <f>IFERROR(VLOOKUP($A94,Tabla3[#All],2,0),"no esta registrado")</f>
        <v>Pricesmart Dominicana S. A.</v>
      </c>
    </row>
    <row r="95" spans="1:21" ht="16.5" hidden="1" x14ac:dyDescent="0.3">
      <c r="A95" s="230" t="s">
        <v>504</v>
      </c>
      <c r="B95" s="193">
        <v>1</v>
      </c>
      <c r="C95" s="194">
        <v>2</v>
      </c>
      <c r="D95" s="195" t="str">
        <f>IF(C95=1,Leyenda!$C$3,IF(C95=2,Leyenda!$C$4,IF(C95=3,Leyenda!$C$5,IF(C95=4,Leyenda!$C$6,IF(C95=5,Leyenda!$C$7,IF(C95=6,Leyenda!$C$8,IF(C95=7,Leyenda!$C$9,IF(C95=8,Leyenda!$C$10," "))))))))&amp;IF(C95=9,Leyenda!$C$11,IF(C95=10,Leyenda!$C$12,IF(C95=11,Leyenda!$C$13,IF(C95=12,Leyenda!D152," "))))</f>
        <v xml:space="preserve">GASTOS POR TRABAJOS, SUMINISTROS Y SERVICIOS </v>
      </c>
      <c r="E95" s="196" t="s">
        <v>1270</v>
      </c>
      <c r="F95" s="247">
        <v>45356</v>
      </c>
      <c r="G95" s="247" t="str">
        <f t="shared" si="13"/>
        <v>marzo</v>
      </c>
      <c r="H95" s="191">
        <v>2</v>
      </c>
      <c r="I95" s="148" t="str">
        <f>TEXT(gastos[[#This Row],[Fecha]],"DDDD")</f>
        <v>sábado</v>
      </c>
      <c r="J95" s="249">
        <f t="shared" si="10"/>
        <v>45353</v>
      </c>
      <c r="K95" s="249"/>
      <c r="L95" s="147"/>
      <c r="M95" s="197">
        <v>0</v>
      </c>
      <c r="N95" s="197">
        <f>1044.4-72.28</f>
        <v>972.12000000000012</v>
      </c>
      <c r="O95" s="198">
        <f t="shared" si="14"/>
        <v>972.12000000000012</v>
      </c>
      <c r="P95" s="199" t="s">
        <v>1271</v>
      </c>
      <c r="Q95" s="199">
        <v>0</v>
      </c>
      <c r="R95" s="199">
        <v>0</v>
      </c>
      <c r="S95" s="199">
        <v>0</v>
      </c>
      <c r="T95" s="200" t="str">
        <f>IFERROR(VLOOKUP($A95,Tabla3[#All],2,0),"no esta registrado")</f>
        <v>Centro Cuesta Nacional S.A.S.//Supermercados Nacional//Casa Cuesta//Ferretería Cuesta//JUMBO//Bebemundo</v>
      </c>
    </row>
    <row r="96" spans="1:21" ht="16.5" hidden="1" x14ac:dyDescent="0.3">
      <c r="A96" s="230" t="s">
        <v>627</v>
      </c>
      <c r="B96" s="193">
        <v>1</v>
      </c>
      <c r="C96" s="194">
        <v>2</v>
      </c>
      <c r="D96" s="195" t="str">
        <f>IF(C96=1,Leyenda!$C$3,IF(C96=2,Leyenda!$C$4,IF(C96=3,Leyenda!$C$5,IF(C96=4,Leyenda!$C$6,IF(C96=5,Leyenda!$C$7,IF(C96=6,Leyenda!$C$8,IF(C96=7,Leyenda!$C$9,IF(C96=8,Leyenda!$C$10," "))))))))&amp;IF(C96=9,Leyenda!$C$11,IF(C96=10,Leyenda!$C$12,IF(C96=11,Leyenda!$C$13,IF(C96=12,Leyenda!D153," "))))</f>
        <v xml:space="preserve">GASTOS POR TRABAJOS, SUMINISTROS Y SERVICIOS </v>
      </c>
      <c r="E96" s="196" t="s">
        <v>1272</v>
      </c>
      <c r="F96" s="247">
        <v>45356</v>
      </c>
      <c r="G96" s="247" t="str">
        <f t="shared" si="13"/>
        <v>marzo</v>
      </c>
      <c r="H96" s="191">
        <v>16</v>
      </c>
      <c r="I96" s="148" t="str">
        <f>TEXT(gastos[[#This Row],[Fecha]],"DDDD")</f>
        <v>sábado</v>
      </c>
      <c r="J96" s="249">
        <f t="shared" si="10"/>
        <v>45367</v>
      </c>
      <c r="K96" s="249"/>
      <c r="L96" s="147"/>
      <c r="M96" s="197">
        <v>0</v>
      </c>
      <c r="N96" s="197">
        <v>2822.57</v>
      </c>
      <c r="O96" s="198">
        <f t="shared" si="14"/>
        <v>2822.57</v>
      </c>
      <c r="P96" s="199">
        <v>508.06</v>
      </c>
      <c r="Q96" s="199">
        <v>0</v>
      </c>
      <c r="R96" s="199">
        <v>282.26</v>
      </c>
      <c r="S96" s="199">
        <v>0</v>
      </c>
      <c r="T96" s="200" t="str">
        <f>IFERROR(VLOOKUP($A96,Tabla3[#All],2,0),"no esta registrado")</f>
        <v>Concesiones y Servicios, S. A. / Burger King</v>
      </c>
    </row>
    <row r="97" spans="1:20" ht="16.5" hidden="1" x14ac:dyDescent="0.3">
      <c r="A97" s="230" t="s">
        <v>517</v>
      </c>
      <c r="B97" s="193">
        <v>1</v>
      </c>
      <c r="C97" s="194">
        <v>2</v>
      </c>
      <c r="D97" s="195" t="str">
        <f>IF(C97=1,Leyenda!$C$3,IF(C97=2,Leyenda!$C$4,IF(C97=3,Leyenda!$C$5,IF(C97=4,Leyenda!$C$6,IF(C97=5,Leyenda!$C$7,IF(C97=6,Leyenda!$C$8,IF(C97=7,Leyenda!$C$9,IF(C97=8,Leyenda!$C$10," "))))))))&amp;IF(C97=9,Leyenda!$C$11,IF(C97=10,Leyenda!$C$12,IF(C97=11,Leyenda!$C$13,IF(C97=12,Leyenda!D154," "))))</f>
        <v xml:space="preserve">GASTOS POR TRABAJOS, SUMINISTROS Y SERVICIOS </v>
      </c>
      <c r="E97" s="196" t="s">
        <v>1273</v>
      </c>
      <c r="F97" s="247">
        <v>45356</v>
      </c>
      <c r="G97" s="247" t="str">
        <f t="shared" si="13"/>
        <v>marzo</v>
      </c>
      <c r="H97" s="191">
        <v>24</v>
      </c>
      <c r="I97" s="148" t="str">
        <f>TEXT(gastos[[#This Row],[Fecha]],"DDDD")</f>
        <v>domingo</v>
      </c>
      <c r="J97" s="249">
        <f t="shared" si="10"/>
        <v>45375</v>
      </c>
      <c r="K97" s="249"/>
      <c r="L97" s="147"/>
      <c r="M97" s="197">
        <v>0</v>
      </c>
      <c r="N97" s="197">
        <f>7270-1108.97</f>
        <v>6161.03</v>
      </c>
      <c r="O97" s="198">
        <f t="shared" si="14"/>
        <v>6161.03</v>
      </c>
      <c r="P97" s="199">
        <v>1108.97</v>
      </c>
      <c r="Q97" s="199">
        <v>0</v>
      </c>
      <c r="R97" s="199">
        <v>0</v>
      </c>
      <c r="S97" s="199">
        <v>0</v>
      </c>
      <c r="T97" s="200" t="str">
        <f>IFERROR(VLOOKUP($A97,Tabla3[#All],2,0),"no esta registrado")</f>
        <v>Pricesmart Dominicana S. A.</v>
      </c>
    </row>
    <row r="98" spans="1:20" ht="16.5" hidden="1" x14ac:dyDescent="0.3">
      <c r="A98" s="231" t="s">
        <v>504</v>
      </c>
      <c r="B98" s="193">
        <v>1</v>
      </c>
      <c r="C98" s="194">
        <v>2</v>
      </c>
      <c r="D98" s="195" t="str">
        <f>IF(C98=1,Leyenda!$C$3,IF(C98=2,Leyenda!$C$4,IF(C98=3,Leyenda!$C$5,IF(C98=4,Leyenda!$C$6,IF(C98=5,Leyenda!$C$7,IF(C98=6,Leyenda!$C$8,IF(C98=7,Leyenda!$C$9,IF(C98=8,Leyenda!$C$10," "))))))))&amp;IF(C98=9,Leyenda!$C$11,IF(C98=10,Leyenda!$C$12,IF(C98=11,Leyenda!$C$13,IF(C98=12,Leyenda!D155," "))))</f>
        <v xml:space="preserve">GASTOS POR TRABAJOS, SUMINISTROS Y SERVICIOS </v>
      </c>
      <c r="E98" s="196" t="s">
        <v>1274</v>
      </c>
      <c r="F98" s="247">
        <v>45356</v>
      </c>
      <c r="G98" s="247" t="str">
        <f t="shared" si="13"/>
        <v>marzo</v>
      </c>
      <c r="H98" s="191">
        <v>8</v>
      </c>
      <c r="I98" s="148" t="str">
        <f>TEXT(gastos[[#This Row],[Fecha]],"DDDD")</f>
        <v>viernes</v>
      </c>
      <c r="J98" s="249">
        <f t="shared" si="10"/>
        <v>45359</v>
      </c>
      <c r="K98" s="249"/>
      <c r="L98" s="147"/>
      <c r="M98" s="197">
        <v>0</v>
      </c>
      <c r="N98" s="197">
        <f>2851-434.97</f>
        <v>2416.0299999999997</v>
      </c>
      <c r="O98" s="198">
        <f t="shared" si="14"/>
        <v>2416.0299999999997</v>
      </c>
      <c r="P98" s="199">
        <v>434.98</v>
      </c>
      <c r="Q98" s="199">
        <v>0</v>
      </c>
      <c r="R98" s="199">
        <v>0</v>
      </c>
      <c r="S98" s="199">
        <v>0</v>
      </c>
      <c r="T98" s="200" t="str">
        <f>IFERROR(VLOOKUP($A98,Tabla3[#All],2,0),"no esta registrado")</f>
        <v>Centro Cuesta Nacional S.A.S.//Supermercados Nacional//Casa Cuesta//Ferretería Cuesta//JUMBO//Bebemundo</v>
      </c>
    </row>
    <row r="99" spans="1:20" ht="16.5" hidden="1" x14ac:dyDescent="0.3">
      <c r="A99" s="230" t="s">
        <v>511</v>
      </c>
      <c r="B99" s="193">
        <v>1</v>
      </c>
      <c r="C99" s="194">
        <v>2</v>
      </c>
      <c r="D99" s="195" t="str">
        <f>IF(C99=1,Leyenda!$C$3,IF(C99=2,Leyenda!$C$4,IF(C99=3,Leyenda!$C$5,IF(C99=4,Leyenda!$C$6,IF(C99=5,Leyenda!$C$7,IF(C99=6,Leyenda!$C$8,IF(C99=7,Leyenda!$C$9,IF(C99=8,Leyenda!$C$10," "))))))))&amp;IF(C99=9,Leyenda!$C$11,IF(C99=10,Leyenda!$C$12,IF(C99=11,Leyenda!$C$13,IF(C99=12,Leyenda!D156," "))))</f>
        <v xml:space="preserve">GASTOS POR TRABAJOS, SUMINISTROS Y SERVICIOS </v>
      </c>
      <c r="E99" s="196" t="s">
        <v>1275</v>
      </c>
      <c r="F99" s="247">
        <v>45356</v>
      </c>
      <c r="G99" s="247" t="str">
        <f t="shared" si="13"/>
        <v>marzo</v>
      </c>
      <c r="H99" s="191">
        <v>9</v>
      </c>
      <c r="I99" s="148" t="str">
        <f>TEXT(gastos[[#This Row],[Fecha]],"DDDD")</f>
        <v>sábado</v>
      </c>
      <c r="J99" s="249">
        <f t="shared" si="10"/>
        <v>45360</v>
      </c>
      <c r="K99" s="249"/>
      <c r="L99" s="147"/>
      <c r="M99" s="197">
        <v>0</v>
      </c>
      <c r="N99" s="197">
        <f>14265-1028.49</f>
        <v>13236.51</v>
      </c>
      <c r="O99" s="198">
        <f t="shared" si="14"/>
        <v>13236.51</v>
      </c>
      <c r="P99" s="199">
        <v>1028.49</v>
      </c>
      <c r="Q99" s="199">
        <v>0</v>
      </c>
      <c r="R99" s="199">
        <v>0</v>
      </c>
      <c r="S99" s="199">
        <v>0</v>
      </c>
      <c r="T99" s="200" t="str">
        <f>IFERROR(VLOOKUP($A99,Tabla3[#All],2,0),"no esta registrado")</f>
        <v>Bravo, S.A.//Supermercados Bravo</v>
      </c>
    </row>
    <row r="100" spans="1:20" ht="16.5" hidden="1" x14ac:dyDescent="0.3">
      <c r="A100" s="230" t="s">
        <v>511</v>
      </c>
      <c r="B100" s="193">
        <v>1</v>
      </c>
      <c r="C100" s="194">
        <v>2</v>
      </c>
      <c r="D100" s="195" t="str">
        <f>IF(C100=1,Leyenda!$C$3,IF(C100=2,Leyenda!$C$4,IF(C100=3,Leyenda!$C$5,IF(C100=4,Leyenda!$C$6,IF(C100=5,Leyenda!$C$7,IF(C100=6,Leyenda!$C$8,IF(C100=7,Leyenda!$C$9,IF(C100=8,Leyenda!$C$10," "))))))))&amp;IF(C100=9,Leyenda!$C$11,IF(C100=10,Leyenda!$C$12,IF(C100=11,Leyenda!$C$13,IF(C100=12,Leyenda!D157," "))))</f>
        <v xml:space="preserve">GASTOS POR TRABAJOS, SUMINISTROS Y SERVICIOS </v>
      </c>
      <c r="E100" s="196" t="s">
        <v>1276</v>
      </c>
      <c r="F100" s="247">
        <v>45356</v>
      </c>
      <c r="G100" s="247" t="str">
        <f t="shared" si="13"/>
        <v>marzo</v>
      </c>
      <c r="H100" s="191">
        <v>15</v>
      </c>
      <c r="I100" s="148" t="str">
        <f>TEXT(gastos[[#This Row],[Fecha]],"DDDD")</f>
        <v>viernes</v>
      </c>
      <c r="J100" s="249">
        <f t="shared" si="10"/>
        <v>45366</v>
      </c>
      <c r="K100" s="249"/>
      <c r="L100" s="147"/>
      <c r="M100" s="197">
        <v>0</v>
      </c>
      <c r="N100" s="197">
        <f>6913-467.7</f>
        <v>6445.3</v>
      </c>
      <c r="O100" s="198">
        <f t="shared" si="14"/>
        <v>6445.3</v>
      </c>
      <c r="P100" s="199">
        <v>467.7</v>
      </c>
      <c r="Q100" s="199">
        <v>0</v>
      </c>
      <c r="R100" s="199">
        <v>0</v>
      </c>
      <c r="S100" s="199">
        <v>0</v>
      </c>
      <c r="T100" s="200" t="str">
        <f>IFERROR(VLOOKUP($A100,Tabla3[#All],2,0),"no esta registrado")</f>
        <v>Bravo, S.A.//Supermercados Bravo</v>
      </c>
    </row>
    <row r="101" spans="1:20" ht="16.5" hidden="1" x14ac:dyDescent="0.3">
      <c r="A101" s="230" t="s">
        <v>511</v>
      </c>
      <c r="B101" s="193">
        <v>1</v>
      </c>
      <c r="C101" s="194">
        <v>2</v>
      </c>
      <c r="D101" s="195" t="str">
        <f>IF(C101=1,Leyenda!$C$3,IF(C101=2,Leyenda!$C$4,IF(C101=3,Leyenda!$C$5,IF(C101=4,Leyenda!$C$6,IF(C101=5,Leyenda!$C$7,IF(C101=6,Leyenda!$C$8,IF(C101=7,Leyenda!$C$9,IF(C101=8,Leyenda!$C$10," "))))))))&amp;IF(C101=9,Leyenda!$C$11,IF(C101=10,Leyenda!$C$12,IF(C101=11,Leyenda!$C$13,IF(C101=12,Leyenda!D158," "))))</f>
        <v xml:space="preserve">GASTOS POR TRABAJOS, SUMINISTROS Y SERVICIOS </v>
      </c>
      <c r="E101" s="196" t="s">
        <v>1277</v>
      </c>
      <c r="F101" s="247">
        <v>45356</v>
      </c>
      <c r="G101" s="247" t="str">
        <f t="shared" si="13"/>
        <v>marzo</v>
      </c>
      <c r="H101" s="191">
        <v>21</v>
      </c>
      <c r="I101" s="148" t="str">
        <f>TEXT(gastos[[#This Row],[Fecha]],"DDDD")</f>
        <v>jueves</v>
      </c>
      <c r="J101" s="249">
        <f t="shared" si="10"/>
        <v>45372</v>
      </c>
      <c r="K101" s="249"/>
      <c r="L101" s="147"/>
      <c r="M101" s="197">
        <v>0</v>
      </c>
      <c r="N101" s="197">
        <f>12790-1037.62</f>
        <v>11752.380000000001</v>
      </c>
      <c r="O101" s="198">
        <f t="shared" si="14"/>
        <v>11752.380000000001</v>
      </c>
      <c r="P101" s="199">
        <v>1037.42</v>
      </c>
      <c r="Q101" s="199">
        <v>0</v>
      </c>
      <c r="R101" s="199">
        <v>0</v>
      </c>
      <c r="S101" s="199">
        <v>0</v>
      </c>
      <c r="T101" s="200" t="str">
        <f>IFERROR(VLOOKUP($A101,Tabla3[#All],2,0),"no esta registrado")</f>
        <v>Bravo, S.A.//Supermercados Bravo</v>
      </c>
    </row>
    <row r="102" spans="1:20" ht="16.5" hidden="1" x14ac:dyDescent="0.3">
      <c r="A102" s="230" t="s">
        <v>511</v>
      </c>
      <c r="B102" s="193">
        <v>1</v>
      </c>
      <c r="C102" s="194">
        <v>2</v>
      </c>
      <c r="D102" s="195" t="str">
        <f>IF(C102=1,Leyenda!$C$3,IF(C102=2,Leyenda!$C$4,IF(C102=3,Leyenda!$C$5,IF(C102=4,Leyenda!$C$6,IF(C102=5,Leyenda!$C$7,IF(C102=6,Leyenda!$C$8,IF(C102=7,Leyenda!$C$9,IF(C102=8,Leyenda!$C$10," "))))))))&amp;IF(C102=9,Leyenda!$C$11,IF(C102=10,Leyenda!$C$12,IF(C102=11,Leyenda!$C$13,IF(C102=12,Leyenda!D159," "))))</f>
        <v xml:space="preserve">GASTOS POR TRABAJOS, SUMINISTROS Y SERVICIOS </v>
      </c>
      <c r="E102" s="196" t="s">
        <v>1278</v>
      </c>
      <c r="F102" s="247">
        <v>45356</v>
      </c>
      <c r="G102" s="247" t="str">
        <f t="shared" si="13"/>
        <v>marzo</v>
      </c>
      <c r="H102" s="191">
        <v>28</v>
      </c>
      <c r="I102" s="148" t="str">
        <f>TEXT(gastos[[#This Row],[Fecha]],"DDDD")</f>
        <v>jueves</v>
      </c>
      <c r="J102" s="249">
        <f t="shared" si="10"/>
        <v>45379</v>
      </c>
      <c r="K102" s="249"/>
      <c r="L102" s="147"/>
      <c r="M102" s="197">
        <v>0</v>
      </c>
      <c r="N102" s="197">
        <f>8445-724.34</f>
        <v>7720.66</v>
      </c>
      <c r="O102" s="198">
        <f t="shared" si="14"/>
        <v>7720.66</v>
      </c>
      <c r="P102" s="199">
        <v>724.34</v>
      </c>
      <c r="Q102" s="199">
        <v>0</v>
      </c>
      <c r="R102" s="199">
        <v>0</v>
      </c>
      <c r="S102" s="199">
        <v>0</v>
      </c>
      <c r="T102" s="200" t="str">
        <f>IFERROR(VLOOKUP($A102,Tabla3[#All],2,0),"no esta registrado")</f>
        <v>Bravo, S.A.//Supermercados Bravo</v>
      </c>
    </row>
    <row r="103" spans="1:20" ht="16.5" hidden="1" x14ac:dyDescent="0.3">
      <c r="A103" s="230" t="s">
        <v>1114</v>
      </c>
      <c r="B103" s="193">
        <v>1</v>
      </c>
      <c r="C103" s="194">
        <v>2</v>
      </c>
      <c r="D103" s="195" t="str">
        <f>IF(C103=1,Leyenda!$C$3,IF(C103=2,Leyenda!$C$4,IF(C103=3,Leyenda!$C$5,IF(C103=4,Leyenda!$C$6,IF(C103=5,Leyenda!$C$7,IF(C103=6,Leyenda!$C$8,IF(C103=7,Leyenda!$C$9,IF(C103=8,Leyenda!$C$10," "))))))))&amp;IF(C103=9,Leyenda!$C$11,IF(C103=10,Leyenda!$C$12,IF(C103=11,Leyenda!$C$13,IF(C103=12,Leyenda!D160," "))))</f>
        <v xml:space="preserve">GASTOS POR TRABAJOS, SUMINISTROS Y SERVICIOS </v>
      </c>
      <c r="E103" s="196" t="s">
        <v>1279</v>
      </c>
      <c r="F103" s="247">
        <v>45356</v>
      </c>
      <c r="G103" s="247" t="str">
        <f t="shared" si="13"/>
        <v>marzo</v>
      </c>
      <c r="H103" s="191">
        <v>8</v>
      </c>
      <c r="I103" s="148" t="str">
        <f>TEXT(gastos[[#This Row],[Fecha]],"DDDD")</f>
        <v>viernes</v>
      </c>
      <c r="J103" s="249">
        <f t="shared" si="10"/>
        <v>45359</v>
      </c>
      <c r="K103" s="249"/>
      <c r="L103" s="147"/>
      <c r="M103" s="197">
        <v>2606</v>
      </c>
      <c r="N103" s="197">
        <v>0</v>
      </c>
      <c r="O103" s="198">
        <f t="shared" si="14"/>
        <v>2606</v>
      </c>
      <c r="P103" s="199">
        <v>0</v>
      </c>
      <c r="Q103" s="199">
        <v>0</v>
      </c>
      <c r="R103" s="199">
        <v>0</v>
      </c>
      <c r="S103" s="199">
        <v>0</v>
      </c>
      <c r="T103" s="200" t="str">
        <f>IFERROR(VLOOKUP($A103,Tabla3[#All],2,0),"no esta registrado")</f>
        <v>ACADEMIA EUROPEA</v>
      </c>
    </row>
    <row r="104" spans="1:20" ht="16.5" hidden="1" x14ac:dyDescent="0.3">
      <c r="A104" s="230" t="s">
        <v>1114</v>
      </c>
      <c r="B104" s="193">
        <v>1</v>
      </c>
      <c r="C104" s="194">
        <v>2</v>
      </c>
      <c r="D104" s="195" t="str">
        <f>IF(C104=1,Leyenda!$C$3,IF(C104=2,Leyenda!$C$4,IF(C104=3,Leyenda!$C$5,IF(C104=4,Leyenda!$C$6,IF(C104=5,Leyenda!$C$7,IF(C104=6,Leyenda!$C$8,IF(C104=7,Leyenda!$C$9,IF(C104=8,Leyenda!$C$10," "))))))))&amp;IF(C104=9,Leyenda!$C$11,IF(C104=10,Leyenda!$C$12,IF(C104=11,Leyenda!$C$13,IF(C104=12,Leyenda!D161," "))))</f>
        <v xml:space="preserve">GASTOS POR TRABAJOS, SUMINISTROS Y SERVICIOS </v>
      </c>
      <c r="E104" s="196" t="s">
        <v>1280</v>
      </c>
      <c r="F104" s="247">
        <v>45356</v>
      </c>
      <c r="G104" s="247" t="str">
        <f t="shared" si="13"/>
        <v>marzo</v>
      </c>
      <c r="H104" s="191">
        <v>8</v>
      </c>
      <c r="I104" s="148" t="str">
        <f>TEXT(gastos[[#This Row],[Fecha]],"DDDD")</f>
        <v>viernes</v>
      </c>
      <c r="J104" s="249">
        <f t="shared" si="10"/>
        <v>45359</v>
      </c>
      <c r="K104" s="249"/>
      <c r="L104" s="147"/>
      <c r="M104" s="197">
        <v>2876</v>
      </c>
      <c r="N104" s="197">
        <v>0</v>
      </c>
      <c r="O104" s="198">
        <f t="shared" si="14"/>
        <v>2876</v>
      </c>
      <c r="P104" s="199">
        <v>0</v>
      </c>
      <c r="Q104" s="199">
        <v>0</v>
      </c>
      <c r="R104" s="199">
        <v>0</v>
      </c>
      <c r="S104" s="199">
        <v>0</v>
      </c>
      <c r="T104" s="200" t="str">
        <f>IFERROR(VLOOKUP($A104,Tabla3[#All],2,0),"no esta registrado")</f>
        <v>ACADEMIA EUROPEA</v>
      </c>
    </row>
    <row r="105" spans="1:20" ht="16.5" hidden="1" x14ac:dyDescent="0.3">
      <c r="A105" s="230" t="s">
        <v>1114</v>
      </c>
      <c r="B105" s="193">
        <v>1</v>
      </c>
      <c r="C105" s="194">
        <v>2</v>
      </c>
      <c r="D105" s="195" t="str">
        <f>IF(C105=1,Leyenda!$C$3,IF(C105=2,Leyenda!$C$4,IF(C105=3,Leyenda!$C$5,IF(C105=4,Leyenda!$C$6,IF(C105=5,Leyenda!$C$7,IF(C105=6,Leyenda!$C$8,IF(C105=7,Leyenda!$C$9,IF(C105=8,Leyenda!$C$10," "))))))))&amp;IF(C105=9,Leyenda!$C$11,IF(C105=10,Leyenda!$C$12,IF(C105=11,Leyenda!$C$13,IF(C105=12,Leyenda!D162," "))))</f>
        <v xml:space="preserve">GASTOS POR TRABAJOS, SUMINISTROS Y SERVICIOS </v>
      </c>
      <c r="E105" s="196" t="s">
        <v>1281</v>
      </c>
      <c r="F105" s="247">
        <v>45356</v>
      </c>
      <c r="G105" s="247" t="str">
        <f t="shared" si="13"/>
        <v>marzo</v>
      </c>
      <c r="H105" s="191">
        <v>8</v>
      </c>
      <c r="I105" s="148" t="str">
        <f>TEXT(gastos[[#This Row],[Fecha]],"DDDD")</f>
        <v>viernes</v>
      </c>
      <c r="J105" s="249">
        <f t="shared" si="10"/>
        <v>45359</v>
      </c>
      <c r="K105" s="249"/>
      <c r="L105" s="147"/>
      <c r="M105" s="197">
        <v>2606</v>
      </c>
      <c r="N105" s="197">
        <v>0</v>
      </c>
      <c r="O105" s="198">
        <f t="shared" si="14"/>
        <v>2606</v>
      </c>
      <c r="P105" s="199">
        <v>0</v>
      </c>
      <c r="Q105" s="199">
        <v>0</v>
      </c>
      <c r="R105" s="199">
        <v>0</v>
      </c>
      <c r="S105" s="199">
        <v>0</v>
      </c>
      <c r="T105" s="200" t="str">
        <f>IFERROR(VLOOKUP($A105,Tabla3[#All],2,0),"no esta registrado")</f>
        <v>ACADEMIA EUROPEA</v>
      </c>
    </row>
    <row r="106" spans="1:20" ht="16.5" hidden="1" x14ac:dyDescent="0.3">
      <c r="A106" s="230" t="s">
        <v>1114</v>
      </c>
      <c r="B106" s="193">
        <v>1</v>
      </c>
      <c r="C106" s="194">
        <v>2</v>
      </c>
      <c r="D106" s="195" t="str">
        <f>IF(C106=1,Leyenda!$C$3,IF(C106=2,Leyenda!$C$4,IF(C106=3,Leyenda!$C$5,IF(C106=4,Leyenda!$C$6,IF(C106=5,Leyenda!$C$7,IF(C106=6,Leyenda!$C$8,IF(C106=7,Leyenda!$C$9,IF(C106=8,Leyenda!$C$10," "))))))))&amp;IF(C106=9,Leyenda!$C$11,IF(C106=10,Leyenda!$C$12,IF(C106=11,Leyenda!$C$13,IF(C106=12,Leyenda!D163," "))))</f>
        <v xml:space="preserve">GASTOS POR TRABAJOS, SUMINISTROS Y SERVICIOS </v>
      </c>
      <c r="E106" s="196" t="s">
        <v>1282</v>
      </c>
      <c r="F106" s="247">
        <v>45356</v>
      </c>
      <c r="G106" s="247" t="str">
        <f t="shared" si="13"/>
        <v>marzo</v>
      </c>
      <c r="H106" s="191">
        <v>22</v>
      </c>
      <c r="I106" s="148" t="str">
        <f>TEXT(gastos[[#This Row],[Fecha]],"DDDD")</f>
        <v>viernes</v>
      </c>
      <c r="J106" s="249">
        <f t="shared" si="10"/>
        <v>45373</v>
      </c>
      <c r="K106" s="249"/>
      <c r="L106" s="147"/>
      <c r="M106" s="197">
        <v>2876</v>
      </c>
      <c r="N106" s="197">
        <v>0</v>
      </c>
      <c r="O106" s="198">
        <f t="shared" si="14"/>
        <v>2876</v>
      </c>
      <c r="P106" s="199">
        <v>0</v>
      </c>
      <c r="Q106" s="199">
        <v>0</v>
      </c>
      <c r="R106" s="199">
        <v>0</v>
      </c>
      <c r="S106" s="199">
        <v>0</v>
      </c>
      <c r="T106" s="200" t="str">
        <f>IFERROR(VLOOKUP($A106,Tabla3[#All],2,0),"no esta registrado")</f>
        <v>ACADEMIA EUROPEA</v>
      </c>
    </row>
    <row r="107" spans="1:20" ht="16.5" hidden="1" x14ac:dyDescent="0.3">
      <c r="A107" s="230" t="s">
        <v>1283</v>
      </c>
      <c r="B107" s="193">
        <v>1</v>
      </c>
      <c r="C107" s="194">
        <v>2</v>
      </c>
      <c r="D107" s="195" t="str">
        <f>IF(C107=1,Leyenda!$C$3,IF(C107=2,Leyenda!$C$4,IF(C107=3,Leyenda!$C$5,IF(C107=4,Leyenda!$C$6,IF(C107=5,Leyenda!$C$7,IF(C107=6,Leyenda!$C$8,IF(C107=7,Leyenda!$C$9,IF(C107=8,Leyenda!$C$10," "))))))))&amp;IF(C107=9,Leyenda!$C$11,IF(C107=10,Leyenda!$C$12,IF(C107=11,Leyenda!$C$13,IF(C107=12,Leyenda!D164," "))))</f>
        <v xml:space="preserve">GASTOS POR TRABAJOS, SUMINISTROS Y SERVICIOS </v>
      </c>
      <c r="E107" s="196" t="s">
        <v>1284</v>
      </c>
      <c r="F107" s="247">
        <v>45356</v>
      </c>
      <c r="G107" s="247" t="str">
        <f t="shared" si="13"/>
        <v>marzo</v>
      </c>
      <c r="H107" s="191">
        <v>21</v>
      </c>
      <c r="I107" s="148" t="str">
        <f>TEXT(gastos[[#This Row],[Fecha]],"DDDD")</f>
        <v>jueves</v>
      </c>
      <c r="J107" s="249">
        <f t="shared" si="10"/>
        <v>45372</v>
      </c>
      <c r="K107" s="249"/>
      <c r="L107" s="147"/>
      <c r="M107" s="197">
        <v>0</v>
      </c>
      <c r="N107" s="197">
        <v>500</v>
      </c>
      <c r="O107" s="198">
        <f t="shared" si="14"/>
        <v>500</v>
      </c>
      <c r="P107" s="199">
        <v>0</v>
      </c>
      <c r="Q107" s="199">
        <v>0</v>
      </c>
      <c r="R107" s="199">
        <v>0</v>
      </c>
      <c r="S107" s="199">
        <v>0</v>
      </c>
      <c r="T107" s="200" t="str">
        <f>IFERROR(VLOOKUP($A107,Tabla3[#All],2,0),"no esta registrado")</f>
        <v>no esta registrado</v>
      </c>
    </row>
    <row r="108" spans="1:20" ht="16.5" hidden="1" x14ac:dyDescent="0.3">
      <c r="A108" s="230" t="s">
        <v>495</v>
      </c>
      <c r="B108" s="193">
        <v>1</v>
      </c>
      <c r="C108" s="194">
        <v>2</v>
      </c>
      <c r="D108" s="195" t="str">
        <f>IF(C108=1,Leyenda!$C$3,IF(C108=2,Leyenda!$C$4,IF(C108=3,Leyenda!$C$5,IF(C108=4,Leyenda!$C$6,IF(C108=5,Leyenda!$C$7,IF(C108=6,Leyenda!$C$8,IF(C108=7,Leyenda!$C$9,IF(C108=8,Leyenda!$C$10," "))))))))&amp;IF(C108=9,Leyenda!$C$11,IF(C108=10,Leyenda!$C$12,IF(C108=11,Leyenda!$C$13,IF(C108=12,Leyenda!D165," "))))</f>
        <v xml:space="preserve">GASTOS POR TRABAJOS, SUMINISTROS Y SERVICIOS </v>
      </c>
      <c r="E108" s="196" t="s">
        <v>1285</v>
      </c>
      <c r="F108" s="247">
        <v>45356</v>
      </c>
      <c r="G108" s="247" t="str">
        <f t="shared" si="13"/>
        <v>marzo</v>
      </c>
      <c r="H108" s="191">
        <v>7</v>
      </c>
      <c r="I108" s="148" t="str">
        <f>TEXT(gastos[[#This Row],[Fecha]],"DDDD")</f>
        <v>jueves</v>
      </c>
      <c r="J108" s="249">
        <f t="shared" si="10"/>
        <v>45358</v>
      </c>
      <c r="K108" s="249"/>
      <c r="L108" s="147"/>
      <c r="M108" s="197">
        <v>830</v>
      </c>
      <c r="N108" s="197">
        <v>0</v>
      </c>
      <c r="O108" s="198">
        <f t="shared" si="14"/>
        <v>830</v>
      </c>
      <c r="P108" s="199">
        <v>149.4</v>
      </c>
      <c r="Q108" s="199">
        <v>0</v>
      </c>
      <c r="R108" s="199">
        <v>0</v>
      </c>
      <c r="S108" s="199">
        <v>0</v>
      </c>
      <c r="T108" s="200" t="str">
        <f>IFERROR(VLOOKUP($A108,Tabla3[#All],2,0),"no esta registrado")</f>
        <v>CLARO//CODETEL</v>
      </c>
    </row>
    <row r="109" spans="1:20" ht="16.5" hidden="1" x14ac:dyDescent="0.3">
      <c r="A109" s="230" t="s">
        <v>495</v>
      </c>
      <c r="B109" s="193">
        <v>1</v>
      </c>
      <c r="C109" s="194">
        <v>2</v>
      </c>
      <c r="D109" s="195" t="str">
        <f>IF(C109=1,Leyenda!$C$3,IF(C109=2,Leyenda!$C$4,IF(C109=3,Leyenda!$C$5,IF(C109=4,Leyenda!$C$6,IF(C109=5,Leyenda!$C$7,IF(C109=6,Leyenda!$C$8,IF(C109=7,Leyenda!$C$9,IF(C109=8,Leyenda!$C$10," "))))))))&amp;IF(C109=9,Leyenda!$C$11,IF(C109=10,Leyenda!$C$12,IF(C109=11,Leyenda!$C$13,IF(C109=12,Leyenda!D166," "))))</f>
        <v xml:space="preserve">GASTOS POR TRABAJOS, SUMINISTROS Y SERVICIOS </v>
      </c>
      <c r="E109" s="196" t="s">
        <v>1286</v>
      </c>
      <c r="F109" s="247">
        <v>45356</v>
      </c>
      <c r="G109" s="247" t="str">
        <f t="shared" si="13"/>
        <v>marzo</v>
      </c>
      <c r="H109" s="191">
        <v>7</v>
      </c>
      <c r="I109" s="148" t="str">
        <f>TEXT(gastos[[#This Row],[Fecha]],"DDDD")</f>
        <v>jueves</v>
      </c>
      <c r="J109" s="249">
        <f t="shared" si="10"/>
        <v>45358</v>
      </c>
      <c r="K109" s="249"/>
      <c r="L109" s="147"/>
      <c r="M109" s="197">
        <v>2407.69</v>
      </c>
      <c r="N109" s="197">
        <v>0</v>
      </c>
      <c r="O109" s="198">
        <f t="shared" si="14"/>
        <v>2407.69</v>
      </c>
      <c r="P109" s="199">
        <v>433.39</v>
      </c>
      <c r="Q109" s="199">
        <v>0</v>
      </c>
      <c r="R109" s="199">
        <v>0</v>
      </c>
      <c r="S109" s="199">
        <v>0</v>
      </c>
      <c r="T109" s="200" t="str">
        <f>IFERROR(VLOOKUP($A109,Tabla3[#All],2,0),"no esta registrado")</f>
        <v>CLARO//CODETEL</v>
      </c>
    </row>
    <row r="110" spans="1:20" ht="16.5" hidden="1" x14ac:dyDescent="0.3">
      <c r="A110" s="230" t="s">
        <v>1112</v>
      </c>
      <c r="B110" s="193">
        <v>1</v>
      </c>
      <c r="C110" s="194">
        <v>2</v>
      </c>
      <c r="D110" s="195" t="str">
        <f>IF(C110=1,Leyenda!$C$3,IF(C110=2,Leyenda!$C$4,IF(C110=3,Leyenda!$C$5,IF(C110=4,Leyenda!$C$6,IF(C110=5,Leyenda!$C$7,IF(C110=6,Leyenda!$C$8,IF(C110=7,Leyenda!$C$9,IF(C110=8,Leyenda!$C$10," "))))))))&amp;IF(C110=9,Leyenda!$C$11,IF(C110=10,Leyenda!$C$12,IF(C110=11,Leyenda!$C$13,IF(C110=12,Leyenda!D167," "))))</f>
        <v xml:space="preserve">GASTOS POR TRABAJOS, SUMINISTROS Y SERVICIOS </v>
      </c>
      <c r="E110" s="196" t="s">
        <v>1287</v>
      </c>
      <c r="F110" s="247">
        <v>45356</v>
      </c>
      <c r="G110" s="247" t="str">
        <f t="shared" si="13"/>
        <v>marzo</v>
      </c>
      <c r="H110" s="191">
        <v>21</v>
      </c>
      <c r="I110" s="148" t="str">
        <f>TEXT(gastos[[#This Row],[Fecha]],"DDDD")</f>
        <v>jueves</v>
      </c>
      <c r="J110" s="249">
        <f t="shared" si="10"/>
        <v>45372</v>
      </c>
      <c r="K110" s="249"/>
      <c r="L110" s="147"/>
      <c r="M110" s="197">
        <v>6549.07</v>
      </c>
      <c r="N110" s="197">
        <v>0</v>
      </c>
      <c r="O110" s="198">
        <f t="shared" si="14"/>
        <v>6549.07</v>
      </c>
      <c r="P110" s="199">
        <v>0</v>
      </c>
      <c r="Q110" s="199">
        <v>0</v>
      </c>
      <c r="R110" s="199">
        <v>0</v>
      </c>
      <c r="S110" s="199">
        <v>0</v>
      </c>
      <c r="T110" s="200" t="str">
        <f>IFERROR(VLOOKUP($A110,Tabla3[#All],2,0),"no esta registrado")</f>
        <v>EDEESTE</v>
      </c>
    </row>
    <row r="111" spans="1:20" ht="16.5" hidden="1" x14ac:dyDescent="0.3">
      <c r="A111" s="231" t="s">
        <v>489</v>
      </c>
      <c r="B111" s="193">
        <v>2</v>
      </c>
      <c r="C111" s="194">
        <v>7</v>
      </c>
      <c r="D111" s="195" t="str">
        <f>IF(C111=1,Leyenda!$C$3,IF(C111=2,Leyenda!$C$4,IF(C111=3,Leyenda!$C$5,IF(C111=4,Leyenda!$C$6,IF(C111=5,Leyenda!$C$7,IF(C111=6,Leyenda!$C$8,IF(C111=7,Leyenda!$C$9,IF(C111=8,Leyenda!$C$10," "))))))))&amp;IF(C111=9,Leyenda!$C$11,IF(C111=10,Leyenda!$C$12,IF(C111=11,Leyenda!$C$13,IF(C111=12,Leyenda!D168," "))))</f>
        <v xml:space="preserve">GASTOS FINANCIEROS </v>
      </c>
      <c r="E111" s="202" t="s">
        <v>1288</v>
      </c>
      <c r="F111" s="328">
        <v>45356</v>
      </c>
      <c r="G111" s="247" t="str">
        <f t="shared" si="13"/>
        <v>marzo</v>
      </c>
      <c r="H111" s="203">
        <v>31</v>
      </c>
      <c r="I111" s="250" t="str">
        <f>TEXT(gastos[[#This Row],[Fecha]],"DDDD")</f>
        <v>domingo</v>
      </c>
      <c r="J111" s="249">
        <f t="shared" si="10"/>
        <v>45382</v>
      </c>
      <c r="K111" s="249"/>
      <c r="L111" s="147"/>
      <c r="M111" s="197">
        <v>11622.36</v>
      </c>
      <c r="N111" s="197">
        <v>0</v>
      </c>
      <c r="O111" s="198">
        <f t="shared" si="14"/>
        <v>11622.36</v>
      </c>
      <c r="P111" s="199">
        <v>0</v>
      </c>
      <c r="Q111" s="199">
        <v>0</v>
      </c>
      <c r="R111" s="199">
        <v>0</v>
      </c>
      <c r="S111" s="199">
        <v>0</v>
      </c>
      <c r="T111" s="200" t="str">
        <f>IFERROR(VLOOKUP($A111,Tabla3[#All],2,0),"no esta registrado")</f>
        <v>Banco Popular Dominicano, S. A. Banco Multiple</v>
      </c>
    </row>
    <row r="112" spans="1:20" ht="16.5" hidden="1" x14ac:dyDescent="0.3">
      <c r="A112" s="230" t="s">
        <v>492</v>
      </c>
      <c r="B112" s="193">
        <v>1</v>
      </c>
      <c r="C112" s="194">
        <v>7</v>
      </c>
      <c r="D112" s="195" t="str">
        <f>IF(C112=1,Leyenda!$C$3,IF(C112=2,Leyenda!$C$4,IF(C112=3,Leyenda!$C$5,IF(C112=4,Leyenda!$C$6,IF(C112=5,Leyenda!$C$7,IF(C112=6,Leyenda!$C$8,IF(C112=7,Leyenda!$C$9,IF(C112=8,Leyenda!$C$10," "))))))))&amp;IF(C112=9,Leyenda!$C$11,IF(C112=10,Leyenda!$C$12,IF(C112=11,Leyenda!$C$13,IF(C112=12,Leyenda!D169," "))))</f>
        <v xml:space="preserve">GASTOS FINANCIEROS </v>
      </c>
      <c r="E112" s="196" t="s">
        <v>1289</v>
      </c>
      <c r="F112" s="247">
        <v>45356</v>
      </c>
      <c r="G112" s="247" t="str">
        <f t="shared" si="13"/>
        <v>marzo</v>
      </c>
      <c r="H112" s="191">
        <v>4</v>
      </c>
      <c r="I112" s="148" t="str">
        <f>TEXT(gastos[[#This Row],[Fecha]],"DDDD")</f>
        <v>lunes</v>
      </c>
      <c r="J112" s="249">
        <f t="shared" si="10"/>
        <v>45355</v>
      </c>
      <c r="K112" s="249"/>
      <c r="L112" s="147"/>
      <c r="M112" s="197">
        <v>137.53</v>
      </c>
      <c r="N112" s="197">
        <v>0</v>
      </c>
      <c r="O112" s="198">
        <f t="shared" si="14"/>
        <v>137.53</v>
      </c>
      <c r="P112" s="199">
        <v>0</v>
      </c>
      <c r="Q112" s="199">
        <v>0</v>
      </c>
      <c r="R112" s="199">
        <v>0</v>
      </c>
      <c r="S112" s="199">
        <v>0</v>
      </c>
      <c r="T112" s="200" t="str">
        <f>IFERROR(VLOOKUP($A112,Tabla3[#All],2,0),"no esta registrado")</f>
        <v>Banco Dominicano del Progreso, S. A.//Banco Multiple</v>
      </c>
    </row>
    <row r="113" spans="1:20" ht="16.5" hidden="1" x14ac:dyDescent="0.3">
      <c r="A113" s="230" t="s">
        <v>492</v>
      </c>
      <c r="B113" s="193">
        <v>1</v>
      </c>
      <c r="C113" s="194">
        <v>7</v>
      </c>
      <c r="D113" s="195" t="str">
        <f>IF(C113=1,Leyenda!$C$3,IF(C113=2,Leyenda!$C$4,IF(C113=3,Leyenda!$C$5,IF(C113=4,Leyenda!$C$6,IF(C113=5,Leyenda!$C$7,IF(C113=6,Leyenda!$C$8,IF(C113=7,Leyenda!$C$9,IF(C113=8,Leyenda!$C$10," "))))))))&amp;IF(C113=9,Leyenda!$C$11,IF(C113=10,Leyenda!$C$12,IF(C113=11,Leyenda!$C$13,IF(C113=12,Leyenda!D170," "))))</f>
        <v xml:space="preserve">GASTOS FINANCIEROS </v>
      </c>
      <c r="E113" s="196" t="s">
        <v>1290</v>
      </c>
      <c r="F113" s="247">
        <v>45356</v>
      </c>
      <c r="G113" s="247" t="str">
        <f t="shared" si="13"/>
        <v>marzo</v>
      </c>
      <c r="H113" s="191">
        <v>18</v>
      </c>
      <c r="I113" s="148" t="str">
        <f>TEXT(gastos[[#This Row],[Fecha]],"DDDD")</f>
        <v>lunes</v>
      </c>
      <c r="J113" s="249">
        <f t="shared" si="10"/>
        <v>45369</v>
      </c>
      <c r="K113" s="249"/>
      <c r="L113" s="147"/>
      <c r="M113" s="197">
        <v>66.930000000000007</v>
      </c>
      <c r="N113" s="197">
        <v>0</v>
      </c>
      <c r="O113" s="198">
        <f t="shared" si="14"/>
        <v>66.930000000000007</v>
      </c>
      <c r="P113" s="199">
        <v>0</v>
      </c>
      <c r="Q113" s="199">
        <v>0</v>
      </c>
      <c r="R113" s="199">
        <v>0</v>
      </c>
      <c r="S113" s="199">
        <v>0</v>
      </c>
      <c r="T113" s="200" t="str">
        <f>IFERROR(VLOOKUP($A113,Tabla3[#All],2,0),"no esta registrado")</f>
        <v>Banco Dominicano del Progreso, S. A.//Banco Multiple</v>
      </c>
    </row>
    <row r="114" spans="1:20" ht="16.5" hidden="1" x14ac:dyDescent="0.3">
      <c r="A114" s="230" t="s">
        <v>492</v>
      </c>
      <c r="B114" s="193">
        <v>1</v>
      </c>
      <c r="C114" s="194">
        <v>7</v>
      </c>
      <c r="D114" s="195" t="str">
        <f>IF(C114=1,Leyenda!$C$3,IF(C114=2,Leyenda!$C$4,IF(C114=3,Leyenda!$C$5,IF(C114=4,Leyenda!$C$6,IF(C114=5,Leyenda!$C$7,IF(C114=6,Leyenda!$C$8,IF(C114=7,Leyenda!$C$9,IF(C114=8,Leyenda!$C$10," "))))))))&amp;IF(C114=9,Leyenda!$C$11,IF(C114=10,Leyenda!$C$12,IF(C114=11,Leyenda!$C$13,IF(C114=12,Leyenda!D171," "))))</f>
        <v xml:space="preserve">GASTOS FINANCIEROS </v>
      </c>
      <c r="E114" s="196" t="s">
        <v>1291</v>
      </c>
      <c r="F114" s="247">
        <v>45356</v>
      </c>
      <c r="G114" s="247" t="str">
        <f t="shared" si="13"/>
        <v>marzo</v>
      </c>
      <c r="H114" s="191">
        <v>18</v>
      </c>
      <c r="I114" s="148" t="str">
        <f>TEXT(gastos[[#This Row],[Fecha]],"DDDD")</f>
        <v>lunes</v>
      </c>
      <c r="J114" s="249">
        <f t="shared" si="10"/>
        <v>45369</v>
      </c>
      <c r="K114" s="249"/>
      <c r="L114" s="147"/>
      <c r="M114" s="197">
        <v>24127.41</v>
      </c>
      <c r="N114" s="197">
        <v>0</v>
      </c>
      <c r="O114" s="198">
        <f t="shared" si="14"/>
        <v>24127.41</v>
      </c>
      <c r="P114" s="199">
        <v>0</v>
      </c>
      <c r="Q114" s="199">
        <v>0</v>
      </c>
      <c r="R114" s="199">
        <v>0</v>
      </c>
      <c r="S114" s="199">
        <v>0</v>
      </c>
      <c r="T114" s="200" t="str">
        <f>IFERROR(VLOOKUP($A114,Tabla3[#All],2,0),"no esta registrado")</f>
        <v>Banco Dominicano del Progreso, S. A.//Banco Multiple</v>
      </c>
    </row>
    <row r="115" spans="1:20" ht="16.5" hidden="1" x14ac:dyDescent="0.3">
      <c r="A115" s="230" t="s">
        <v>492</v>
      </c>
      <c r="B115" s="193">
        <v>1</v>
      </c>
      <c r="C115" s="194">
        <v>7</v>
      </c>
      <c r="D115" s="195" t="str">
        <f>IF(C115=1,Leyenda!$C$3,IF(C115=2,Leyenda!$C$4,IF(C115=3,Leyenda!$C$5,IF(C115=4,Leyenda!$C$6,IF(C115=5,Leyenda!$C$7,IF(C115=6,Leyenda!$C$8,IF(C115=7,Leyenda!$C$9,IF(C115=8,Leyenda!$C$10," "))))))))&amp;IF(C115=9,Leyenda!$C$11,IF(C115=10,Leyenda!$C$12,IF(C115=11,Leyenda!$C$13,IF(C115=12,Leyenda!D172," "))))</f>
        <v xml:space="preserve">GASTOS FINANCIEROS </v>
      </c>
      <c r="E115" s="196" t="s">
        <v>1292</v>
      </c>
      <c r="F115" s="247">
        <v>45356</v>
      </c>
      <c r="G115" s="247" t="str">
        <f t="shared" si="13"/>
        <v>marzo</v>
      </c>
      <c r="H115" s="191">
        <v>18</v>
      </c>
      <c r="I115" s="148" t="str">
        <f>TEXT(gastos[[#This Row],[Fecha]],"DDDD")</f>
        <v>lunes</v>
      </c>
      <c r="J115" s="249">
        <f t="shared" si="10"/>
        <v>45369</v>
      </c>
      <c r="K115" s="249"/>
      <c r="L115" s="147"/>
      <c r="M115" s="197">
        <v>2934.8</v>
      </c>
      <c r="N115" s="205">
        <v>0</v>
      </c>
      <c r="O115" s="198">
        <f t="shared" si="14"/>
        <v>2934.8</v>
      </c>
      <c r="P115" s="199">
        <v>0</v>
      </c>
      <c r="Q115" s="199">
        <v>0</v>
      </c>
      <c r="R115" s="199">
        <v>0</v>
      </c>
      <c r="S115" s="199">
        <v>0</v>
      </c>
      <c r="T115" s="200" t="str">
        <f>IFERROR(VLOOKUP($A115,Tabla3[#All],2,0),"no esta registrado")</f>
        <v>Banco Dominicano del Progreso, S. A.//Banco Multiple</v>
      </c>
    </row>
    <row r="116" spans="1:20" ht="16.5" hidden="1" x14ac:dyDescent="0.3">
      <c r="A116" s="230" t="s">
        <v>492</v>
      </c>
      <c r="B116" s="193">
        <v>1</v>
      </c>
      <c r="C116" s="194">
        <v>7</v>
      </c>
      <c r="D116" s="195" t="str">
        <f>IF(C116=1,Leyenda!$C$3,IF(C116=2,Leyenda!$C$4,IF(C116=3,Leyenda!$C$5,IF(C116=4,Leyenda!$C$6,IF(C116=5,Leyenda!$C$7,IF(C116=6,Leyenda!$C$8,IF(C116=7,Leyenda!$C$9,IF(C116=8,Leyenda!$C$10," "))))))))&amp;IF(C116=9,Leyenda!$C$11,IF(C116=10,Leyenda!$C$12,IF(C116=11,Leyenda!$C$13,IF(C116=12,Leyenda!D173," "))))</f>
        <v xml:space="preserve">GASTOS FINANCIEROS </v>
      </c>
      <c r="E116" s="196" t="s">
        <v>1293</v>
      </c>
      <c r="F116" s="247">
        <v>45356</v>
      </c>
      <c r="G116" s="247" t="str">
        <f t="shared" si="13"/>
        <v>marzo</v>
      </c>
      <c r="H116" s="191">
        <v>28</v>
      </c>
      <c r="I116" s="148" t="str">
        <f>TEXT(gastos[[#This Row],[Fecha]],"DDDD")</f>
        <v>jueves</v>
      </c>
      <c r="J116" s="249">
        <f t="shared" si="10"/>
        <v>45379</v>
      </c>
      <c r="K116" s="249"/>
      <c r="L116" s="147"/>
      <c r="M116" s="197">
        <v>295</v>
      </c>
      <c r="N116" s="205">
        <v>0</v>
      </c>
      <c r="O116" s="198">
        <f t="shared" si="14"/>
        <v>295</v>
      </c>
      <c r="P116" s="199">
        <v>0</v>
      </c>
      <c r="Q116" s="199">
        <v>0</v>
      </c>
      <c r="R116" s="199">
        <v>0</v>
      </c>
      <c r="S116" s="199">
        <v>0</v>
      </c>
      <c r="T116" s="200" t="str">
        <f>IFERROR(VLOOKUP($A116,Tabla3[#All],2,0),"no esta registrado")</f>
        <v>Banco Dominicano del Progreso, S. A.//Banco Multiple</v>
      </c>
    </row>
    <row r="117" spans="1:20" ht="16.5" x14ac:dyDescent="0.3">
      <c r="A117" s="230" t="s">
        <v>909</v>
      </c>
      <c r="B117" s="193">
        <v>1</v>
      </c>
      <c r="C117" s="194">
        <v>4</v>
      </c>
      <c r="D117" s="195" t="str">
        <f>IF(C117=1,Leyenda!$C$3,IF(C117=2,Leyenda!$C$4,IF(C117=3,Leyenda!$C$5,IF(C117=4,Leyenda!$C$6,IF(C117=5,Leyenda!$C$7,IF(C117=6,Leyenda!$C$8,IF(C117=7,Leyenda!$C$9,IF(C117=8,Leyenda!$C$10," "))))))))&amp;IF(C117=9,Leyenda!$C$11,IF(C117=10,Leyenda!$C$12,IF(C117=11,Leyenda!$C$13,IF(C117=12,Leyenda!D174," "))))</f>
        <v xml:space="preserve">GASTOS DE ACTIVOS FIJO </v>
      </c>
      <c r="E117" s="196" t="s">
        <v>1294</v>
      </c>
      <c r="F117" s="248">
        <v>45385</v>
      </c>
      <c r="G117" s="247" t="str">
        <f t="shared" si="13"/>
        <v>abril</v>
      </c>
      <c r="H117" s="191">
        <v>3</v>
      </c>
      <c r="I117" s="148" t="str">
        <f>TEXT(gastos[[#This Row],[Fecha]],"DDDD")</f>
        <v>miércoles</v>
      </c>
      <c r="J117" s="249">
        <f t="shared" si="10"/>
        <v>45385</v>
      </c>
      <c r="K117" s="249"/>
      <c r="L117" s="147"/>
      <c r="M117" s="197">
        <v>0</v>
      </c>
      <c r="N117" s="197">
        <v>3403</v>
      </c>
      <c r="O117" s="198">
        <f t="shared" ref="O117:O162" si="15">SUM(M117:N117)</f>
        <v>3403</v>
      </c>
      <c r="P117" s="199">
        <v>0</v>
      </c>
      <c r="Q117" s="199">
        <v>0</v>
      </c>
      <c r="R117" s="199">
        <v>0</v>
      </c>
      <c r="S117">
        <v>0</v>
      </c>
      <c r="T117" s="200" t="str">
        <f>IFERROR(VLOOKUP($A117,Tabla3[#All],2,0),"no esta registrado")</f>
        <v>Strata, S.R.L.</v>
      </c>
    </row>
    <row r="118" spans="1:20" ht="16.5" x14ac:dyDescent="0.3">
      <c r="A118" s="230" t="s">
        <v>909</v>
      </c>
      <c r="B118" s="193">
        <v>1</v>
      </c>
      <c r="C118" s="194">
        <v>4</v>
      </c>
      <c r="D118" s="195" t="str">
        <f>IF(C118=1,Leyenda!$C$3,IF(C118=2,Leyenda!$C$4,IF(C118=3,Leyenda!$C$5,IF(C118=4,Leyenda!$C$6,IF(C118=5,Leyenda!$C$7,IF(C118=6,Leyenda!$C$8,IF(C118=7,Leyenda!$C$9,IF(C118=8,Leyenda!$C$10," "))))))))&amp;IF(C118=9,Leyenda!$C$11,IF(C118=10,Leyenda!$C$12,IF(C118=11,Leyenda!$C$13,IF(C118=12,Leyenda!D175," "))))</f>
        <v xml:space="preserve">GASTOS DE ACTIVOS FIJO </v>
      </c>
      <c r="E118" s="196" t="s">
        <v>1295</v>
      </c>
      <c r="F118" s="247">
        <v>45395</v>
      </c>
      <c r="G118" s="247" t="str">
        <f t="shared" si="13"/>
        <v>abril</v>
      </c>
      <c r="H118" s="191">
        <v>13</v>
      </c>
      <c r="I118" s="148" t="str">
        <f>TEXT(gastos[[#This Row],[Fecha]],"DDDD")</f>
        <v>sábado</v>
      </c>
      <c r="J118" s="249">
        <f t="shared" si="10"/>
        <v>45395</v>
      </c>
      <c r="K118" s="249"/>
      <c r="L118" s="147"/>
      <c r="M118" s="197">
        <v>0</v>
      </c>
      <c r="N118" s="197">
        <v>4501</v>
      </c>
      <c r="O118" s="198">
        <f t="shared" si="15"/>
        <v>4501</v>
      </c>
      <c r="P118" s="199">
        <v>0</v>
      </c>
      <c r="Q118" s="199">
        <v>0</v>
      </c>
      <c r="R118" s="199">
        <v>0</v>
      </c>
      <c r="S118" s="199">
        <v>0</v>
      </c>
      <c r="T118" s="200" t="str">
        <f>IFERROR(VLOOKUP($A118,Tabla3[#All],2,0),"no esta registrado")</f>
        <v>Strata, S.R.L.</v>
      </c>
    </row>
    <row r="119" spans="1:20" ht="16.5" x14ac:dyDescent="0.3">
      <c r="A119" s="230" t="s">
        <v>909</v>
      </c>
      <c r="B119" s="193">
        <v>1</v>
      </c>
      <c r="C119" s="194">
        <v>4</v>
      </c>
      <c r="D119" s="195" t="str">
        <f>IF(C119=1,Leyenda!$C$3,IF(C119=2,Leyenda!$C$4,IF(C119=3,Leyenda!$C$5,IF(C119=4,Leyenda!$C$6,IF(C119=5,Leyenda!$C$7,IF(C119=6,Leyenda!$C$8,IF(C119=7,Leyenda!$C$9,IF(C119=8,Leyenda!$C$10," "))))))))&amp;IF(C119=9,Leyenda!$C$11,IF(C119=10,Leyenda!$C$12,IF(C119=11,Leyenda!$C$13,IF(C119=12,Leyenda!D176," "))))</f>
        <v xml:space="preserve">GASTOS DE ACTIVOS FIJO </v>
      </c>
      <c r="E119" s="196" t="s">
        <v>1296</v>
      </c>
      <c r="F119" s="247">
        <v>45395</v>
      </c>
      <c r="G119" s="247" t="str">
        <f t="shared" si="13"/>
        <v>abril</v>
      </c>
      <c r="H119" s="191">
        <v>16</v>
      </c>
      <c r="I119" s="148" t="str">
        <f>TEXT(gastos[[#This Row],[Fecha]],"DDDD")</f>
        <v>martes</v>
      </c>
      <c r="J119" s="249">
        <f t="shared" si="10"/>
        <v>45398</v>
      </c>
      <c r="K119" s="249"/>
      <c r="L119" s="147"/>
      <c r="M119" s="197">
        <v>0</v>
      </c>
      <c r="N119" s="197">
        <v>3166</v>
      </c>
      <c r="O119" s="198">
        <f t="shared" si="15"/>
        <v>3166</v>
      </c>
      <c r="P119" s="199">
        <v>0</v>
      </c>
      <c r="Q119" s="199">
        <v>0</v>
      </c>
      <c r="R119" s="199">
        <v>0</v>
      </c>
      <c r="S119" s="199">
        <v>0</v>
      </c>
      <c r="T119" s="200" t="str">
        <f>IFERROR(VLOOKUP($A119,Tabla3[#All],2,0),"no esta registrado")</f>
        <v>Strata, S.R.L.</v>
      </c>
    </row>
    <row r="120" spans="1:20" ht="16.5" x14ac:dyDescent="0.3">
      <c r="A120" s="230" t="s">
        <v>909</v>
      </c>
      <c r="B120" s="193">
        <v>1</v>
      </c>
      <c r="C120" s="194">
        <v>4</v>
      </c>
      <c r="D120" s="195" t="str">
        <f>IF(C120=1,Leyenda!$C$3,IF(C120=2,Leyenda!$C$4,IF(C120=3,Leyenda!$C$5,IF(C120=4,Leyenda!$C$6,IF(C120=5,Leyenda!$C$7,IF(C120=6,Leyenda!$C$8,IF(C120=7,Leyenda!$C$9,IF(C120=8,Leyenda!$C$10," "))))))))&amp;IF(C120=9,Leyenda!$C$11,IF(C120=10,Leyenda!$C$12,IF(C120=11,Leyenda!$C$13,IF(C120=12,Leyenda!D177," "))))</f>
        <v xml:space="preserve">GASTOS DE ACTIVOS FIJO </v>
      </c>
      <c r="E120" s="196" t="s">
        <v>1297</v>
      </c>
      <c r="F120" s="247">
        <v>45395</v>
      </c>
      <c r="G120" s="247" t="str">
        <f t="shared" si="13"/>
        <v>abril</v>
      </c>
      <c r="H120" s="191">
        <v>26</v>
      </c>
      <c r="I120" s="148" t="str">
        <f>TEXT(gastos[[#This Row],[Fecha]],"DDDD")</f>
        <v>viernes</v>
      </c>
      <c r="J120" s="249">
        <f t="shared" si="10"/>
        <v>45408</v>
      </c>
      <c r="K120" s="249"/>
      <c r="L120" s="147"/>
      <c r="M120" s="197">
        <v>0</v>
      </c>
      <c r="N120" s="197">
        <v>3900</v>
      </c>
      <c r="O120" s="198">
        <f t="shared" si="15"/>
        <v>3900</v>
      </c>
      <c r="P120" s="199">
        <v>0</v>
      </c>
      <c r="Q120" s="199">
        <v>0</v>
      </c>
      <c r="R120" s="199">
        <v>0</v>
      </c>
      <c r="S120" s="199">
        <v>0</v>
      </c>
      <c r="T120" s="200" t="str">
        <f>IFERROR(VLOOKUP($A120,Tabla3[#All],2,0),"no esta registrado")</f>
        <v>Strata, S.R.L.</v>
      </c>
    </row>
    <row r="121" spans="1:20" ht="16.5" x14ac:dyDescent="0.3">
      <c r="A121" s="230" t="s">
        <v>1298</v>
      </c>
      <c r="B121" s="193">
        <v>1</v>
      </c>
      <c r="C121" s="194">
        <v>2</v>
      </c>
      <c r="D121" s="195" t="str">
        <f>IF(C121=1,Leyenda!$C$3,IF(C121=2,Leyenda!$C$4,IF(C121=3,Leyenda!$C$5,IF(C121=4,Leyenda!$C$6,IF(C121=5,Leyenda!$C$7,IF(C121=6,Leyenda!$C$8,IF(C121=7,Leyenda!$C$9,IF(C121=8,Leyenda!$C$10," "))))))))&amp;IF(C121=9,Leyenda!$C$11,IF(C121=10,Leyenda!$C$12,IF(C121=11,Leyenda!$C$13,IF(C121=12,Leyenda!D178," "))))</f>
        <v xml:space="preserve">GASTOS POR TRABAJOS, SUMINISTROS Y SERVICIOS </v>
      </c>
      <c r="E121" s="196" t="s">
        <v>1299</v>
      </c>
      <c r="F121" s="247">
        <v>45395</v>
      </c>
      <c r="G121" s="247" t="str">
        <f t="shared" si="13"/>
        <v>abril</v>
      </c>
      <c r="H121" s="191">
        <v>25</v>
      </c>
      <c r="I121" s="148" t="str">
        <f>TEXT(gastos[[#This Row],[Fecha]],"DDDD")</f>
        <v>jueves</v>
      </c>
      <c r="J121" s="249">
        <f t="shared" si="10"/>
        <v>45407</v>
      </c>
      <c r="K121" s="249"/>
      <c r="L121" s="147"/>
      <c r="M121" s="197">
        <v>0</v>
      </c>
      <c r="N121" s="197">
        <f>950-144.92</f>
        <v>805.08</v>
      </c>
      <c r="O121" s="198">
        <f t="shared" si="15"/>
        <v>805.08</v>
      </c>
      <c r="P121" s="199">
        <v>144.91999999999999</v>
      </c>
      <c r="Q121" s="199">
        <v>0</v>
      </c>
      <c r="R121" s="199">
        <v>0</v>
      </c>
      <c r="S121" s="199">
        <v>0</v>
      </c>
      <c r="T121" s="200" t="str">
        <f>IFERROR(VLOOKUP($A121,Tabla3[#All],2,0),"no esta registrado")</f>
        <v>no esta registrado</v>
      </c>
    </row>
    <row r="122" spans="1:20" ht="16.5" x14ac:dyDescent="0.3">
      <c r="A122" s="230" t="s">
        <v>1300</v>
      </c>
      <c r="B122" s="193">
        <v>1</v>
      </c>
      <c r="C122" s="194">
        <v>2</v>
      </c>
      <c r="D122" s="195" t="str">
        <f>IF(C122=1,Leyenda!$C$3,IF(C122=2,Leyenda!$C$4,IF(C122=3,Leyenda!$C$5,IF(C122=4,Leyenda!$C$6,IF(C122=5,Leyenda!$C$7,IF(C122=6,Leyenda!$C$8,IF(C122=7,Leyenda!$C$9,IF(C122=8,Leyenda!$C$10," "))))))))&amp;IF(C122=9,Leyenda!$C$11,IF(C122=10,Leyenda!$C$12,IF(C122=11,Leyenda!$C$13,IF(C122=12,Leyenda!D179," "))))</f>
        <v xml:space="preserve">GASTOS POR TRABAJOS, SUMINISTROS Y SERVICIOS </v>
      </c>
      <c r="E122" s="196" t="s">
        <v>1301</v>
      </c>
      <c r="F122" s="247">
        <v>45395</v>
      </c>
      <c r="G122" s="247" t="str">
        <f t="shared" si="13"/>
        <v>abril</v>
      </c>
      <c r="H122" s="191">
        <v>19</v>
      </c>
      <c r="I122" s="148" t="str">
        <f>TEXT(gastos[[#This Row],[Fecha]],"DDDD")</f>
        <v>viernes</v>
      </c>
      <c r="J122" s="249">
        <f t="shared" si="10"/>
        <v>45401</v>
      </c>
      <c r="K122" s="249"/>
      <c r="L122" s="147"/>
      <c r="M122" s="197">
        <v>0</v>
      </c>
      <c r="N122" s="197">
        <v>304.24</v>
      </c>
      <c r="O122" s="198">
        <f t="shared" si="15"/>
        <v>304.24</v>
      </c>
      <c r="P122" s="199">
        <v>45.76</v>
      </c>
      <c r="Q122" s="199">
        <v>0</v>
      </c>
      <c r="R122" s="199">
        <v>0</v>
      </c>
      <c r="S122" s="199">
        <v>0</v>
      </c>
      <c r="T122" s="200" t="str">
        <f>IFERROR(VLOOKUP($A122,Tabla3[#All],2,0),"no esta registrado")</f>
        <v>no esta registrado</v>
      </c>
    </row>
    <row r="123" spans="1:20" ht="16.5" x14ac:dyDescent="0.3">
      <c r="A123" s="230" t="s">
        <v>504</v>
      </c>
      <c r="B123" s="193">
        <v>1</v>
      </c>
      <c r="C123" s="194">
        <v>2</v>
      </c>
      <c r="D123" s="195" t="str">
        <f>IF(C123=1,Leyenda!$C$3,IF(C123=2,Leyenda!$C$4,IF(C123=3,Leyenda!$C$5,IF(C123=4,Leyenda!$C$6,IF(C123=5,Leyenda!$C$7,IF(C123=6,Leyenda!$C$8,IF(C123=7,Leyenda!$C$9,IF(C123=8,Leyenda!$C$10," "))))))))&amp;IF(C123=9,Leyenda!$C$11,IF(C123=10,Leyenda!$C$12,IF(C123=11,Leyenda!$C$13,IF(C123=12,Leyenda!D180," "))))</f>
        <v xml:space="preserve">GASTOS POR TRABAJOS, SUMINISTROS Y SERVICIOS </v>
      </c>
      <c r="E123" s="196" t="s">
        <v>1302</v>
      </c>
      <c r="F123" s="247">
        <v>45395</v>
      </c>
      <c r="G123" s="247" t="str">
        <f t="shared" si="13"/>
        <v>abril</v>
      </c>
      <c r="H123" s="191">
        <v>21</v>
      </c>
      <c r="I123" s="148" t="str">
        <f>TEXT(gastos[[#This Row],[Fecha]],"DDDD")</f>
        <v>domingo</v>
      </c>
      <c r="J123" s="249">
        <f t="shared" si="10"/>
        <v>45403</v>
      </c>
      <c r="K123" s="249"/>
      <c r="L123" s="147"/>
      <c r="M123" s="197">
        <v>0</v>
      </c>
      <c r="N123" s="197">
        <f>1190-181.53</f>
        <v>1008.47</v>
      </c>
      <c r="O123" s="198">
        <f t="shared" si="15"/>
        <v>1008.47</v>
      </c>
      <c r="P123" s="199">
        <v>181.53</v>
      </c>
      <c r="Q123" s="199">
        <v>0</v>
      </c>
      <c r="R123" s="199">
        <v>0</v>
      </c>
      <c r="S123" s="199">
        <v>0</v>
      </c>
      <c r="T123" s="200" t="str">
        <f>IFERROR(VLOOKUP($A123,Tabla3[#All],2,0),"no esta registrado")</f>
        <v>Centro Cuesta Nacional S.A.S.//Supermercados Nacional//Casa Cuesta//Ferretería Cuesta//JUMBO//Bebemundo</v>
      </c>
    </row>
    <row r="124" spans="1:20" ht="16.5" x14ac:dyDescent="0.3">
      <c r="A124" s="230" t="s">
        <v>1303</v>
      </c>
      <c r="B124" s="193">
        <v>1</v>
      </c>
      <c r="C124" s="194">
        <v>2</v>
      </c>
      <c r="D124" s="195" t="str">
        <f>IF(C124=1,Leyenda!$C$3,IF(C124=2,Leyenda!$C$4,IF(C124=3,Leyenda!$C$5,IF(C124=4,Leyenda!$C$6,IF(C124=5,Leyenda!$C$7,IF(C124=6,Leyenda!$C$8,IF(C124=7,Leyenda!$C$9,IF(C124=8,Leyenda!$C$10," "))))))))&amp;IF(C124=9,Leyenda!$C$11,IF(C124=10,Leyenda!$C$12,IF(C124=11,Leyenda!$C$13,IF(C124=12,Leyenda!D181," "))))</f>
        <v xml:space="preserve">GASTOS POR TRABAJOS, SUMINISTROS Y SERVICIOS </v>
      </c>
      <c r="E124" s="196" t="s">
        <v>1304</v>
      </c>
      <c r="F124" s="247">
        <v>45395</v>
      </c>
      <c r="G124" s="247" t="str">
        <f t="shared" si="13"/>
        <v>abril</v>
      </c>
      <c r="H124" s="191">
        <v>27</v>
      </c>
      <c r="I124" s="148" t="str">
        <f>TEXT(gastos[[#This Row],[Fecha]],"DDDD")</f>
        <v>sábado</v>
      </c>
      <c r="J124" s="249">
        <f t="shared" si="10"/>
        <v>45409</v>
      </c>
      <c r="K124" s="249"/>
      <c r="L124" s="147"/>
      <c r="M124" s="197">
        <v>0</v>
      </c>
      <c r="N124" s="197">
        <f>1645-159.41</f>
        <v>1485.59</v>
      </c>
      <c r="O124" s="198">
        <f t="shared" si="15"/>
        <v>1485.59</v>
      </c>
      <c r="P124" s="199">
        <v>159.41</v>
      </c>
      <c r="Q124" s="199">
        <v>0</v>
      </c>
      <c r="R124" s="199">
        <v>0</v>
      </c>
      <c r="S124" s="199">
        <v>0</v>
      </c>
      <c r="T124" s="200" t="str">
        <f>IFERROR(VLOOKUP($A124,Tabla3[#All],2,0),"no esta registrado")</f>
        <v>no esta registrado</v>
      </c>
    </row>
    <row r="125" spans="1:20" ht="16.5" x14ac:dyDescent="0.3">
      <c r="A125" s="231" t="s">
        <v>1305</v>
      </c>
      <c r="B125" s="193">
        <v>1</v>
      </c>
      <c r="C125" s="194">
        <v>2</v>
      </c>
      <c r="D125" s="195" t="str">
        <f>IF(C125=1,Leyenda!$C$3,IF(C125=2,Leyenda!$C$4,IF(C125=3,Leyenda!$C$5,IF(C125=4,Leyenda!$C$6,IF(C125=5,Leyenda!$C$7,IF(C125=6,Leyenda!$C$8,IF(C125=7,Leyenda!$C$9,IF(C125=8,Leyenda!$C$10," "))))))))&amp;IF(C125=9,Leyenda!$C$11,IF(C125=10,Leyenda!$C$12,IF(C125=11,Leyenda!$C$13,IF(C125=12,Leyenda!D182," "))))</f>
        <v xml:space="preserve">GASTOS POR TRABAJOS, SUMINISTROS Y SERVICIOS </v>
      </c>
      <c r="E125" s="196" t="s">
        <v>1306</v>
      </c>
      <c r="F125" s="247">
        <v>45395</v>
      </c>
      <c r="G125" s="247" t="str">
        <f t="shared" si="13"/>
        <v>abril</v>
      </c>
      <c r="H125" s="191">
        <v>17</v>
      </c>
      <c r="I125" s="148" t="str">
        <f>TEXT(gastos[[#This Row],[Fecha]],"DDDD")</f>
        <v>miércoles</v>
      </c>
      <c r="J125" s="249">
        <f t="shared" si="10"/>
        <v>45399</v>
      </c>
      <c r="K125" s="249"/>
      <c r="L125" s="147"/>
      <c r="M125" s="197">
        <v>0</v>
      </c>
      <c r="N125" s="197">
        <f>280-42.71</f>
        <v>237.29</v>
      </c>
      <c r="O125" s="198">
        <f t="shared" si="15"/>
        <v>237.29</v>
      </c>
      <c r="P125" s="199">
        <v>42.71</v>
      </c>
      <c r="Q125" s="199">
        <v>0</v>
      </c>
      <c r="R125" s="199">
        <v>0</v>
      </c>
      <c r="S125" s="199">
        <v>0</v>
      </c>
      <c r="T125" s="200" t="str">
        <f>IFERROR(VLOOKUP($A125,Tabla3[#All],2,0),"no esta registrado")</f>
        <v>no esta registrado</v>
      </c>
    </row>
    <row r="126" spans="1:20" ht="16.5" x14ac:dyDescent="0.3">
      <c r="A126" s="230" t="s">
        <v>1307</v>
      </c>
      <c r="B126" s="193">
        <v>1</v>
      </c>
      <c r="C126" s="194">
        <v>2</v>
      </c>
      <c r="D126" s="195" t="str">
        <f>IF(C126=1,Leyenda!$C$3,IF(C126=2,Leyenda!$C$4,IF(C126=3,Leyenda!$C$5,IF(C126=4,Leyenda!$C$6,IF(C126=5,Leyenda!$C$7,IF(C126=6,Leyenda!$C$8,IF(C126=7,Leyenda!$C$9,IF(C126=8,Leyenda!$C$10," "))))))))&amp;IF(C126=9,Leyenda!$C$11,IF(C126=10,Leyenda!$C$12,IF(C126=11,Leyenda!$C$13,IF(C126=12,Leyenda!D183," "))))</f>
        <v xml:space="preserve">GASTOS POR TRABAJOS, SUMINISTROS Y SERVICIOS </v>
      </c>
      <c r="E126" s="196" t="s">
        <v>1308</v>
      </c>
      <c r="F126" s="247">
        <v>45395</v>
      </c>
      <c r="G126" s="247" t="str">
        <f t="shared" si="13"/>
        <v>abril</v>
      </c>
      <c r="H126" s="191">
        <v>17</v>
      </c>
      <c r="I126" s="148" t="str">
        <f>TEXT(gastos[[#This Row],[Fecha]],"DDDD")</f>
        <v>miércoles</v>
      </c>
      <c r="J126" s="249">
        <f t="shared" si="10"/>
        <v>45399</v>
      </c>
      <c r="K126" s="249"/>
      <c r="L126" s="147"/>
      <c r="M126" s="197">
        <v>0</v>
      </c>
      <c r="N126" s="197">
        <v>1612</v>
      </c>
      <c r="O126" s="198">
        <f t="shared" si="15"/>
        <v>1612</v>
      </c>
      <c r="P126" s="199">
        <v>0</v>
      </c>
      <c r="Q126" s="199">
        <v>0</v>
      </c>
      <c r="R126" s="199">
        <v>0</v>
      </c>
      <c r="S126" s="199">
        <v>0</v>
      </c>
      <c r="T126" s="200" t="str">
        <f>IFERROR(VLOOKUP($A126,Tabla3[#All],2,0),"no esta registrado")</f>
        <v>no esta registrado</v>
      </c>
    </row>
    <row r="127" spans="1:20" ht="16.5" x14ac:dyDescent="0.3">
      <c r="A127" s="230" t="s">
        <v>647</v>
      </c>
      <c r="B127" s="193">
        <v>1</v>
      </c>
      <c r="C127" s="194">
        <v>2</v>
      </c>
      <c r="D127" s="195" t="str">
        <f>IF(C127=1,Leyenda!$C$3,IF(C127=2,Leyenda!$C$4,IF(C127=3,Leyenda!$C$5,IF(C127=4,Leyenda!$C$6,IF(C127=5,Leyenda!$C$7,IF(C127=6,Leyenda!$C$8,IF(C127=7,Leyenda!$C$9,IF(C127=8,Leyenda!$C$10," "))))))))&amp;IF(C127=9,Leyenda!$C$11,IF(C127=10,Leyenda!$C$12,IF(C127=11,Leyenda!$C$13,IF(C127=12,Leyenda!D184," "))))</f>
        <v xml:space="preserve">GASTOS POR TRABAJOS, SUMINISTROS Y SERVICIOS </v>
      </c>
      <c r="E127" s="196" t="s">
        <v>1309</v>
      </c>
      <c r="F127" s="247">
        <v>45395</v>
      </c>
      <c r="G127" s="247" t="str">
        <f t="shared" si="13"/>
        <v>abril</v>
      </c>
      <c r="H127" s="191">
        <v>6</v>
      </c>
      <c r="I127" s="148" t="str">
        <f>TEXT(gastos[[#This Row],[Fecha]],"DDDD")</f>
        <v>sábado</v>
      </c>
      <c r="J127" s="249">
        <f t="shared" si="10"/>
        <v>45388</v>
      </c>
      <c r="K127" s="249"/>
      <c r="L127" s="147"/>
      <c r="M127" s="197">
        <v>0</v>
      </c>
      <c r="N127" s="197">
        <v>1512.73</v>
      </c>
      <c r="O127" s="198">
        <f t="shared" si="15"/>
        <v>1512.73</v>
      </c>
      <c r="P127" s="199">
        <v>272.29000000000002</v>
      </c>
      <c r="Q127" s="199">
        <v>0</v>
      </c>
      <c r="R127" s="199">
        <v>0</v>
      </c>
      <c r="S127" s="199">
        <v>0</v>
      </c>
      <c r="T127" s="200" t="str">
        <f>IFERROR(VLOOKUP($A127,Tabla3[#All],2,0),"no esta registrado")</f>
        <v>Kentucky Foods Group Limited//KFC</v>
      </c>
    </row>
    <row r="128" spans="1:20" ht="16.5" x14ac:dyDescent="0.3">
      <c r="A128" s="230" t="s">
        <v>1118</v>
      </c>
      <c r="B128" s="193">
        <v>1</v>
      </c>
      <c r="C128" s="194">
        <v>2</v>
      </c>
      <c r="D128" s="195" t="str">
        <f>IF(C128=1,Leyenda!$C$3,IF(C128=2,Leyenda!$C$4,IF(C128=3,Leyenda!$C$5,IF(C128=4,Leyenda!$C$6,IF(C128=5,Leyenda!$C$7,IF(C128=6,Leyenda!$C$8,IF(C128=7,Leyenda!$C$9,IF(C128=8,Leyenda!$C$10," "))))))))&amp;IF(C128=9,Leyenda!$C$11,IF(C128=10,Leyenda!$C$12,IF(C128=11,Leyenda!$C$13,IF(C128=12,Leyenda!D185," "))))</f>
        <v xml:space="preserve">GASTOS POR TRABAJOS, SUMINISTROS Y SERVICIOS </v>
      </c>
      <c r="E128" s="196" t="s">
        <v>1310</v>
      </c>
      <c r="F128" s="247">
        <v>45395</v>
      </c>
      <c r="G128" s="247" t="str">
        <f t="shared" si="13"/>
        <v>abril</v>
      </c>
      <c r="H128" s="191">
        <v>10</v>
      </c>
      <c r="I128" s="148" t="str">
        <f>TEXT(gastos[[#This Row],[Fecha]],"DDDD")</f>
        <v>miércoles</v>
      </c>
      <c r="J128" s="249">
        <f t="shared" si="10"/>
        <v>45392</v>
      </c>
      <c r="K128" s="249"/>
      <c r="L128" s="147"/>
      <c r="M128" s="197">
        <v>0</v>
      </c>
      <c r="N128" s="197">
        <f>480-73.22</f>
        <v>406.78</v>
      </c>
      <c r="O128" s="198">
        <f t="shared" si="15"/>
        <v>406.78</v>
      </c>
      <c r="P128" s="199">
        <v>73.22</v>
      </c>
      <c r="Q128" s="199">
        <v>0</v>
      </c>
      <c r="R128" s="199">
        <v>0</v>
      </c>
      <c r="S128" s="199">
        <v>0</v>
      </c>
      <c r="T128" s="200" t="str">
        <f>IFERROR(VLOOKUP($A128,Tabla3[#All],2,0),"no esta registrado")</f>
        <v>INDY PLAZA</v>
      </c>
    </row>
    <row r="129" spans="1:20" ht="16.5" x14ac:dyDescent="0.3">
      <c r="A129" s="230" t="s">
        <v>1305</v>
      </c>
      <c r="B129" s="193">
        <v>1</v>
      </c>
      <c r="C129" s="194">
        <v>2</v>
      </c>
      <c r="D129" s="195" t="str">
        <f>IF(C129=1,Leyenda!$C$3,IF(C129=2,Leyenda!$C$4,IF(C129=3,Leyenda!$C$5,IF(C129=4,Leyenda!$C$6,IF(C129=5,Leyenda!$C$7,IF(C129=6,Leyenda!$C$8,IF(C129=7,Leyenda!$C$9,IF(C129=8,Leyenda!$C$10," "))))))))&amp;IF(C129=9,Leyenda!$C$11,IF(C129=10,Leyenda!$C$12,IF(C129=11,Leyenda!$C$13,IF(C129=12,Leyenda!D186," "))))</f>
        <v xml:space="preserve">GASTOS POR TRABAJOS, SUMINISTROS Y SERVICIOS </v>
      </c>
      <c r="E129" s="196" t="s">
        <v>1311</v>
      </c>
      <c r="F129" s="247">
        <v>45395</v>
      </c>
      <c r="G129" s="247" t="str">
        <f t="shared" si="13"/>
        <v>abril</v>
      </c>
      <c r="H129" s="191">
        <v>10</v>
      </c>
      <c r="I129" s="148" t="str">
        <f>TEXT(gastos[[#This Row],[Fecha]],"DDDD")</f>
        <v>miércoles</v>
      </c>
      <c r="J129" s="249">
        <f t="shared" si="10"/>
        <v>45392</v>
      </c>
      <c r="K129" s="249"/>
      <c r="L129" s="147"/>
      <c r="M129" s="197">
        <v>0</v>
      </c>
      <c r="N129" s="197">
        <f>1100-167.8</f>
        <v>932.2</v>
      </c>
      <c r="O129" s="198">
        <f t="shared" si="15"/>
        <v>932.2</v>
      </c>
      <c r="P129" s="199">
        <v>167.8</v>
      </c>
      <c r="Q129" s="199">
        <v>0</v>
      </c>
      <c r="R129" s="199">
        <v>0</v>
      </c>
      <c r="S129" s="199">
        <v>0</v>
      </c>
      <c r="T129" s="200" t="str">
        <f>IFERROR(VLOOKUP($A129,Tabla3[#All],2,0),"no esta registrado")</f>
        <v>no esta registrado</v>
      </c>
    </row>
    <row r="130" spans="1:20" ht="16.5" x14ac:dyDescent="0.3">
      <c r="A130" s="231" t="s">
        <v>1300</v>
      </c>
      <c r="B130" s="193">
        <v>1</v>
      </c>
      <c r="C130" s="194">
        <v>2</v>
      </c>
      <c r="D130" s="195" t="str">
        <f>IF(C130=1,Leyenda!$C$3,IF(C130=2,Leyenda!$C$4,IF(C130=3,Leyenda!$C$5,IF(C130=4,Leyenda!$C$6,IF(C130=5,Leyenda!$C$7,IF(C130=6,Leyenda!$C$8,IF(C130=7,Leyenda!$C$9,IF(C130=8,Leyenda!$C$10," "))))))))&amp;IF(C130=9,Leyenda!$C$11,IF(C130=10,Leyenda!$C$12,IF(C130=11,Leyenda!$C$13,IF(C130=12,Leyenda!D187," "))))</f>
        <v xml:space="preserve">GASTOS POR TRABAJOS, SUMINISTROS Y SERVICIOS </v>
      </c>
      <c r="E130" s="196" t="s">
        <v>1312</v>
      </c>
      <c r="F130" s="247">
        <v>45395</v>
      </c>
      <c r="G130" s="247" t="str">
        <f t="shared" si="13"/>
        <v>abril</v>
      </c>
      <c r="H130" s="191">
        <v>15</v>
      </c>
      <c r="I130" s="148" t="str">
        <f>TEXT(gastos[[#This Row],[Fecha]],"DDDD")</f>
        <v>lunes</v>
      </c>
      <c r="J130" s="249">
        <f t="shared" si="10"/>
        <v>45397</v>
      </c>
      <c r="K130" s="249"/>
      <c r="L130" s="147"/>
      <c r="M130" s="197">
        <v>0</v>
      </c>
      <c r="N130" s="197">
        <v>584.74</v>
      </c>
      <c r="O130" s="198">
        <f t="shared" si="15"/>
        <v>584.74</v>
      </c>
      <c r="P130" s="199">
        <v>105.26</v>
      </c>
      <c r="Q130" s="199">
        <v>0</v>
      </c>
      <c r="R130" s="199">
        <v>0</v>
      </c>
      <c r="S130" s="199">
        <v>0</v>
      </c>
      <c r="T130" s="200" t="str">
        <f>IFERROR(VLOOKUP($A130,Tabla3[#All],2,0),"no esta registrado")</f>
        <v>no esta registrado</v>
      </c>
    </row>
    <row r="131" spans="1:20" ht="16.5" x14ac:dyDescent="0.3">
      <c r="A131" s="230" t="s">
        <v>1313</v>
      </c>
      <c r="B131" s="193">
        <v>1</v>
      </c>
      <c r="C131" s="194">
        <v>2</v>
      </c>
      <c r="D131" s="195" t="str">
        <f>IF(C131=1,Leyenda!$C$3,IF(C131=2,Leyenda!$C$4,IF(C131=3,Leyenda!$C$5,IF(C131=4,Leyenda!$C$6,IF(C131=5,Leyenda!$C$7,IF(C131=6,Leyenda!$C$8,IF(C131=7,Leyenda!$C$9,IF(C131=8,Leyenda!$C$10," "))))))))&amp;IF(C131=9,Leyenda!$C$11,IF(C131=10,Leyenda!$C$12,IF(C131=11,Leyenda!$C$13,IF(C131=12,Leyenda!D188," "))))</f>
        <v xml:space="preserve">GASTOS POR TRABAJOS, SUMINISTROS Y SERVICIOS </v>
      </c>
      <c r="E131" s="196" t="s">
        <v>1314</v>
      </c>
      <c r="F131" s="247">
        <v>45395</v>
      </c>
      <c r="G131" s="247" t="str">
        <f t="shared" si="13"/>
        <v>abril</v>
      </c>
      <c r="H131" s="191">
        <v>5</v>
      </c>
      <c r="I131" s="148" t="str">
        <f>TEXT(gastos[[#This Row],[Fecha]],"DDDD")</f>
        <v>viernes</v>
      </c>
      <c r="J131" s="249">
        <f t="shared" si="10"/>
        <v>45387</v>
      </c>
      <c r="K131" s="249"/>
      <c r="L131" s="147"/>
      <c r="M131" s="197">
        <v>0</v>
      </c>
      <c r="N131" s="197">
        <f>1655-252.45</f>
        <v>1402.55</v>
      </c>
      <c r="O131" s="198">
        <f t="shared" si="15"/>
        <v>1402.55</v>
      </c>
      <c r="P131" s="199">
        <v>252.45</v>
      </c>
      <c r="Q131" s="199">
        <v>0</v>
      </c>
      <c r="R131" s="199">
        <v>0</v>
      </c>
      <c r="S131" s="199">
        <v>0</v>
      </c>
      <c r="T131" s="200" t="str">
        <f>IFERROR(VLOOKUP($A131,Tabla3[#All],2,0),"no esta registrado")</f>
        <v>no esta registrado</v>
      </c>
    </row>
    <row r="132" spans="1:20" ht="16.5" x14ac:dyDescent="0.3">
      <c r="A132" s="230" t="s">
        <v>511</v>
      </c>
      <c r="B132" s="193">
        <v>1</v>
      </c>
      <c r="C132" s="194">
        <v>2</v>
      </c>
      <c r="D132" s="195" t="str">
        <f>IF(C132=1,Leyenda!$C$3,IF(C132=2,Leyenda!$C$4,IF(C132=3,Leyenda!$C$5,IF(C132=4,Leyenda!$C$6,IF(C132=5,Leyenda!$C$7,IF(C132=6,Leyenda!$C$8,IF(C132=7,Leyenda!$C$9,IF(C132=8,Leyenda!$C$10," "))))))))&amp;IF(C132=9,Leyenda!$C$11,IF(C132=10,Leyenda!$C$12,IF(C132=11,Leyenda!$C$13,IF(C132=12,Leyenda!D189," "))))</f>
        <v xml:space="preserve">GASTOS POR TRABAJOS, SUMINISTROS Y SERVICIOS </v>
      </c>
      <c r="E132" s="196" t="s">
        <v>1315</v>
      </c>
      <c r="F132" s="247">
        <v>45395</v>
      </c>
      <c r="G132" s="247" t="str">
        <f t="shared" si="13"/>
        <v>abril</v>
      </c>
      <c r="H132" s="191">
        <v>6</v>
      </c>
      <c r="I132" s="148" t="str">
        <f>TEXT(gastos[[#This Row],[Fecha]],"DDDD")</f>
        <v>sábado</v>
      </c>
      <c r="J132" s="249">
        <f t="shared" si="10"/>
        <v>45388</v>
      </c>
      <c r="K132" s="249"/>
      <c r="L132" s="147"/>
      <c r="M132" s="197">
        <v>0</v>
      </c>
      <c r="N132" s="197">
        <f>13226-886.66</f>
        <v>12339.34</v>
      </c>
      <c r="O132" s="198">
        <f t="shared" si="15"/>
        <v>12339.34</v>
      </c>
      <c r="P132" s="199">
        <v>886.66</v>
      </c>
      <c r="Q132" s="199">
        <v>0</v>
      </c>
      <c r="R132" s="199">
        <v>0</v>
      </c>
      <c r="S132" s="199">
        <v>0</v>
      </c>
      <c r="T132" s="200" t="str">
        <f>IFERROR(VLOOKUP($A132,Tabla3[#All],2,0),"no esta registrado")</f>
        <v>Bravo, S.A.//Supermercados Bravo</v>
      </c>
    </row>
    <row r="133" spans="1:20" ht="16.5" x14ac:dyDescent="0.3">
      <c r="A133" s="230" t="s">
        <v>1316</v>
      </c>
      <c r="B133" s="193">
        <v>1</v>
      </c>
      <c r="C133" s="194">
        <v>2</v>
      </c>
      <c r="D133" s="195" t="str">
        <f>IF(C133=1,Leyenda!$C$3,IF(C133=2,Leyenda!$C$4,IF(C133=3,Leyenda!$C$5,IF(C133=4,Leyenda!$C$6,IF(C133=5,Leyenda!$C$7,IF(C133=6,Leyenda!$C$8,IF(C133=7,Leyenda!$C$9,IF(C133=8,Leyenda!$C$10," "))))))))&amp;IF(C133=9,Leyenda!$C$11,IF(C133=10,Leyenda!$C$12,IF(C133=11,Leyenda!$C$13,IF(C133=12,Leyenda!D190," "))))</f>
        <v xml:space="preserve">GASTOS POR TRABAJOS, SUMINISTROS Y SERVICIOS </v>
      </c>
      <c r="E133" s="196" t="s">
        <v>1317</v>
      </c>
      <c r="F133" s="247">
        <v>45395</v>
      </c>
      <c r="G133" s="247" t="str">
        <f t="shared" si="13"/>
        <v>abril</v>
      </c>
      <c r="H133" s="191">
        <v>8</v>
      </c>
      <c r="I133" s="148" t="str">
        <f>TEXT(gastos[[#This Row],[Fecha]],"DDDD")</f>
        <v>lunes</v>
      </c>
      <c r="J133" s="249">
        <f t="shared" si="10"/>
        <v>45390</v>
      </c>
      <c r="K133" s="249"/>
      <c r="L133" s="147"/>
      <c r="M133" s="197">
        <v>0</v>
      </c>
      <c r="N133" s="197">
        <v>4317.79</v>
      </c>
      <c r="O133" s="198">
        <f t="shared" si="15"/>
        <v>4317.79</v>
      </c>
      <c r="P133" s="199">
        <v>777.21</v>
      </c>
      <c r="Q133" s="199">
        <v>0</v>
      </c>
      <c r="R133" s="199">
        <v>0</v>
      </c>
      <c r="S133" s="199">
        <v>0</v>
      </c>
      <c r="T133" s="200" t="str">
        <f>IFERROR(VLOOKUP($A133,Tabla3[#All],2,0),"no esta registrado")</f>
        <v>no esta registrado</v>
      </c>
    </row>
    <row r="134" spans="1:20" ht="16.5" x14ac:dyDescent="0.3">
      <c r="A134" s="230" t="s">
        <v>1318</v>
      </c>
      <c r="B134" s="193">
        <v>1</v>
      </c>
      <c r="C134" s="194">
        <v>2</v>
      </c>
      <c r="D134" s="195" t="str">
        <f>IF(C134=1,Leyenda!$C$3,IF(C134=2,Leyenda!$C$4,IF(C134=3,Leyenda!$C$5,IF(C134=4,Leyenda!$C$6,IF(C134=5,Leyenda!$C$7,IF(C134=6,Leyenda!$C$8,IF(C134=7,Leyenda!$C$9,IF(C134=8,Leyenda!$C$10," "))))))))&amp;IF(C134=9,Leyenda!$C$11,IF(C134=10,Leyenda!$C$12,IF(C134=11,Leyenda!$C$13,IF(C134=12,Leyenda!D191," "))))</f>
        <v xml:space="preserve">GASTOS POR TRABAJOS, SUMINISTROS Y SERVICIOS </v>
      </c>
      <c r="E134" s="196" t="s">
        <v>1319</v>
      </c>
      <c r="F134" s="247">
        <v>45395</v>
      </c>
      <c r="G134" s="247" t="str">
        <f t="shared" si="13"/>
        <v>abril</v>
      </c>
      <c r="H134" s="191">
        <v>13</v>
      </c>
      <c r="I134" s="148" t="str">
        <f>TEXT(gastos[[#This Row],[Fecha]],"DDDD")</f>
        <v>sábado</v>
      </c>
      <c r="J134" s="249">
        <f t="shared" si="10"/>
        <v>45395</v>
      </c>
      <c r="K134" s="249"/>
      <c r="L134" s="147"/>
      <c r="M134" s="197">
        <v>0</v>
      </c>
      <c r="N134" s="197">
        <v>2698.1</v>
      </c>
      <c r="O134" s="198">
        <f t="shared" si="15"/>
        <v>2698.1</v>
      </c>
      <c r="P134" s="199">
        <v>485.66</v>
      </c>
      <c r="Q134" s="199">
        <v>0</v>
      </c>
      <c r="R134" s="199">
        <v>0</v>
      </c>
      <c r="S134" s="199">
        <v>0</v>
      </c>
      <c r="T134" s="200" t="str">
        <f>IFERROR(VLOOKUP($A134,Tabla3[#All],2,0),"no esta registrado")</f>
        <v>no esta registrado</v>
      </c>
    </row>
    <row r="135" spans="1:20" ht="16.5" x14ac:dyDescent="0.3">
      <c r="A135" s="230" t="s">
        <v>517</v>
      </c>
      <c r="B135" s="193">
        <v>1</v>
      </c>
      <c r="C135" s="194">
        <v>2</v>
      </c>
      <c r="D135" s="195" t="str">
        <f>IF(C135=1,Leyenda!$C$3,IF(C135=2,Leyenda!$C$4,IF(C135=3,Leyenda!$C$5,IF(C135=4,Leyenda!$C$6,IF(C135=5,Leyenda!$C$7,IF(C135=6,Leyenda!$C$8,IF(C135=7,Leyenda!$C$9,IF(C135=8,Leyenda!$C$10," "))))))))&amp;IF(C135=9,Leyenda!$C$11,IF(C135=10,Leyenda!$C$12,IF(C135=11,Leyenda!$C$13,IF(C135=12,Leyenda!D192," "))))</f>
        <v xml:space="preserve">GASTOS POR TRABAJOS, SUMINISTROS Y SERVICIOS </v>
      </c>
      <c r="E135" s="196" t="s">
        <v>1320</v>
      </c>
      <c r="F135" s="247">
        <v>45395</v>
      </c>
      <c r="G135" s="247" t="str">
        <f t="shared" si="13"/>
        <v>abril</v>
      </c>
      <c r="H135" s="191">
        <v>15</v>
      </c>
      <c r="I135" s="148" t="str">
        <f>TEXT(gastos[[#This Row],[Fecha]],"DDDD")</f>
        <v>lunes</v>
      </c>
      <c r="J135" s="249">
        <f t="shared" si="10"/>
        <v>45397</v>
      </c>
      <c r="K135" s="249"/>
      <c r="L135" s="147"/>
      <c r="M135" s="197">
        <v>0</v>
      </c>
      <c r="N135" s="197">
        <f>5620-857.29</f>
        <v>4762.71</v>
      </c>
      <c r="O135" s="198">
        <f t="shared" si="15"/>
        <v>4762.71</v>
      </c>
      <c r="P135" s="199">
        <v>857.29</v>
      </c>
      <c r="Q135" s="199">
        <v>0</v>
      </c>
      <c r="R135" s="199">
        <v>0</v>
      </c>
      <c r="S135" s="199">
        <v>0</v>
      </c>
      <c r="T135" s="200" t="str">
        <f>IFERROR(VLOOKUP($A135,Tabla3[#All],2,0),"no esta registrado")</f>
        <v>Pricesmart Dominicana S. A.</v>
      </c>
    </row>
    <row r="136" spans="1:20" ht="16.5" x14ac:dyDescent="0.3">
      <c r="A136" s="230" t="s">
        <v>504</v>
      </c>
      <c r="B136" s="193">
        <v>1</v>
      </c>
      <c r="C136" s="194">
        <v>2</v>
      </c>
      <c r="D136" s="195" t="str">
        <f>IF(C136=1,Leyenda!$C$3,IF(C136=2,Leyenda!$C$4,IF(C136=3,Leyenda!$C$5,IF(C136=4,Leyenda!$C$6,IF(C136=5,Leyenda!$C$7,IF(C136=6,Leyenda!$C$8,IF(C136=7,Leyenda!$C$9,IF(C136=8,Leyenda!$C$10," "))))))))&amp;IF(C136=9,Leyenda!$C$11,IF(C136=10,Leyenda!$C$12,IF(C136=11,Leyenda!$C$13,IF(C136=12,Leyenda!D193," "))))</f>
        <v xml:space="preserve">GASTOS POR TRABAJOS, SUMINISTROS Y SERVICIOS </v>
      </c>
      <c r="E136" s="196" t="s">
        <v>1321</v>
      </c>
      <c r="F136" s="247">
        <v>45395</v>
      </c>
      <c r="G136" s="247" t="str">
        <f t="shared" si="13"/>
        <v>abril</v>
      </c>
      <c r="H136" s="191">
        <v>13</v>
      </c>
      <c r="I136" s="148" t="str">
        <f>TEXT(gastos[[#This Row],[Fecha]],"DDDD")</f>
        <v>sábado</v>
      </c>
      <c r="J136" s="249">
        <f t="shared" ref="J136:J199" si="16">DATE(YEAR(F136),MONTH(F136),H136)</f>
        <v>45395</v>
      </c>
      <c r="K136" s="249"/>
      <c r="L136" s="147"/>
      <c r="M136" s="197">
        <v>0</v>
      </c>
      <c r="N136" s="197">
        <f>3139.26-309.86</f>
        <v>2829.4</v>
      </c>
      <c r="O136" s="198">
        <f t="shared" si="15"/>
        <v>2829.4</v>
      </c>
      <c r="P136" s="199">
        <v>309.86</v>
      </c>
      <c r="Q136" s="199">
        <v>0</v>
      </c>
      <c r="R136" s="199">
        <v>0</v>
      </c>
      <c r="S136" s="199">
        <v>0</v>
      </c>
      <c r="T136" s="200" t="str">
        <f>IFERROR(VLOOKUP($A136,Tabla3[#All],2,0),"no esta registrado")</f>
        <v>Centro Cuesta Nacional S.A.S.//Supermercados Nacional//Casa Cuesta//Ferretería Cuesta//JUMBO//Bebemundo</v>
      </c>
    </row>
    <row r="137" spans="1:20" ht="16.5" x14ac:dyDescent="0.3">
      <c r="A137" s="230" t="s">
        <v>511</v>
      </c>
      <c r="B137" s="193">
        <v>1</v>
      </c>
      <c r="C137" s="194">
        <v>2</v>
      </c>
      <c r="D137" s="195" t="str">
        <f>IF(C137=1,Leyenda!$C$3,IF(C137=2,Leyenda!$C$4,IF(C137=3,Leyenda!$C$5,IF(C137=4,Leyenda!$C$6,IF(C137=5,Leyenda!$C$7,IF(C137=6,Leyenda!$C$8,IF(C137=7,Leyenda!$C$9,IF(C137=8,Leyenda!$C$10," "))))))))&amp;IF(C137=9,Leyenda!$C$11,IF(C137=10,Leyenda!$C$12,IF(C137=11,Leyenda!$C$13,IF(C137=12,Leyenda!D194," "))))</f>
        <v xml:space="preserve">GASTOS POR TRABAJOS, SUMINISTROS Y SERVICIOS </v>
      </c>
      <c r="E137" s="196" t="s">
        <v>1322</v>
      </c>
      <c r="F137" s="247">
        <v>45395</v>
      </c>
      <c r="G137" s="247" t="str">
        <f t="shared" si="13"/>
        <v>abril</v>
      </c>
      <c r="H137" s="191">
        <v>12</v>
      </c>
      <c r="I137" s="148" t="str">
        <f>TEXT(gastos[[#This Row],[Fecha]],"DDDD")</f>
        <v>viernes</v>
      </c>
      <c r="J137" s="249">
        <f t="shared" si="16"/>
        <v>45394</v>
      </c>
      <c r="K137" s="249"/>
      <c r="L137" s="147"/>
      <c r="M137" s="197">
        <v>0</v>
      </c>
      <c r="N137" s="197">
        <f>3826-167.3</f>
        <v>3658.7</v>
      </c>
      <c r="O137" s="198">
        <f t="shared" si="15"/>
        <v>3658.7</v>
      </c>
      <c r="P137" s="199">
        <v>167.3</v>
      </c>
      <c r="Q137" s="199">
        <v>0</v>
      </c>
      <c r="R137" s="199">
        <v>0</v>
      </c>
      <c r="S137" s="199">
        <v>0</v>
      </c>
      <c r="T137" s="200" t="str">
        <f>IFERROR(VLOOKUP($A137,Tabla3[#All],2,0),"no esta registrado")</f>
        <v>Bravo, S.A.//Supermercados Bravo</v>
      </c>
    </row>
    <row r="138" spans="1:20" ht="16.5" x14ac:dyDescent="0.3">
      <c r="A138" s="230" t="s">
        <v>1323</v>
      </c>
      <c r="B138" s="193">
        <v>1</v>
      </c>
      <c r="C138" s="194">
        <v>2</v>
      </c>
      <c r="D138" s="195" t="str">
        <f>IF(C138=1,Leyenda!$C$3,IF(C138=2,Leyenda!$C$4,IF(C138=3,Leyenda!$C$5,IF(C138=4,Leyenda!$C$6,IF(C138=5,Leyenda!$C$7,IF(C138=6,Leyenda!$C$8,IF(C138=7,Leyenda!$C$9,IF(C138=8,Leyenda!$C$10," "))))))))&amp;IF(C138=9,Leyenda!$C$11,IF(C138=10,Leyenda!$C$12,IF(C138=11,Leyenda!$C$13,IF(C138=12,Leyenda!D195," "))))</f>
        <v xml:space="preserve">GASTOS POR TRABAJOS, SUMINISTROS Y SERVICIOS </v>
      </c>
      <c r="E138" s="196" t="s">
        <v>1324</v>
      </c>
      <c r="F138" s="247">
        <v>45395</v>
      </c>
      <c r="G138" s="247" t="str">
        <f t="shared" si="13"/>
        <v>abril</v>
      </c>
      <c r="H138" s="191">
        <v>14</v>
      </c>
      <c r="I138" s="148" t="str">
        <f>TEXT(gastos[[#This Row],[Fecha]],"DDDD")</f>
        <v>domingo</v>
      </c>
      <c r="J138" s="249">
        <f t="shared" si="16"/>
        <v>45396</v>
      </c>
      <c r="K138" s="249"/>
      <c r="L138" s="147"/>
      <c r="M138" s="197">
        <v>0</v>
      </c>
      <c r="N138" s="197">
        <v>2093.7399999999998</v>
      </c>
      <c r="O138" s="198">
        <f t="shared" si="15"/>
        <v>2093.7399999999998</v>
      </c>
      <c r="P138" s="199">
        <v>376.87</v>
      </c>
      <c r="Q138" s="199">
        <v>0</v>
      </c>
      <c r="R138" s="199">
        <v>209.37</v>
      </c>
      <c r="S138">
        <v>0</v>
      </c>
      <c r="T138" s="200" t="str">
        <f>IFERROR(VLOOKUP($A138,Tabla3[#All],2,0),"no esta registrado")</f>
        <v>no esta registrado</v>
      </c>
    </row>
    <row r="139" spans="1:20" ht="16.5" x14ac:dyDescent="0.3">
      <c r="A139" s="230" t="s">
        <v>504</v>
      </c>
      <c r="B139" s="193">
        <v>1</v>
      </c>
      <c r="C139" s="194">
        <v>2</v>
      </c>
      <c r="D139" s="195" t="str">
        <f>IF(C139=1,Leyenda!$C$3,IF(C139=2,Leyenda!$C$4,IF(C139=3,Leyenda!$C$5,IF(C139=4,Leyenda!$C$6,IF(C139=5,Leyenda!$C$7,IF(C139=6,Leyenda!$C$8,IF(C139=7,Leyenda!$C$9,IF(C139=8,Leyenda!$C$10," "))))))))&amp;IF(C139=9,Leyenda!$C$11,IF(C139=10,Leyenda!$C$12,IF(C139=11,Leyenda!$C$13,IF(C139=12,Leyenda!D196," "))))</f>
        <v xml:space="preserve">GASTOS POR TRABAJOS, SUMINISTROS Y SERVICIOS </v>
      </c>
      <c r="E139" s="196" t="s">
        <v>1325</v>
      </c>
      <c r="F139" s="247">
        <v>45395</v>
      </c>
      <c r="G139" s="247" t="str">
        <f t="shared" si="13"/>
        <v>abril</v>
      </c>
      <c r="H139" s="191">
        <v>26</v>
      </c>
      <c r="I139" s="148" t="str">
        <f>TEXT(gastos[[#This Row],[Fecha]],"DDDD")</f>
        <v>viernes</v>
      </c>
      <c r="J139" s="249">
        <f t="shared" si="16"/>
        <v>45408</v>
      </c>
      <c r="K139" s="249"/>
      <c r="L139" s="147"/>
      <c r="M139" s="197">
        <v>0</v>
      </c>
      <c r="N139" s="197">
        <f>2508.95-382.72</f>
        <v>2126.2299999999996</v>
      </c>
      <c r="O139" s="198">
        <f t="shared" si="15"/>
        <v>2126.2299999999996</v>
      </c>
      <c r="P139" s="199">
        <v>382.72</v>
      </c>
      <c r="Q139" s="199">
        <v>0</v>
      </c>
      <c r="R139" s="199">
        <v>0</v>
      </c>
      <c r="S139" s="199">
        <v>0</v>
      </c>
      <c r="T139" s="200" t="str">
        <f>IFERROR(VLOOKUP($A139,Tabla3[#All],2,0),"no esta registrado")</f>
        <v>Centro Cuesta Nacional S.A.S.//Supermercados Nacional//Casa Cuesta//Ferretería Cuesta//JUMBO//Bebemundo</v>
      </c>
    </row>
    <row r="140" spans="1:20" ht="16.5" x14ac:dyDescent="0.3">
      <c r="A140" s="230" t="s">
        <v>742</v>
      </c>
      <c r="B140" s="193">
        <v>1</v>
      </c>
      <c r="C140" s="194">
        <v>2</v>
      </c>
      <c r="D140" s="195" t="str">
        <f>IF(C140=1,Leyenda!$C$3,IF(C140=2,Leyenda!$C$4,IF(C140=3,Leyenda!$C$5,IF(C140=4,Leyenda!$C$6,IF(C140=5,Leyenda!$C$7,IF(C140=6,Leyenda!$C$8,IF(C140=7,Leyenda!$C$9,IF(C140=8,Leyenda!$C$10," "))))))))&amp;IF(C140=9,Leyenda!$C$11,IF(C140=10,Leyenda!$C$12,IF(C140=11,Leyenda!$C$13,IF(C140=12,Leyenda!D197," "))))</f>
        <v xml:space="preserve">GASTOS POR TRABAJOS, SUMINISTROS Y SERVICIOS </v>
      </c>
      <c r="E140" s="196" t="s">
        <v>1326</v>
      </c>
      <c r="F140" s="247">
        <v>45395</v>
      </c>
      <c r="G140" s="247" t="str">
        <f t="shared" si="13"/>
        <v>abril</v>
      </c>
      <c r="H140" s="191">
        <v>25</v>
      </c>
      <c r="I140" s="148" t="str">
        <f>TEXT(gastos[[#This Row],[Fecha]],"DDDD")</f>
        <v>jueves</v>
      </c>
      <c r="J140" s="249">
        <f t="shared" si="16"/>
        <v>45407</v>
      </c>
      <c r="K140" s="249"/>
      <c r="L140" s="147"/>
      <c r="M140" s="197">
        <v>0</v>
      </c>
      <c r="N140" s="197">
        <v>1597.66</v>
      </c>
      <c r="O140" s="198">
        <f t="shared" si="15"/>
        <v>1597.66</v>
      </c>
      <c r="P140" s="199">
        <v>287.58</v>
      </c>
      <c r="Q140" s="199">
        <v>0</v>
      </c>
      <c r="R140" s="199">
        <v>159.77000000000001</v>
      </c>
      <c r="S140">
        <v>0</v>
      </c>
      <c r="T140" s="200" t="str">
        <f>IFERROR(VLOOKUP($A140,Tabla3[#All],2,0),"no esta registrado")</f>
        <v>Narex, S.A.//Pizza Hut</v>
      </c>
    </row>
    <row r="141" spans="1:20" ht="16.5" x14ac:dyDescent="0.3">
      <c r="A141" s="230" t="s">
        <v>511</v>
      </c>
      <c r="B141" s="193">
        <v>1</v>
      </c>
      <c r="C141" s="194">
        <v>2</v>
      </c>
      <c r="D141" s="195" t="str">
        <f>IF(C141=1,Leyenda!$C$3,IF(C141=2,Leyenda!$C$4,IF(C141=3,Leyenda!$C$5,IF(C141=4,Leyenda!$C$6,IF(C141=5,Leyenda!$C$7,IF(C141=6,Leyenda!$C$8,IF(C141=7,Leyenda!$C$9,IF(C141=8,Leyenda!$C$10," "))))))))&amp;IF(C141=9,Leyenda!$C$11,IF(C141=10,Leyenda!$C$12,IF(C141=11,Leyenda!$C$13,IF(C141=12,Leyenda!D198," "))))</f>
        <v xml:space="preserve">GASTOS POR TRABAJOS, SUMINISTROS Y SERVICIOS </v>
      </c>
      <c r="E141" s="196" t="s">
        <v>1327</v>
      </c>
      <c r="F141" s="247">
        <v>45395</v>
      </c>
      <c r="G141" s="247" t="str">
        <f t="shared" si="13"/>
        <v>abril</v>
      </c>
      <c r="H141" s="191">
        <v>20</v>
      </c>
      <c r="I141" s="148" t="str">
        <f>TEXT(gastos[[#This Row],[Fecha]],"DDDD")</f>
        <v>sábado</v>
      </c>
      <c r="J141" s="249">
        <f t="shared" si="16"/>
        <v>45402</v>
      </c>
      <c r="K141" s="249"/>
      <c r="L141" s="147"/>
      <c r="M141" s="197">
        <v>0</v>
      </c>
      <c r="N141" s="197">
        <f>15683-1311.49</f>
        <v>14371.51</v>
      </c>
      <c r="O141" s="198">
        <f t="shared" si="15"/>
        <v>14371.51</v>
      </c>
      <c r="P141" s="199">
        <v>1311.49</v>
      </c>
      <c r="Q141" s="199">
        <v>0</v>
      </c>
      <c r="R141" s="199">
        <v>0</v>
      </c>
      <c r="S141" s="199">
        <v>0</v>
      </c>
      <c r="T141" s="200" t="str">
        <f>IFERROR(VLOOKUP($A141,Tabla3[#All],2,0),"no esta registrado")</f>
        <v>Bravo, S.A.//Supermercados Bravo</v>
      </c>
    </row>
    <row r="142" spans="1:20" ht="16.5" x14ac:dyDescent="0.3">
      <c r="A142" s="230" t="s">
        <v>1114</v>
      </c>
      <c r="B142" s="193">
        <v>1</v>
      </c>
      <c r="C142" s="194">
        <v>2</v>
      </c>
      <c r="D142" s="195" t="str">
        <f>IF(C142=1,Leyenda!$C$3,IF(C142=2,Leyenda!$C$4,IF(C142=3,Leyenda!$C$5,IF(C142=4,Leyenda!$C$6,IF(C142=5,Leyenda!$C$7,IF(C142=6,Leyenda!$C$8,IF(C142=7,Leyenda!$C$9,IF(C142=8,Leyenda!$C$10," "))))))))&amp;IF(C142=9,Leyenda!$C$11,IF(C142=10,Leyenda!$C$12,IF(C142=11,Leyenda!$C$13,IF(C142=12,Leyenda!D199," "))))</f>
        <v xml:space="preserve">GASTOS POR TRABAJOS, SUMINISTROS Y SERVICIOS </v>
      </c>
      <c r="E142" s="196" t="s">
        <v>1328</v>
      </c>
      <c r="F142" s="247">
        <v>45395</v>
      </c>
      <c r="G142" s="247" t="str">
        <f t="shared" si="13"/>
        <v>abril</v>
      </c>
      <c r="H142" s="191">
        <v>12</v>
      </c>
      <c r="I142" s="148" t="str">
        <f>TEXT(gastos[[#This Row],[Fecha]],"DDDD")</f>
        <v>viernes</v>
      </c>
      <c r="J142" s="249">
        <f t="shared" si="16"/>
        <v>45394</v>
      </c>
      <c r="K142" s="249"/>
      <c r="L142" s="147"/>
      <c r="M142" s="197">
        <v>2606</v>
      </c>
      <c r="N142" s="197">
        <v>0</v>
      </c>
      <c r="O142" s="198">
        <f t="shared" si="15"/>
        <v>2606</v>
      </c>
      <c r="P142" s="199">
        <v>0</v>
      </c>
      <c r="Q142" s="199">
        <v>0</v>
      </c>
      <c r="R142" s="199">
        <v>0</v>
      </c>
      <c r="S142" s="199">
        <v>0</v>
      </c>
      <c r="T142" s="200" t="str">
        <f>IFERROR(VLOOKUP($A142,Tabla3[#All],2,0),"no esta registrado")</f>
        <v>ACADEMIA EUROPEA</v>
      </c>
    </row>
    <row r="143" spans="1:20" ht="16.5" x14ac:dyDescent="0.3">
      <c r="A143" s="231" t="s">
        <v>1116</v>
      </c>
      <c r="B143" s="193">
        <v>1</v>
      </c>
      <c r="C143" s="194">
        <v>2</v>
      </c>
      <c r="D143" s="195" t="str">
        <f>IF(C143=1,Leyenda!$C$3,IF(C143=2,Leyenda!$C$4,IF(C143=3,Leyenda!$C$5,IF(C143=4,Leyenda!$C$6,IF(C143=5,Leyenda!$C$7,IF(C143=6,Leyenda!$C$8,IF(C143=7,Leyenda!$C$9,IF(C143=8,Leyenda!$C$10," "))))))))&amp;IF(C143=9,Leyenda!$C$11,IF(C143=10,Leyenda!$C$12,IF(C143=11,Leyenda!$C$13,IF(C143=12,Leyenda!D200," "))))</f>
        <v xml:space="preserve">GASTOS POR TRABAJOS, SUMINISTROS Y SERVICIOS </v>
      </c>
      <c r="E143" s="202" t="s">
        <v>1329</v>
      </c>
      <c r="F143" s="247">
        <v>45395</v>
      </c>
      <c r="G143" s="247" t="str">
        <f t="shared" si="13"/>
        <v>abril</v>
      </c>
      <c r="H143" s="203">
        <v>3</v>
      </c>
      <c r="I143" s="250" t="str">
        <f>TEXT(gastos[[#This Row],[Fecha]],"DDDD")</f>
        <v>miércoles</v>
      </c>
      <c r="J143" s="249">
        <f t="shared" si="16"/>
        <v>45385</v>
      </c>
      <c r="K143" s="249"/>
      <c r="L143" s="147"/>
      <c r="M143" s="197">
        <v>7100</v>
      </c>
      <c r="N143" s="197">
        <v>0</v>
      </c>
      <c r="O143" s="198">
        <f t="shared" si="15"/>
        <v>7100</v>
      </c>
      <c r="P143" s="199">
        <v>0</v>
      </c>
      <c r="Q143" s="199">
        <v>0</v>
      </c>
      <c r="R143" s="199">
        <v>0</v>
      </c>
      <c r="S143" s="199">
        <v>0</v>
      </c>
      <c r="T143" s="200" t="str">
        <f>IFERROR(VLOOKUP($A143,Tabla3[#All],2,0),"no esta registrado")</f>
        <v>COLEGIO SANTA ROSA DE LIMA</v>
      </c>
    </row>
    <row r="144" spans="1:20" ht="16.5" x14ac:dyDescent="0.3">
      <c r="A144" s="230" t="s">
        <v>1116</v>
      </c>
      <c r="B144" s="193">
        <v>1</v>
      </c>
      <c r="C144" s="194">
        <v>2</v>
      </c>
      <c r="D144" s="195" t="str">
        <f>IF(C144=1,Leyenda!$C$3,IF(C144=2,Leyenda!$C$4,IF(C144=3,Leyenda!$C$5,IF(C144=4,Leyenda!$C$6,IF(C144=5,Leyenda!$C$7,IF(C144=6,Leyenda!$C$8,IF(C144=7,Leyenda!$C$9,IF(C144=8,Leyenda!$C$10," "))))))))&amp;IF(C144=9,Leyenda!$C$11,IF(C144=10,Leyenda!$C$12,IF(C144=11,Leyenda!$C$13,IF(C144=12,Leyenda!D201," "))))</f>
        <v xml:space="preserve">GASTOS POR TRABAJOS, SUMINISTROS Y SERVICIOS </v>
      </c>
      <c r="E144" s="196" t="s">
        <v>1330</v>
      </c>
      <c r="F144" s="247">
        <v>45395</v>
      </c>
      <c r="G144" s="247" t="str">
        <f t="shared" si="13"/>
        <v>abril</v>
      </c>
      <c r="H144" s="191">
        <v>3</v>
      </c>
      <c r="I144" s="148" t="str">
        <f>TEXT(gastos[[#This Row],[Fecha]],"DDDD")</f>
        <v>miércoles</v>
      </c>
      <c r="J144" s="249">
        <f t="shared" si="16"/>
        <v>45385</v>
      </c>
      <c r="K144" s="249"/>
      <c r="L144" s="147"/>
      <c r="M144" s="197">
        <v>6800</v>
      </c>
      <c r="N144" s="197">
        <v>0</v>
      </c>
      <c r="O144" s="198">
        <f t="shared" si="15"/>
        <v>6800</v>
      </c>
      <c r="P144" s="199">
        <v>0</v>
      </c>
      <c r="Q144" s="199">
        <v>0</v>
      </c>
      <c r="R144" s="199">
        <v>0</v>
      </c>
      <c r="S144" s="199">
        <v>0</v>
      </c>
      <c r="T144" s="200" t="str">
        <f>IFERROR(VLOOKUP($A144,Tabla3[#All],2,0),"no esta registrado")</f>
        <v>COLEGIO SANTA ROSA DE LIMA</v>
      </c>
    </row>
    <row r="145" spans="1:20" ht="16.5" x14ac:dyDescent="0.3">
      <c r="A145" s="230" t="s">
        <v>1116</v>
      </c>
      <c r="B145" s="193">
        <v>1</v>
      </c>
      <c r="C145" s="194">
        <v>2</v>
      </c>
      <c r="D145" s="195" t="str">
        <f>IF(C145=1,Leyenda!$C$3,IF(C145=2,Leyenda!$C$4,IF(C145=3,Leyenda!$C$5,IF(C145=4,Leyenda!$C$6,IF(C145=5,Leyenda!$C$7,IF(C145=6,Leyenda!$C$8,IF(C145=7,Leyenda!$C$9,IF(C145=8,Leyenda!$C$10," "))))))))&amp;IF(C145=9,Leyenda!$C$11,IF(C145=10,Leyenda!$C$12,IF(C145=11,Leyenda!$C$13,IF(C145=12,Leyenda!D202," "))))</f>
        <v xml:space="preserve">GASTOS POR TRABAJOS, SUMINISTROS Y SERVICIOS </v>
      </c>
      <c r="E145" s="196" t="s">
        <v>1331</v>
      </c>
      <c r="F145" s="247">
        <v>45395</v>
      </c>
      <c r="G145" s="247" t="str">
        <f t="shared" si="13"/>
        <v>abril</v>
      </c>
      <c r="H145" s="191">
        <v>3</v>
      </c>
      <c r="I145" s="148" t="str">
        <f>TEXT(gastos[[#This Row],[Fecha]],"DDDD")</f>
        <v>miércoles</v>
      </c>
      <c r="J145" s="249">
        <f t="shared" si="16"/>
        <v>45385</v>
      </c>
      <c r="K145" s="249"/>
      <c r="L145" s="147"/>
      <c r="M145" s="197">
        <v>6800</v>
      </c>
      <c r="N145" s="197">
        <v>0</v>
      </c>
      <c r="O145" s="198">
        <f t="shared" si="15"/>
        <v>6800</v>
      </c>
      <c r="P145" s="199">
        <v>0</v>
      </c>
      <c r="Q145" s="199">
        <v>0</v>
      </c>
      <c r="R145" s="199">
        <v>0</v>
      </c>
      <c r="S145" s="199">
        <v>0</v>
      </c>
      <c r="T145" s="200" t="str">
        <f>IFERROR(VLOOKUP($A145,Tabla3[#All],2,0),"no esta registrado")</f>
        <v>COLEGIO SANTA ROSA DE LIMA</v>
      </c>
    </row>
    <row r="146" spans="1:20" ht="16.5" x14ac:dyDescent="0.3">
      <c r="A146" s="230" t="s">
        <v>1196</v>
      </c>
      <c r="B146" s="193">
        <v>1</v>
      </c>
      <c r="C146" s="194">
        <v>2</v>
      </c>
      <c r="D146" s="195" t="str">
        <f>IF(C146=1,Leyenda!$C$3,IF(C146=2,Leyenda!$C$4,IF(C146=3,Leyenda!$C$5,IF(C146=4,Leyenda!$C$6,IF(C146=5,Leyenda!$C$7,IF(C146=6,Leyenda!$C$8,IF(C146=7,Leyenda!$C$9,IF(C146=8,Leyenda!$C$10," "))))))))&amp;IF(C146=9,Leyenda!$C$11,IF(C146=10,Leyenda!$C$12,IF(C146=11,Leyenda!$C$13,IF(C146=12,Leyenda!D203," "))))</f>
        <v xml:space="preserve">GASTOS POR TRABAJOS, SUMINISTROS Y SERVICIOS </v>
      </c>
      <c r="E146" s="196" t="s">
        <v>1332</v>
      </c>
      <c r="F146" s="247">
        <v>45395</v>
      </c>
      <c r="G146" s="247" t="str">
        <f t="shared" si="13"/>
        <v>abril</v>
      </c>
      <c r="H146" s="191">
        <v>29</v>
      </c>
      <c r="I146" s="148" t="str">
        <f>TEXT(gastos[[#This Row],[Fecha]],"DDDD")</f>
        <v>lunes</v>
      </c>
      <c r="J146" s="249">
        <f t="shared" si="16"/>
        <v>45411</v>
      </c>
      <c r="K146" s="249"/>
      <c r="L146" s="147"/>
      <c r="M146" s="197">
        <v>0</v>
      </c>
      <c r="N146" s="197">
        <v>1779.66</v>
      </c>
      <c r="O146" s="198">
        <f t="shared" si="15"/>
        <v>1779.66</v>
      </c>
      <c r="P146" s="199">
        <v>320.33999999999997</v>
      </c>
      <c r="Q146" s="199">
        <v>0</v>
      </c>
      <c r="R146" s="199">
        <v>0</v>
      </c>
      <c r="S146" s="199">
        <v>0</v>
      </c>
      <c r="T146" s="200" t="str">
        <f>IFERROR(VLOOKUP($A146,Tabla3[#All],2,0),"no esta registrado")</f>
        <v>no esta registrado</v>
      </c>
    </row>
    <row r="147" spans="1:20" ht="16.5" x14ac:dyDescent="0.3">
      <c r="A147" s="230" t="s">
        <v>511</v>
      </c>
      <c r="B147" s="193">
        <v>1</v>
      </c>
      <c r="C147" s="194">
        <v>2</v>
      </c>
      <c r="D147" s="195" t="str">
        <f>IF(C147=1,Leyenda!$C$3,IF(C147=2,Leyenda!$C$4,IF(C147=3,Leyenda!$C$5,IF(C147=4,Leyenda!$C$6,IF(C147=5,Leyenda!$C$7,IF(C147=6,Leyenda!$C$8,IF(C147=7,Leyenda!$C$9,IF(C147=8,Leyenda!$C$10," "))))))))&amp;IF(C147=9,Leyenda!$C$11,IF(C147=10,Leyenda!$C$12,IF(C147=11,Leyenda!$C$13,IF(C147=12,Leyenda!D204," "))))</f>
        <v xml:space="preserve">GASTOS POR TRABAJOS, SUMINISTROS Y SERVICIOS </v>
      </c>
      <c r="E147" s="196" t="s">
        <v>1333</v>
      </c>
      <c r="F147" s="247">
        <v>45395</v>
      </c>
      <c r="G147" s="247" t="str">
        <f t="shared" si="13"/>
        <v>abril</v>
      </c>
      <c r="H147" s="191">
        <v>24</v>
      </c>
      <c r="I147" s="148" t="str">
        <f>TEXT(gastos[[#This Row],[Fecha]],"DDDD")</f>
        <v>miércoles</v>
      </c>
      <c r="J147" s="249">
        <f t="shared" si="16"/>
        <v>45406</v>
      </c>
      <c r="K147" s="249"/>
      <c r="L147" s="147"/>
      <c r="M147" s="197">
        <v>0</v>
      </c>
      <c r="N147" s="205">
        <f>3335-387.34</f>
        <v>2947.66</v>
      </c>
      <c r="O147" s="198">
        <f t="shared" si="15"/>
        <v>2947.66</v>
      </c>
      <c r="P147" s="199">
        <v>387.34</v>
      </c>
      <c r="Q147" s="199">
        <v>0</v>
      </c>
      <c r="R147" s="199">
        <v>0</v>
      </c>
      <c r="S147" s="199">
        <v>0</v>
      </c>
      <c r="T147" s="200" t="str">
        <f>IFERROR(VLOOKUP($A147,Tabla3[#All],2,0),"no esta registrado")</f>
        <v>Bravo, S.A.//Supermercados Bravo</v>
      </c>
    </row>
    <row r="148" spans="1:20" ht="16.5" x14ac:dyDescent="0.3">
      <c r="A148" s="230" t="s">
        <v>1116</v>
      </c>
      <c r="B148" s="193">
        <v>1</v>
      </c>
      <c r="C148" s="194">
        <v>2</v>
      </c>
      <c r="D148" s="195" t="str">
        <f>IF(C148=1,Leyenda!$C$3,IF(C148=2,Leyenda!$C$4,IF(C148=3,Leyenda!$C$5,IF(C148=4,Leyenda!$C$6,IF(C148=5,Leyenda!$C$7,IF(C148=6,Leyenda!$C$8,IF(C148=7,Leyenda!$C$9,IF(C148=8,Leyenda!$C$10," "))))))))&amp;IF(C148=9,Leyenda!$C$11,IF(C148=10,Leyenda!$C$12,IF(C148=11,Leyenda!$C$13,IF(C148=12,Leyenda!D205," "))))</f>
        <v xml:space="preserve">GASTOS POR TRABAJOS, SUMINISTROS Y SERVICIOS </v>
      </c>
      <c r="E148" s="196" t="s">
        <v>1334</v>
      </c>
      <c r="F148" s="247">
        <v>45395</v>
      </c>
      <c r="G148" s="247" t="str">
        <f t="shared" si="13"/>
        <v>abril</v>
      </c>
      <c r="H148" s="191">
        <v>30</v>
      </c>
      <c r="I148" s="148" t="str">
        <f>TEXT(gastos[[#This Row],[Fecha]],"DDDD")</f>
        <v>martes</v>
      </c>
      <c r="J148" s="249">
        <f t="shared" si="16"/>
        <v>45412</v>
      </c>
      <c r="K148" s="249"/>
      <c r="L148" s="147"/>
      <c r="M148" s="197">
        <v>7100</v>
      </c>
      <c r="N148" s="205">
        <v>0</v>
      </c>
      <c r="O148" s="198">
        <f t="shared" si="15"/>
        <v>7100</v>
      </c>
      <c r="P148" s="199">
        <v>0</v>
      </c>
      <c r="Q148" s="199">
        <v>0</v>
      </c>
      <c r="R148" s="199">
        <v>0</v>
      </c>
      <c r="S148" s="199">
        <v>0</v>
      </c>
      <c r="T148" s="200" t="str">
        <f>IFERROR(VLOOKUP($A148,Tabla3[#All],2,0),"no esta registrado")</f>
        <v>COLEGIO SANTA ROSA DE LIMA</v>
      </c>
    </row>
    <row r="149" spans="1:20" ht="16.5" x14ac:dyDescent="0.3">
      <c r="A149" s="230" t="s">
        <v>1116</v>
      </c>
      <c r="B149" s="193">
        <v>1</v>
      </c>
      <c r="C149" s="194">
        <v>2</v>
      </c>
      <c r="D149" s="195" t="str">
        <f>IF(C149=1,Leyenda!$C$3,IF(C149=2,Leyenda!$C$4,IF(C149=3,Leyenda!$C$5,IF(C149=4,Leyenda!$C$6,IF(C149=5,Leyenda!$C$7,IF(C149=6,Leyenda!$C$8,IF(C149=7,Leyenda!$C$9,IF(C149=8,Leyenda!$C$10," "))))))))&amp;IF(C149=9,Leyenda!$C$11,IF(C149=10,Leyenda!$C$12,IF(C149=11,Leyenda!$C$13,IF(C149=12,Leyenda!D206," "))))</f>
        <v xml:space="preserve">GASTOS POR TRABAJOS, SUMINISTROS Y SERVICIOS </v>
      </c>
      <c r="E149" s="196" t="s">
        <v>1335</v>
      </c>
      <c r="F149" s="247">
        <v>45395</v>
      </c>
      <c r="G149" s="247" t="str">
        <f t="shared" ref="G149:G212" si="17">TEXT(F149,"MMMM")</f>
        <v>abril</v>
      </c>
      <c r="H149" s="191">
        <v>30</v>
      </c>
      <c r="I149" s="148" t="str">
        <f>TEXT(gastos[[#This Row],[Fecha]],"DDDD")</f>
        <v>martes</v>
      </c>
      <c r="J149" s="249">
        <f t="shared" si="16"/>
        <v>45412</v>
      </c>
      <c r="K149" s="249"/>
      <c r="L149" s="147"/>
      <c r="M149" s="197">
        <v>6800</v>
      </c>
      <c r="N149" s="205">
        <v>0</v>
      </c>
      <c r="O149" s="198">
        <f t="shared" si="15"/>
        <v>6800</v>
      </c>
      <c r="P149" s="199">
        <v>0</v>
      </c>
      <c r="Q149" s="199">
        <v>0</v>
      </c>
      <c r="R149" s="199">
        <v>0</v>
      </c>
      <c r="S149" s="199">
        <v>0</v>
      </c>
      <c r="T149" s="200" t="str">
        <f>IFERROR(VLOOKUP($A149,Tabla3[#All],2,0),"no esta registrado")</f>
        <v>COLEGIO SANTA ROSA DE LIMA</v>
      </c>
    </row>
    <row r="150" spans="1:20" ht="16.5" x14ac:dyDescent="0.3">
      <c r="A150" s="230" t="s">
        <v>1116</v>
      </c>
      <c r="B150" s="193">
        <v>1</v>
      </c>
      <c r="C150" s="194">
        <v>2</v>
      </c>
      <c r="D150" s="195" t="str">
        <f>IF(C150=1,Leyenda!$C$3,IF(C150=2,Leyenda!$C$4,IF(C150=3,Leyenda!$C$5,IF(C150=4,Leyenda!$C$6,IF(C150=5,Leyenda!$C$7,IF(C150=6,Leyenda!$C$8,IF(C150=7,Leyenda!$C$9,IF(C150=8,Leyenda!$C$10," "))))))))&amp;IF(C150=9,Leyenda!$C$11,IF(C150=10,Leyenda!$C$12,IF(C150=11,Leyenda!$C$13,IF(C150=12,Leyenda!D207," "))))</f>
        <v xml:space="preserve">GASTOS POR TRABAJOS, SUMINISTROS Y SERVICIOS </v>
      </c>
      <c r="E150" s="202" t="s">
        <v>1336</v>
      </c>
      <c r="F150" s="247">
        <v>45395</v>
      </c>
      <c r="G150" s="247" t="str">
        <f t="shared" si="17"/>
        <v>abril</v>
      </c>
      <c r="H150" s="191">
        <v>30</v>
      </c>
      <c r="I150" s="148" t="str">
        <f>TEXT(gastos[[#This Row],[Fecha]],"DDDD")</f>
        <v>martes</v>
      </c>
      <c r="J150" s="249">
        <f t="shared" si="16"/>
        <v>45412</v>
      </c>
      <c r="K150" s="249"/>
      <c r="L150" s="147"/>
      <c r="M150" s="197">
        <v>6800</v>
      </c>
      <c r="N150" s="205">
        <v>0</v>
      </c>
      <c r="O150" s="198">
        <f t="shared" si="15"/>
        <v>6800</v>
      </c>
      <c r="P150" s="199">
        <v>0</v>
      </c>
      <c r="Q150" s="199">
        <v>0</v>
      </c>
      <c r="R150" s="199">
        <v>0</v>
      </c>
      <c r="S150" s="199">
        <v>0</v>
      </c>
      <c r="T150" s="200" t="str">
        <f>IFERROR(VLOOKUP($A150,Tabla3[#All],2,0),"no esta registrado")</f>
        <v>COLEGIO SANTA ROSA DE LIMA</v>
      </c>
    </row>
    <row r="151" spans="1:20" ht="16.5" x14ac:dyDescent="0.3">
      <c r="A151" s="231" t="s">
        <v>495</v>
      </c>
      <c r="B151" s="193">
        <v>1</v>
      </c>
      <c r="C151" s="194">
        <v>2</v>
      </c>
      <c r="D151" s="195" t="str">
        <f>IF(C151=1,Leyenda!$C$3,IF(C151=2,Leyenda!$C$4,IF(C151=3,Leyenda!$C$5,IF(C151=4,Leyenda!$C$6,IF(C151=5,Leyenda!$C$7,IF(C151=6,Leyenda!$C$8,IF(C151=7,Leyenda!$C$9,IF(C151=8,Leyenda!$C$10," "))))))))&amp;IF(C151=9,Leyenda!$C$11,IF(C151=10,Leyenda!$C$12,IF(C151=11,Leyenda!$C$13,IF(C151=12,Leyenda!D208," "))))</f>
        <v xml:space="preserve">GASTOS POR TRABAJOS, SUMINISTROS Y SERVICIOS </v>
      </c>
      <c r="E151" s="202" t="s">
        <v>1337</v>
      </c>
      <c r="F151" s="247">
        <v>45395</v>
      </c>
      <c r="G151" s="247" t="str">
        <f t="shared" si="17"/>
        <v>abril</v>
      </c>
      <c r="H151" s="191">
        <v>7</v>
      </c>
      <c r="I151" s="148" t="str">
        <f>TEXT(gastos[[#This Row],[Fecha]],"DDDD")</f>
        <v>domingo</v>
      </c>
      <c r="J151" s="249">
        <f t="shared" si="16"/>
        <v>45389</v>
      </c>
      <c r="K151" s="249"/>
      <c r="L151" s="147"/>
      <c r="M151" s="197">
        <v>2407.69</v>
      </c>
      <c r="N151" s="205">
        <v>0</v>
      </c>
      <c r="O151" s="198">
        <f t="shared" si="15"/>
        <v>2407.69</v>
      </c>
      <c r="P151" s="199">
        <v>433.39</v>
      </c>
      <c r="Q151" s="199">
        <v>0</v>
      </c>
      <c r="R151" s="199">
        <v>0</v>
      </c>
      <c r="S151" s="199">
        <v>0</v>
      </c>
      <c r="T151" s="200" t="str">
        <f>IFERROR(VLOOKUP($A151,Tabla3[#All],2,0),"no esta registrado")</f>
        <v>CLARO//CODETEL</v>
      </c>
    </row>
    <row r="152" spans="1:20" ht="16.5" x14ac:dyDescent="0.3">
      <c r="A152" s="231" t="s">
        <v>495</v>
      </c>
      <c r="B152" s="193">
        <v>1</v>
      </c>
      <c r="C152" s="194">
        <v>2</v>
      </c>
      <c r="D152" s="195" t="str">
        <f>IF(C152=1,Leyenda!$C$3,IF(C152=2,Leyenda!$C$4,IF(C152=3,Leyenda!$C$5,IF(C152=4,Leyenda!$C$6,IF(C152=5,Leyenda!$C$7,IF(C152=6,Leyenda!$C$8,IF(C152=7,Leyenda!$C$9,IF(C152=8,Leyenda!$C$10," "))))))))&amp;IF(C152=9,Leyenda!$C$11,IF(C152=10,Leyenda!$C$12,IF(C152=11,Leyenda!$C$13,IF(C152=12,Leyenda!D209," "))))</f>
        <v xml:space="preserve">GASTOS POR TRABAJOS, SUMINISTROS Y SERVICIOS </v>
      </c>
      <c r="E152" s="202" t="s">
        <v>1338</v>
      </c>
      <c r="F152" s="247">
        <v>45395</v>
      </c>
      <c r="G152" s="247" t="str">
        <f t="shared" si="17"/>
        <v>abril</v>
      </c>
      <c r="H152" s="191">
        <v>7</v>
      </c>
      <c r="I152" s="148" t="str">
        <f>TEXT(gastos[[#This Row],[Fecha]],"DDDD")</f>
        <v>domingo</v>
      </c>
      <c r="J152" s="249">
        <f t="shared" si="16"/>
        <v>45389</v>
      </c>
      <c r="K152" s="249"/>
      <c r="L152" s="147"/>
      <c r="M152" s="197">
        <v>830</v>
      </c>
      <c r="N152" s="205">
        <v>0</v>
      </c>
      <c r="O152" s="198">
        <f t="shared" si="15"/>
        <v>830</v>
      </c>
      <c r="P152" s="199">
        <v>149.4</v>
      </c>
      <c r="Q152" s="199">
        <v>0</v>
      </c>
      <c r="R152" s="199">
        <v>0</v>
      </c>
      <c r="S152" s="199">
        <v>0</v>
      </c>
      <c r="T152" s="200" t="str">
        <f>IFERROR(VLOOKUP($A152,Tabla3[#All],2,0),"no esta registrado")</f>
        <v>CLARO//CODETEL</v>
      </c>
    </row>
    <row r="153" spans="1:20" ht="16.5" x14ac:dyDescent="0.3">
      <c r="A153" s="231" t="s">
        <v>1112</v>
      </c>
      <c r="B153" s="193">
        <v>1</v>
      </c>
      <c r="C153" s="194">
        <v>2</v>
      </c>
      <c r="D153" s="195" t="str">
        <f>IF(C153=1,Leyenda!$C$3,IF(C153=2,Leyenda!$C$4,IF(C153=3,Leyenda!$C$5,IF(C153=4,Leyenda!$C$6,IF(C153=5,Leyenda!$C$7,IF(C153=6,Leyenda!$C$8,IF(C153=7,Leyenda!$C$9,IF(C153=8,Leyenda!$C$10," "))))))))&amp;IF(C153=9,Leyenda!$C$11,IF(C153=10,Leyenda!$C$12,IF(C153=11,Leyenda!$C$13,IF(C153=12,Leyenda!D210," "))))</f>
        <v xml:space="preserve">GASTOS POR TRABAJOS, SUMINISTROS Y SERVICIOS </v>
      </c>
      <c r="E153" s="202" t="s">
        <v>1339</v>
      </c>
      <c r="F153" s="247">
        <v>45395</v>
      </c>
      <c r="G153" s="247" t="str">
        <f t="shared" si="17"/>
        <v>abril</v>
      </c>
      <c r="H153" s="191">
        <v>18</v>
      </c>
      <c r="I153" s="148" t="str">
        <f>TEXT(gastos[[#This Row],[Fecha]],"DDDD")</f>
        <v>jueves</v>
      </c>
      <c r="J153" s="249">
        <f t="shared" si="16"/>
        <v>45400</v>
      </c>
      <c r="K153" s="249"/>
      <c r="L153" s="147"/>
      <c r="M153" s="197">
        <v>6796.83</v>
      </c>
      <c r="N153" s="205">
        <v>0</v>
      </c>
      <c r="O153" s="198">
        <f t="shared" si="15"/>
        <v>6796.83</v>
      </c>
      <c r="P153" s="199">
        <v>0</v>
      </c>
      <c r="Q153">
        <v>0</v>
      </c>
      <c r="R153" s="199">
        <v>0</v>
      </c>
      <c r="S153" s="199">
        <v>0</v>
      </c>
      <c r="T153" s="200" t="str">
        <f>IFERROR(VLOOKUP($A153,Tabla3[#All],2,0),"no esta registrado")</f>
        <v>EDEESTE</v>
      </c>
    </row>
    <row r="154" spans="1:20" ht="16.5" x14ac:dyDescent="0.3">
      <c r="A154" s="230" t="s">
        <v>486</v>
      </c>
      <c r="B154" s="193">
        <v>1</v>
      </c>
      <c r="C154" s="194">
        <v>7</v>
      </c>
      <c r="D154" s="195" t="str">
        <f>IF(C154=1,Leyenda!$C$3,IF(C154=2,Leyenda!$C$4,IF(C154=3,Leyenda!$C$5,IF(C154=4,Leyenda!$C$6,IF(C154=5,Leyenda!$C$7,IF(C154=6,Leyenda!$C$8,IF(C154=7,Leyenda!$C$9,IF(C154=8,Leyenda!$C$10," "))))))))&amp;IF(C154=9,Leyenda!$C$11,IF(C154=10,Leyenda!$C$12,IF(C154=11,Leyenda!$C$13,IF(C154=12,Leyenda!D211," "))))</f>
        <v xml:space="preserve">GASTOS FINANCIEROS </v>
      </c>
      <c r="E154" s="202" t="s">
        <v>1340</v>
      </c>
      <c r="F154" s="247">
        <v>45395</v>
      </c>
      <c r="G154" s="247" t="str">
        <f t="shared" si="17"/>
        <v>abril</v>
      </c>
      <c r="H154" s="191">
        <v>22</v>
      </c>
      <c r="I154" s="148" t="str">
        <f>TEXT(gastos[[#This Row],[Fecha]],"DDDD")</f>
        <v>lunes</v>
      </c>
      <c r="J154" s="249">
        <f t="shared" si="16"/>
        <v>45404</v>
      </c>
      <c r="K154" s="249"/>
      <c r="L154" s="147"/>
      <c r="M154" s="197">
        <v>22604.17</v>
      </c>
      <c r="N154" s="205">
        <v>0</v>
      </c>
      <c r="O154" s="198">
        <f t="shared" si="15"/>
        <v>22604.17</v>
      </c>
      <c r="P154" s="199">
        <v>0</v>
      </c>
      <c r="Q154">
        <v>0</v>
      </c>
      <c r="R154" s="199">
        <v>0</v>
      </c>
      <c r="S154" s="199">
        <v>0</v>
      </c>
      <c r="T154" s="200" t="str">
        <f>IFERROR(VLOOKUP($A154,Tabla3[#All],2,0),"no esta registrado")</f>
        <v>Banco Multiple BHD León, S. A.</v>
      </c>
    </row>
    <row r="155" spans="1:20" ht="16.5" x14ac:dyDescent="0.3">
      <c r="A155" s="230" t="s">
        <v>486</v>
      </c>
      <c r="B155" s="193">
        <v>1</v>
      </c>
      <c r="C155" s="194">
        <v>7</v>
      </c>
      <c r="D155" s="195" t="str">
        <f>IF(C155=1,Leyenda!$C$3,IF(C155=2,Leyenda!$C$4,IF(C155=3,Leyenda!$C$5,IF(C155=4,Leyenda!$C$6,IF(C155=5,Leyenda!$C$7,IF(C155=6,Leyenda!$C$8,IF(C155=7,Leyenda!$C$9,IF(C155=8,Leyenda!$C$10," "))))))))&amp;IF(C155=9,Leyenda!$C$11,IF(C155=10,Leyenda!$C$12,IF(C155=11,Leyenda!$C$13,IF(C155=12,Leyenda!D212," "))))</f>
        <v xml:space="preserve">GASTOS FINANCIEROS </v>
      </c>
      <c r="E155" s="202" t="s">
        <v>1341</v>
      </c>
      <c r="F155" s="247">
        <v>45395</v>
      </c>
      <c r="G155" s="247" t="str">
        <f t="shared" si="17"/>
        <v>abril</v>
      </c>
      <c r="H155" s="191">
        <v>4</v>
      </c>
      <c r="I155" s="148" t="str">
        <f>TEXT(gastos[[#This Row],[Fecha]],"DDDD")</f>
        <v>jueves</v>
      </c>
      <c r="J155" s="249">
        <f t="shared" si="16"/>
        <v>45386</v>
      </c>
      <c r="K155" s="249"/>
      <c r="L155" s="147"/>
      <c r="M155" s="197">
        <v>7500</v>
      </c>
      <c r="N155" s="205">
        <v>0</v>
      </c>
      <c r="O155" s="198">
        <f t="shared" si="15"/>
        <v>7500</v>
      </c>
      <c r="P155" s="199">
        <v>0</v>
      </c>
      <c r="Q155">
        <v>0</v>
      </c>
      <c r="R155" s="199">
        <v>0</v>
      </c>
      <c r="S155" s="199">
        <v>0</v>
      </c>
      <c r="T155" s="200" t="str">
        <f>IFERROR(VLOOKUP($A155,Tabla3[#All],2,0),"no esta registrado")</f>
        <v>Banco Multiple BHD León, S. A.</v>
      </c>
    </row>
    <row r="156" spans="1:20" ht="16.5" x14ac:dyDescent="0.3">
      <c r="A156" s="230" t="s">
        <v>486</v>
      </c>
      <c r="B156" s="193">
        <v>1</v>
      </c>
      <c r="C156" s="194">
        <v>7</v>
      </c>
      <c r="D156" s="195" t="str">
        <f>IF(C156=1,Leyenda!$C$3,IF(C156=2,Leyenda!$C$4,IF(C156=3,Leyenda!$C$5,IF(C156=4,Leyenda!$C$6,IF(C156=5,Leyenda!$C$7,IF(C156=6,Leyenda!$C$8,IF(C156=7,Leyenda!$C$9,IF(C156=8,Leyenda!$C$10," "))))))))&amp;IF(C156=9,Leyenda!$C$11,IF(C156=10,Leyenda!$C$12,IF(C156=11,Leyenda!$C$13,IF(C156=12,Leyenda!D213," "))))</f>
        <v xml:space="preserve">GASTOS FINANCIEROS </v>
      </c>
      <c r="E156" s="202" t="s">
        <v>1342</v>
      </c>
      <c r="F156" s="247">
        <v>45395</v>
      </c>
      <c r="G156" s="247" t="str">
        <f t="shared" si="17"/>
        <v>abril</v>
      </c>
      <c r="H156" s="191">
        <v>7</v>
      </c>
      <c r="I156" s="148" t="str">
        <f>TEXT(gastos[[#This Row],[Fecha]],"DDDD")</f>
        <v>domingo</v>
      </c>
      <c r="J156" s="249">
        <f t="shared" si="16"/>
        <v>45389</v>
      </c>
      <c r="K156" s="249"/>
      <c r="L156" s="147"/>
      <c r="M156" s="197">
        <v>9650.49</v>
      </c>
      <c r="N156" s="205">
        <v>0</v>
      </c>
      <c r="O156" s="198">
        <f t="shared" si="15"/>
        <v>9650.49</v>
      </c>
      <c r="P156" s="199">
        <v>0</v>
      </c>
      <c r="Q156">
        <v>0</v>
      </c>
      <c r="R156" s="199">
        <v>0</v>
      </c>
      <c r="S156" s="199">
        <v>0</v>
      </c>
      <c r="T156" s="200" t="str">
        <f>IFERROR(VLOOKUP($A156,Tabla3[#All],2,0),"no esta registrado")</f>
        <v>Banco Multiple BHD León, S. A.</v>
      </c>
    </row>
    <row r="157" spans="1:20" ht="16.5" x14ac:dyDescent="0.3">
      <c r="A157" s="230" t="s">
        <v>489</v>
      </c>
      <c r="B157" s="193">
        <v>1</v>
      </c>
      <c r="C157" s="194">
        <v>7</v>
      </c>
      <c r="D157" s="195" t="str">
        <f>IF(C157=1,Leyenda!$C$3,IF(C157=2,Leyenda!$C$4,IF(C157=3,Leyenda!$C$5,IF(C157=4,Leyenda!$C$6,IF(C157=5,Leyenda!$C$7,IF(C157=6,Leyenda!$C$8,IF(C157=7,Leyenda!$C$9,IF(C157=8,Leyenda!$C$10," "))))))))&amp;IF(C157=9,Leyenda!$C$11,IF(C157=10,Leyenda!$C$12,IF(C157=11,Leyenda!$C$13,IF(C157=12,Leyenda!D214," "))))</f>
        <v xml:space="preserve">GASTOS FINANCIEROS </v>
      </c>
      <c r="E157" s="202" t="s">
        <v>1343</v>
      </c>
      <c r="F157" s="247">
        <v>45395</v>
      </c>
      <c r="G157" s="247" t="str">
        <f t="shared" si="17"/>
        <v>abril</v>
      </c>
      <c r="H157" s="191">
        <v>30</v>
      </c>
      <c r="I157" s="148" t="str">
        <f>TEXT(gastos[[#This Row],[Fecha]],"DDDD")</f>
        <v>martes</v>
      </c>
      <c r="J157" s="249">
        <f t="shared" si="16"/>
        <v>45412</v>
      </c>
      <c r="K157" s="249"/>
      <c r="L157" s="147"/>
      <c r="M157" s="197">
        <v>11101.66</v>
      </c>
      <c r="N157" s="205">
        <v>0</v>
      </c>
      <c r="O157" s="198">
        <f t="shared" si="15"/>
        <v>11101.66</v>
      </c>
      <c r="P157" s="199">
        <v>0</v>
      </c>
      <c r="Q157">
        <v>0</v>
      </c>
      <c r="R157" s="199">
        <v>0</v>
      </c>
      <c r="S157" s="199">
        <v>0</v>
      </c>
      <c r="T157" s="200" t="str">
        <f>IFERROR(VLOOKUP($A157,Tabla3[#All],2,0),"no esta registrado")</f>
        <v>Banco Popular Dominicano, S. A. Banco Multiple</v>
      </c>
    </row>
    <row r="158" spans="1:20" ht="16.5" x14ac:dyDescent="0.3">
      <c r="A158" s="230" t="s">
        <v>492</v>
      </c>
      <c r="B158" s="193">
        <v>1</v>
      </c>
      <c r="C158" s="194">
        <v>7</v>
      </c>
      <c r="D158" s="195" t="str">
        <f>IF(C158=1,Leyenda!$C$3,IF(C158=2,Leyenda!$C$4,IF(C158=3,Leyenda!$C$5,IF(C158=4,Leyenda!$C$6,IF(C158=5,Leyenda!$C$7,IF(C158=6,Leyenda!$C$8,IF(C158=7,Leyenda!$C$9,IF(C158=8,Leyenda!$C$10," "))))))))&amp;IF(C158=9,Leyenda!$C$11,IF(C158=10,Leyenda!$C$12,IF(C158=11,Leyenda!$C$13,IF(C158=12,Leyenda!D215," "))))</f>
        <v xml:space="preserve">GASTOS FINANCIEROS </v>
      </c>
      <c r="E158" s="202" t="s">
        <v>1344</v>
      </c>
      <c r="F158" s="247">
        <v>45395</v>
      </c>
      <c r="G158" s="247" t="str">
        <f t="shared" si="17"/>
        <v>abril</v>
      </c>
      <c r="H158" s="191">
        <v>9</v>
      </c>
      <c r="I158" s="148" t="str">
        <f>TEXT(gastos[[#This Row],[Fecha]],"DDDD")</f>
        <v>martes</v>
      </c>
      <c r="J158" s="249">
        <f t="shared" si="16"/>
        <v>45391</v>
      </c>
      <c r="K158" s="249"/>
      <c r="L158" s="147"/>
      <c r="M158" s="197">
        <v>154.02000000000001</v>
      </c>
      <c r="N158" s="205">
        <v>0</v>
      </c>
      <c r="O158" s="222">
        <f t="shared" si="15"/>
        <v>154.02000000000001</v>
      </c>
      <c r="P158" s="199">
        <v>0</v>
      </c>
      <c r="Q158">
        <v>0</v>
      </c>
      <c r="R158" s="199">
        <v>0</v>
      </c>
      <c r="S158" s="199">
        <v>0</v>
      </c>
      <c r="T158" s="200" t="str">
        <f>IFERROR(VLOOKUP($A158,Tabla3[#All],2,0),"no esta registrado")</f>
        <v>Banco Dominicano del Progreso, S. A.//Banco Multiple</v>
      </c>
    </row>
    <row r="159" spans="1:20" ht="16.5" x14ac:dyDescent="0.3">
      <c r="A159" s="230" t="s">
        <v>492</v>
      </c>
      <c r="B159" s="193">
        <v>1</v>
      </c>
      <c r="C159" s="194">
        <v>7</v>
      </c>
      <c r="D159" s="195" t="str">
        <f>IF(C159=1,Leyenda!$C$3,IF(C159=2,Leyenda!$C$4,IF(C159=3,Leyenda!$C$5,IF(C159=4,Leyenda!$C$6,IF(C159=5,Leyenda!$C$7,IF(C159=6,Leyenda!$C$8,IF(C159=7,Leyenda!$C$9,IF(C159=8,Leyenda!$C$10," "))))))))&amp;IF(C159=9,Leyenda!$C$11,IF(C159=10,Leyenda!$C$12,IF(C159=11,Leyenda!$C$13,IF(C159=12,Leyenda!D216," "))))</f>
        <v xml:space="preserve">GASTOS FINANCIEROS </v>
      </c>
      <c r="E159" s="202" t="s">
        <v>1345</v>
      </c>
      <c r="F159" s="247">
        <v>45395</v>
      </c>
      <c r="G159" s="247" t="str">
        <f t="shared" si="17"/>
        <v>abril</v>
      </c>
      <c r="H159" s="191">
        <v>16</v>
      </c>
      <c r="I159" s="148" t="str">
        <f>TEXT(gastos[[#This Row],[Fecha]],"DDDD")</f>
        <v>martes</v>
      </c>
      <c r="J159" s="249">
        <f t="shared" si="16"/>
        <v>45398</v>
      </c>
      <c r="K159" s="249"/>
      <c r="L159" s="147"/>
      <c r="M159" s="197">
        <v>24035.82</v>
      </c>
      <c r="N159" s="205">
        <v>0</v>
      </c>
      <c r="O159" s="222">
        <f t="shared" si="15"/>
        <v>24035.82</v>
      </c>
      <c r="P159" s="199">
        <v>0</v>
      </c>
      <c r="Q159">
        <v>0</v>
      </c>
      <c r="R159" s="199">
        <v>0</v>
      </c>
      <c r="S159" s="199">
        <v>0</v>
      </c>
      <c r="T159" s="200" t="str">
        <f>IFERROR(VLOOKUP($A159,Tabla3[#All],2,0),"no esta registrado")</f>
        <v>Banco Dominicano del Progreso, S. A.//Banco Multiple</v>
      </c>
    </row>
    <row r="160" spans="1:20" ht="16.5" x14ac:dyDescent="0.3">
      <c r="A160" s="230" t="s">
        <v>492</v>
      </c>
      <c r="B160" s="193">
        <v>1</v>
      </c>
      <c r="C160" s="194">
        <v>7</v>
      </c>
      <c r="D160" s="195" t="str">
        <f>IF(C160=1,Leyenda!$C$3,IF(C160=2,Leyenda!$C$4,IF(C160=3,Leyenda!$C$5,IF(C160=4,Leyenda!$C$6,IF(C160=5,Leyenda!$C$7,IF(C160=6,Leyenda!$C$8,IF(C160=7,Leyenda!$C$9,IF(C160=8,Leyenda!$C$10," "))))))))&amp;IF(C160=9,Leyenda!$C$11,IF(C160=10,Leyenda!$C$12,IF(C160=11,Leyenda!$C$13,IF(C160=12,Leyenda!D217," "))))</f>
        <v xml:space="preserve">GASTOS FINANCIEROS </v>
      </c>
      <c r="E160" s="202" t="s">
        <v>1346</v>
      </c>
      <c r="F160" s="247">
        <v>45395</v>
      </c>
      <c r="G160" s="247" t="str">
        <f t="shared" si="17"/>
        <v>abril</v>
      </c>
      <c r="H160" s="191">
        <v>16</v>
      </c>
      <c r="I160" s="148" t="str">
        <f>TEXT(gastos[[#This Row],[Fecha]],"DDDD")</f>
        <v>martes</v>
      </c>
      <c r="J160" s="249">
        <f t="shared" si="16"/>
        <v>45398</v>
      </c>
      <c r="K160" s="249"/>
      <c r="L160" s="147"/>
      <c r="M160" s="197">
        <v>2934.8</v>
      </c>
      <c r="N160" s="205">
        <v>0</v>
      </c>
      <c r="O160" s="222">
        <f t="shared" si="15"/>
        <v>2934.8</v>
      </c>
      <c r="P160" s="199">
        <v>0</v>
      </c>
      <c r="Q160">
        <v>0</v>
      </c>
      <c r="R160" s="199">
        <v>0</v>
      </c>
      <c r="S160" s="199">
        <v>0</v>
      </c>
      <c r="T160" s="200" t="str">
        <f>IFERROR(VLOOKUP($A160,Tabla3[#All],2,0),"no esta registrado")</f>
        <v>Banco Dominicano del Progreso, S. A.//Banco Multiple</v>
      </c>
    </row>
    <row r="161" spans="1:20" ht="16.5" x14ac:dyDescent="0.3">
      <c r="A161" s="230" t="s">
        <v>492</v>
      </c>
      <c r="B161" s="193">
        <v>1</v>
      </c>
      <c r="C161" s="194">
        <v>7</v>
      </c>
      <c r="D161" s="195" t="str">
        <f>IF(C161=1,Leyenda!$C$3,IF(C161=2,Leyenda!$C$4,IF(C161=3,Leyenda!$C$5,IF(C161=4,Leyenda!$C$6,IF(C161=5,Leyenda!$C$7,IF(C161=6,Leyenda!$C$8,IF(C161=7,Leyenda!$C$9,IF(C161=8,Leyenda!$C$10," "))))))))&amp;IF(C161=9,Leyenda!$C$11,IF(C161=10,Leyenda!$C$12,IF(C161=11,Leyenda!$C$13,IF(C161=12,Leyenda!D218," "))))</f>
        <v xml:space="preserve">GASTOS FINANCIEROS </v>
      </c>
      <c r="E161" s="202" t="s">
        <v>1347</v>
      </c>
      <c r="F161" s="247">
        <v>45395</v>
      </c>
      <c r="G161" s="247" t="str">
        <f t="shared" si="17"/>
        <v>abril</v>
      </c>
      <c r="H161" s="191">
        <v>16</v>
      </c>
      <c r="I161" s="148" t="str">
        <f>TEXT(gastos[[#This Row],[Fecha]],"DDDD")</f>
        <v>martes</v>
      </c>
      <c r="J161" s="249">
        <f t="shared" si="16"/>
        <v>45398</v>
      </c>
      <c r="K161" s="249"/>
      <c r="L161" s="147"/>
      <c r="M161" s="197">
        <v>66.930000000000007</v>
      </c>
      <c r="N161" s="205">
        <v>0</v>
      </c>
      <c r="O161" s="222">
        <f t="shared" si="15"/>
        <v>66.930000000000007</v>
      </c>
      <c r="P161" s="199">
        <v>0</v>
      </c>
      <c r="Q161">
        <v>0</v>
      </c>
      <c r="R161" s="199">
        <v>0</v>
      </c>
      <c r="S161" s="199">
        <v>0</v>
      </c>
      <c r="T161" s="200" t="str">
        <f>IFERROR(VLOOKUP($A161,Tabla3[#All],2,0),"no esta registrado")</f>
        <v>Banco Dominicano del Progreso, S. A.//Banco Multiple</v>
      </c>
    </row>
    <row r="162" spans="1:20" ht="16.5" x14ac:dyDescent="0.3">
      <c r="A162" s="230" t="s">
        <v>492</v>
      </c>
      <c r="B162" s="193">
        <v>1</v>
      </c>
      <c r="C162" s="194">
        <v>7</v>
      </c>
      <c r="D162" s="195" t="str">
        <f>IF(C162=1,Leyenda!$C$3,IF(C162=2,Leyenda!$C$4,IF(C162=3,Leyenda!$C$5,IF(C162=4,Leyenda!$C$6,IF(C162=5,Leyenda!$C$7,IF(C162=6,Leyenda!$C$8,IF(C162=7,Leyenda!$C$9,IF(C162=8,Leyenda!$C$10," "))))))))&amp;IF(C162=9,Leyenda!$C$11,IF(C162=10,Leyenda!$C$12,IF(C162=11,Leyenda!$C$13,IF(C162=12,Leyenda!D219," "))))</f>
        <v xml:space="preserve">GASTOS FINANCIEROS </v>
      </c>
      <c r="E162" s="202" t="s">
        <v>1348</v>
      </c>
      <c r="F162" s="247">
        <v>45395</v>
      </c>
      <c r="G162" s="247" t="str">
        <f t="shared" si="17"/>
        <v>abril</v>
      </c>
      <c r="H162" s="191">
        <v>30</v>
      </c>
      <c r="I162" s="148" t="str">
        <f>TEXT(gastos[[#This Row],[Fecha]],"DDDD")</f>
        <v>martes</v>
      </c>
      <c r="J162" s="249">
        <f t="shared" si="16"/>
        <v>45412</v>
      </c>
      <c r="K162" s="249"/>
      <c r="L162" s="147"/>
      <c r="M162" s="197">
        <v>295</v>
      </c>
      <c r="N162" s="205">
        <v>0</v>
      </c>
      <c r="O162" s="222">
        <f t="shared" si="15"/>
        <v>295</v>
      </c>
      <c r="P162" s="199">
        <v>0</v>
      </c>
      <c r="Q162">
        <v>0</v>
      </c>
      <c r="R162" s="199">
        <v>0</v>
      </c>
      <c r="S162" s="199">
        <v>0</v>
      </c>
      <c r="T162" s="200" t="str">
        <f>IFERROR(VLOOKUP($A162,Tabla3[#All],2,0),"no esta registrado")</f>
        <v>Banco Dominicano del Progreso, S. A.//Banco Multiple</v>
      </c>
    </row>
    <row r="163" spans="1:20" ht="16.5" hidden="1" x14ac:dyDescent="0.3">
      <c r="A163" s="230" t="s">
        <v>909</v>
      </c>
      <c r="B163" s="193">
        <v>1</v>
      </c>
      <c r="C163" s="194">
        <v>4</v>
      </c>
      <c r="D163" s="195" t="str">
        <f>IF(C163=1,Leyenda!$C$3,IF(C163=2,Leyenda!$C$4,IF(C163=3,Leyenda!$C$5,IF(C163=4,Leyenda!$C$6,IF(C163=5,Leyenda!$C$7,IF(C163=6,Leyenda!$C$8,IF(C163=7,Leyenda!$C$9,IF(C163=8,Leyenda!$C$10," "))))))))&amp;IF(C163=9,Leyenda!$C$11,IF(C163=10,Leyenda!$C$12,IF(C163=11,Leyenda!$C$13,IF(C163=12,Leyenda!D220," "))))</f>
        <v xml:space="preserve">GASTOS DE ACTIVOS FIJO </v>
      </c>
      <c r="E163" s="196" t="s">
        <v>1349</v>
      </c>
      <c r="F163" s="248">
        <v>45414</v>
      </c>
      <c r="G163" s="247" t="str">
        <f t="shared" si="17"/>
        <v>mayo</v>
      </c>
      <c r="H163" s="191">
        <v>2</v>
      </c>
      <c r="I163" s="148" t="str">
        <f>TEXT(gastos[[#This Row],[Fecha]],"DDDD")</f>
        <v>jueves</v>
      </c>
      <c r="J163" s="249">
        <f t="shared" si="16"/>
        <v>45414</v>
      </c>
      <c r="K163" s="249"/>
      <c r="L163" s="147"/>
      <c r="M163" s="197">
        <v>0</v>
      </c>
      <c r="N163" s="197">
        <v>1000</v>
      </c>
      <c r="O163" s="198">
        <f t="shared" ref="O163:O213" si="18">SUM(M163:N163)</f>
        <v>1000</v>
      </c>
      <c r="P163" s="199">
        <v>0</v>
      </c>
      <c r="Q163" s="199">
        <v>0</v>
      </c>
      <c r="R163" s="199">
        <v>0</v>
      </c>
      <c r="S163">
        <v>0</v>
      </c>
      <c r="T163" s="200" t="str">
        <f>IFERROR(VLOOKUP($A163,Tabla3[#All],2,0),"no esta registrado")</f>
        <v>Strata, S.R.L.</v>
      </c>
    </row>
    <row r="164" spans="1:20" ht="16.5" hidden="1" x14ac:dyDescent="0.3">
      <c r="A164" s="230" t="s">
        <v>951</v>
      </c>
      <c r="B164" s="193">
        <v>1</v>
      </c>
      <c r="C164" s="194">
        <v>4</v>
      </c>
      <c r="D164" s="195" t="str">
        <f>IF(C164=1,Leyenda!$C$3,IF(C164=2,Leyenda!$C$4,IF(C164=3,Leyenda!$C$5,IF(C164=4,Leyenda!$C$6,IF(C164=5,Leyenda!$C$7,IF(C164=6,Leyenda!$C$8,IF(C164=7,Leyenda!$C$9,IF(C164=8,Leyenda!$C$10," "))))))))&amp;IF(C164=9,Leyenda!$C$11,IF(C164=10,Leyenda!$C$12,IF(C164=11,Leyenda!$C$13,IF(C164=12,Leyenda!D221," "))))</f>
        <v xml:space="preserve">GASTOS DE ACTIVOS FIJO </v>
      </c>
      <c r="E164" s="196" t="s">
        <v>1350</v>
      </c>
      <c r="F164" s="247">
        <v>45417</v>
      </c>
      <c r="G164" s="247" t="str">
        <f t="shared" si="17"/>
        <v>mayo</v>
      </c>
      <c r="H164" s="191">
        <v>2</v>
      </c>
      <c r="I164" s="148" t="str">
        <f>TEXT(gastos[[#This Row],[Fecha]],"DDDD")</f>
        <v>jueves</v>
      </c>
      <c r="J164" s="249">
        <f t="shared" si="16"/>
        <v>45414</v>
      </c>
      <c r="K164" s="249"/>
      <c r="L164" s="147"/>
      <c r="M164" s="197">
        <v>0</v>
      </c>
      <c r="N164" s="197">
        <v>4811.8900000000003</v>
      </c>
      <c r="O164" s="198">
        <f t="shared" si="18"/>
        <v>4811.8900000000003</v>
      </c>
      <c r="P164" s="199">
        <v>0</v>
      </c>
      <c r="Q164" s="199">
        <v>0</v>
      </c>
      <c r="R164" s="199">
        <v>0</v>
      </c>
      <c r="S164">
        <v>0</v>
      </c>
      <c r="T164" s="200" t="str">
        <f>IFERROR(VLOOKUP($A164,Tabla3[#All],2,0),"no esta registrado")</f>
        <v>V Energy, S.A.</v>
      </c>
    </row>
    <row r="165" spans="1:20" ht="16.5" hidden="1" x14ac:dyDescent="0.3">
      <c r="A165" s="230" t="s">
        <v>1259</v>
      </c>
      <c r="B165" s="193">
        <v>1</v>
      </c>
      <c r="C165" s="194">
        <v>4</v>
      </c>
      <c r="D165" s="195" t="str">
        <f>IF(C165=1,Leyenda!$C$3,IF(C165=2,Leyenda!$C$4,IF(C165=3,Leyenda!$C$5,IF(C165=4,Leyenda!$C$6,IF(C165=5,Leyenda!$C$7,IF(C165=6,Leyenda!$C$8,IF(C165=7,Leyenda!$C$9,IF(C165=8,Leyenda!$C$10," "))))))))&amp;IF(C165=9,Leyenda!$C$11,IF(C165=10,Leyenda!$C$12,IF(C165=11,Leyenda!$C$13,IF(C165=12,Leyenda!D222," "))))</f>
        <v xml:space="preserve">GASTOS DE ACTIVOS FIJO </v>
      </c>
      <c r="E165" s="196" t="s">
        <v>1351</v>
      </c>
      <c r="F165" s="247">
        <v>45417</v>
      </c>
      <c r="G165" s="247" t="str">
        <f t="shared" si="17"/>
        <v>mayo</v>
      </c>
      <c r="H165" s="191">
        <v>5</v>
      </c>
      <c r="I165" s="148" t="str">
        <f>TEXT(gastos[[#This Row],[Fecha]],"DDDD")</f>
        <v>domingo</v>
      </c>
      <c r="J165" s="249">
        <f t="shared" si="16"/>
        <v>45417</v>
      </c>
      <c r="K165" s="249"/>
      <c r="L165" s="147"/>
      <c r="M165" s="197">
        <v>0</v>
      </c>
      <c r="N165" s="197">
        <v>1000</v>
      </c>
      <c r="O165" s="198">
        <f t="shared" si="18"/>
        <v>1000</v>
      </c>
      <c r="P165" s="199">
        <v>0</v>
      </c>
      <c r="Q165" s="199">
        <v>0</v>
      </c>
      <c r="R165" s="199">
        <v>0</v>
      </c>
      <c r="S165">
        <v>0</v>
      </c>
      <c r="T165" s="200" t="str">
        <f>IFERROR(VLOOKUP($A165,Tabla3[#All],2,0),"no esta registrado")</f>
        <v>no esta registrado</v>
      </c>
    </row>
    <row r="166" spans="1:20" ht="16.5" hidden="1" x14ac:dyDescent="0.3">
      <c r="A166" s="230" t="s">
        <v>1259</v>
      </c>
      <c r="B166" s="193">
        <v>1</v>
      </c>
      <c r="C166" s="194">
        <v>4</v>
      </c>
      <c r="D166" s="195" t="str">
        <f>IF(C166=1,Leyenda!$C$3,IF(C166=2,Leyenda!$C$4,IF(C166=3,Leyenda!$C$5,IF(C166=4,Leyenda!$C$6,IF(C166=5,Leyenda!$C$7,IF(C166=6,Leyenda!$C$8,IF(C166=7,Leyenda!$C$9,IF(C166=8,Leyenda!$C$10," "))))))))&amp;IF(C166=9,Leyenda!$C$11,IF(C166=10,Leyenda!$C$12,IF(C166=11,Leyenda!$C$13,IF(C166=12,Leyenda!D223," "))))</f>
        <v xml:space="preserve">GASTOS DE ACTIVOS FIJO </v>
      </c>
      <c r="E166" s="196" t="s">
        <v>1352</v>
      </c>
      <c r="F166" s="247">
        <v>45417</v>
      </c>
      <c r="G166" s="247" t="str">
        <f t="shared" si="17"/>
        <v>mayo</v>
      </c>
      <c r="H166" s="191">
        <v>10</v>
      </c>
      <c r="I166" s="148" t="str">
        <f>TEXT(gastos[[#This Row],[Fecha]],"DDDD")</f>
        <v>viernes</v>
      </c>
      <c r="J166" s="249">
        <f t="shared" si="16"/>
        <v>45422</v>
      </c>
      <c r="K166" s="249"/>
      <c r="L166" s="147"/>
      <c r="M166" s="197">
        <v>0</v>
      </c>
      <c r="N166" s="197">
        <v>1000</v>
      </c>
      <c r="O166" s="198">
        <f t="shared" si="18"/>
        <v>1000</v>
      </c>
      <c r="P166" s="199">
        <v>0</v>
      </c>
      <c r="Q166" s="199">
        <v>0</v>
      </c>
      <c r="R166" s="199">
        <v>0</v>
      </c>
      <c r="S166">
        <v>0</v>
      </c>
      <c r="T166" s="200" t="str">
        <f>IFERROR(VLOOKUP($A166,Tabla3[#All],2,0),"no esta registrado")</f>
        <v>no esta registrado</v>
      </c>
    </row>
    <row r="167" spans="1:20" ht="16.5" hidden="1" x14ac:dyDescent="0.3">
      <c r="A167" s="230" t="s">
        <v>909</v>
      </c>
      <c r="B167" s="193">
        <v>1</v>
      </c>
      <c r="C167" s="194">
        <v>4</v>
      </c>
      <c r="D167" s="195" t="str">
        <f>IF(C167=1,Leyenda!$C$3,IF(C167=2,Leyenda!$C$4,IF(C167=3,Leyenda!$C$5,IF(C167=4,Leyenda!$C$6,IF(C167=5,Leyenda!$C$7,IF(C167=6,Leyenda!$C$8,IF(C167=7,Leyenda!$C$9,IF(C167=8,Leyenda!$C$10," "))))))))&amp;IF(C167=9,Leyenda!$C$11,IF(C167=10,Leyenda!$C$12,IF(C167=11,Leyenda!$C$13,IF(C167=12,Leyenda!D224," "))))</f>
        <v xml:space="preserve">GASTOS DE ACTIVOS FIJO </v>
      </c>
      <c r="E167" s="196" t="s">
        <v>1353</v>
      </c>
      <c r="F167" s="247">
        <v>45417</v>
      </c>
      <c r="G167" s="247" t="str">
        <f t="shared" si="17"/>
        <v>mayo</v>
      </c>
      <c r="H167" s="191">
        <v>14</v>
      </c>
      <c r="I167" s="148" t="str">
        <f>TEXT(gastos[[#This Row],[Fecha]],"DDDD")</f>
        <v>martes</v>
      </c>
      <c r="J167" s="249">
        <f t="shared" si="16"/>
        <v>45426</v>
      </c>
      <c r="K167" s="249"/>
      <c r="L167" s="147"/>
      <c r="M167" s="197">
        <v>0</v>
      </c>
      <c r="N167" s="197">
        <v>4613</v>
      </c>
      <c r="O167" s="198">
        <f t="shared" si="18"/>
        <v>4613</v>
      </c>
      <c r="P167" s="199">
        <v>0</v>
      </c>
      <c r="Q167" s="199">
        <v>0</v>
      </c>
      <c r="R167" s="199">
        <v>0</v>
      </c>
      <c r="S167">
        <v>0</v>
      </c>
      <c r="T167" s="200" t="str">
        <f>IFERROR(VLOOKUP($A167,Tabla3[#All],2,0),"no esta registrado")</f>
        <v>Strata, S.R.L.</v>
      </c>
    </row>
    <row r="168" spans="1:20" ht="16.5" hidden="1" x14ac:dyDescent="0.3">
      <c r="A168" s="230" t="s">
        <v>909</v>
      </c>
      <c r="B168" s="193">
        <v>1</v>
      </c>
      <c r="C168" s="194">
        <v>4</v>
      </c>
      <c r="D168" s="195" t="str">
        <f>IF(C168=1,Leyenda!$C$3,IF(C168=2,Leyenda!$C$4,IF(C168=3,Leyenda!$C$5,IF(C168=4,Leyenda!$C$6,IF(C168=5,Leyenda!$C$7,IF(C168=6,Leyenda!$C$8,IF(C168=7,Leyenda!$C$9,IF(C168=8,Leyenda!$C$10," "))))))))&amp;IF(C168=9,Leyenda!$C$11,IF(C168=10,Leyenda!$C$12,IF(C168=11,Leyenda!$C$13,IF(C168=12,Leyenda!D225," "))))</f>
        <v xml:space="preserve">GASTOS DE ACTIVOS FIJO </v>
      </c>
      <c r="E168" s="196" t="s">
        <v>1354</v>
      </c>
      <c r="F168" s="247">
        <v>45417</v>
      </c>
      <c r="G168" s="247" t="str">
        <f t="shared" si="17"/>
        <v>mayo</v>
      </c>
      <c r="H168" s="191">
        <v>12</v>
      </c>
      <c r="I168" s="148" t="str">
        <f>TEXT(gastos[[#This Row],[Fecha]],"DDDD")</f>
        <v>domingo</v>
      </c>
      <c r="J168" s="249">
        <f t="shared" si="16"/>
        <v>45424</v>
      </c>
      <c r="K168" s="249"/>
      <c r="L168" s="147"/>
      <c r="M168" s="197">
        <v>0</v>
      </c>
      <c r="N168" s="197">
        <v>3340</v>
      </c>
      <c r="O168" s="198">
        <f t="shared" si="18"/>
        <v>3340</v>
      </c>
      <c r="P168" s="199">
        <v>0</v>
      </c>
      <c r="Q168" s="199">
        <v>0</v>
      </c>
      <c r="R168" s="199">
        <v>0</v>
      </c>
      <c r="S168">
        <v>0</v>
      </c>
      <c r="T168" s="200" t="str">
        <f>IFERROR(VLOOKUP($A168,Tabla3[#All],2,0),"no esta registrado")</f>
        <v>Strata, S.R.L.</v>
      </c>
    </row>
    <row r="169" spans="1:20" ht="16.5" hidden="1" x14ac:dyDescent="0.3">
      <c r="A169" s="230" t="s">
        <v>577</v>
      </c>
      <c r="B169" s="193">
        <v>1</v>
      </c>
      <c r="C169" s="194">
        <v>4</v>
      </c>
      <c r="D169" s="195" t="str">
        <f>IF(C169=1,Leyenda!$C$3,IF(C169=2,Leyenda!$C$4,IF(C169=3,Leyenda!$C$5,IF(C169=4,Leyenda!$C$6,IF(C169=5,Leyenda!$C$7,IF(C169=6,Leyenda!$C$8,IF(C169=7,Leyenda!$C$9,IF(C169=8,Leyenda!$C$10," "))))))))&amp;IF(C169=9,Leyenda!$C$11,IF(C169=10,Leyenda!$C$12,IF(C169=11,Leyenda!$C$13,IF(C169=12,Leyenda!D226," "))))</f>
        <v xml:space="preserve">GASTOS DE ACTIVOS FIJO </v>
      </c>
      <c r="E169" s="196" t="s">
        <v>1355</v>
      </c>
      <c r="F169" s="247">
        <v>45417</v>
      </c>
      <c r="G169" s="247" t="str">
        <f t="shared" si="17"/>
        <v>mayo</v>
      </c>
      <c r="H169" s="191">
        <v>14</v>
      </c>
      <c r="I169" s="148" t="str">
        <f>TEXT(gastos[[#This Row],[Fecha]],"DDDD")</f>
        <v>martes</v>
      </c>
      <c r="J169" s="249">
        <f t="shared" si="16"/>
        <v>45426</v>
      </c>
      <c r="K169" s="249"/>
      <c r="L169" s="147"/>
      <c r="M169" s="197">
        <v>0</v>
      </c>
      <c r="N169" s="197">
        <v>1660</v>
      </c>
      <c r="O169" s="198">
        <f t="shared" si="18"/>
        <v>1660</v>
      </c>
      <c r="P169" s="199">
        <v>0</v>
      </c>
      <c r="Q169" s="199">
        <v>0</v>
      </c>
      <c r="R169" s="199">
        <v>0</v>
      </c>
      <c r="S169">
        <v>0</v>
      </c>
      <c r="T169" s="200" t="str">
        <f>IFERROR(VLOOKUP($A169,Tabla3[#All],2,0),"no esta registrado")</f>
        <v>Isla Dominicana de Petroleo, Corp.</v>
      </c>
    </row>
    <row r="170" spans="1:20" ht="16.5" hidden="1" x14ac:dyDescent="0.3">
      <c r="A170" s="230" t="s">
        <v>909</v>
      </c>
      <c r="B170" s="193">
        <v>1</v>
      </c>
      <c r="C170" s="194">
        <v>4</v>
      </c>
      <c r="D170" s="195" t="str">
        <f>IF(C170=1,Leyenda!$C$3,IF(C170=2,Leyenda!$C$4,IF(C170=3,Leyenda!$C$5,IF(C170=4,Leyenda!$C$6,IF(C170=5,Leyenda!$C$7,IF(C170=6,Leyenda!$C$8,IF(C170=7,Leyenda!$C$9,IF(C170=8,Leyenda!$C$10," "))))))))&amp;IF(C170=9,Leyenda!$C$11,IF(C170=10,Leyenda!$C$12,IF(C170=11,Leyenda!$C$13,IF(C170=12,Leyenda!D227," "))))</f>
        <v xml:space="preserve">GASTOS DE ACTIVOS FIJO </v>
      </c>
      <c r="E170" s="196" t="s">
        <v>1356</v>
      </c>
      <c r="F170" s="247">
        <v>45417</v>
      </c>
      <c r="G170" s="247" t="str">
        <f t="shared" si="17"/>
        <v>mayo</v>
      </c>
      <c r="H170" s="191">
        <v>28</v>
      </c>
      <c r="I170" s="148" t="str">
        <f>TEXT(gastos[[#This Row],[Fecha]],"DDDD")</f>
        <v>martes</v>
      </c>
      <c r="J170" s="249">
        <f t="shared" si="16"/>
        <v>45440</v>
      </c>
      <c r="K170" s="249"/>
      <c r="L170" s="147"/>
      <c r="M170" s="197">
        <v>0</v>
      </c>
      <c r="N170" s="197">
        <v>3387</v>
      </c>
      <c r="O170" s="198">
        <f t="shared" si="18"/>
        <v>3387</v>
      </c>
      <c r="P170" s="199">
        <v>0</v>
      </c>
      <c r="Q170" s="199">
        <v>0</v>
      </c>
      <c r="R170" s="199">
        <v>0</v>
      </c>
      <c r="S170">
        <v>0</v>
      </c>
      <c r="T170" s="200" t="str">
        <f>IFERROR(VLOOKUP($A170,Tabla3[#All],2,0),"no esta registrado")</f>
        <v>Strata, S.R.L.</v>
      </c>
    </row>
    <row r="171" spans="1:20" ht="16.5" hidden="1" x14ac:dyDescent="0.3">
      <c r="A171" s="231" t="s">
        <v>1357</v>
      </c>
      <c r="B171" s="193">
        <v>1</v>
      </c>
      <c r="C171" s="194">
        <v>2</v>
      </c>
      <c r="D171" s="195" t="str">
        <f>IF(C171=1,Leyenda!$C$3,IF(C171=2,Leyenda!$C$4,IF(C171=3,Leyenda!$C$5,IF(C171=4,Leyenda!$C$6,IF(C171=5,Leyenda!$C$7,IF(C171=6,Leyenda!$C$8,IF(C171=7,Leyenda!$C$9,IF(C171=8,Leyenda!$C$10," "))))))))&amp;IF(C171=9,Leyenda!$C$11,IF(C171=10,Leyenda!$C$12,IF(C171=11,Leyenda!$C$13,IF(C171=12,Leyenda!D228," "))))</f>
        <v xml:space="preserve">GASTOS POR TRABAJOS, SUMINISTROS Y SERVICIOS </v>
      </c>
      <c r="E171" s="196" t="s">
        <v>1358</v>
      </c>
      <c r="F171" s="247">
        <v>45417</v>
      </c>
      <c r="G171" s="247" t="str">
        <f t="shared" si="17"/>
        <v>mayo</v>
      </c>
      <c r="H171" s="191">
        <v>2</v>
      </c>
      <c r="I171" s="148" t="str">
        <f>TEXT(gastos[[#This Row],[Fecha]],"DDDD")</f>
        <v>jueves</v>
      </c>
      <c r="J171" s="249">
        <f t="shared" si="16"/>
        <v>45414</v>
      </c>
      <c r="K171" s="249"/>
      <c r="L171" s="147"/>
      <c r="M171" s="197">
        <v>0</v>
      </c>
      <c r="N171" s="197">
        <v>406.78</v>
      </c>
      <c r="O171" s="198">
        <f t="shared" si="18"/>
        <v>406.78</v>
      </c>
      <c r="P171" s="199">
        <v>73.22</v>
      </c>
      <c r="Q171" s="199">
        <v>0</v>
      </c>
      <c r="R171" s="199">
        <v>0</v>
      </c>
      <c r="S171">
        <v>0</v>
      </c>
      <c r="T171" s="200" t="str">
        <f>IFERROR(VLOOKUP($A171,Tabla3[#All],2,0),"no esta registrado")</f>
        <v>no esta registrado</v>
      </c>
    </row>
    <row r="172" spans="1:20" ht="16.5" hidden="1" x14ac:dyDescent="0.3">
      <c r="A172" s="230" t="s">
        <v>1359</v>
      </c>
      <c r="B172" s="193">
        <v>1</v>
      </c>
      <c r="C172" s="194">
        <v>2</v>
      </c>
      <c r="D172" s="195" t="str">
        <f>IF(C172=1,Leyenda!$C$3,IF(C172=2,Leyenda!$C$4,IF(C172=3,Leyenda!$C$5,IF(C172=4,Leyenda!$C$6,IF(C172=5,Leyenda!$C$7,IF(C172=6,Leyenda!$C$8,IF(C172=7,Leyenda!$C$9,IF(C172=8,Leyenda!$C$10," "))))))))&amp;IF(C172=9,Leyenda!$C$11,IF(C172=10,Leyenda!$C$12,IF(C172=11,Leyenda!$C$13,IF(C172=12,Leyenda!D229," "))))</f>
        <v xml:space="preserve">GASTOS POR TRABAJOS, SUMINISTROS Y SERVICIOS </v>
      </c>
      <c r="E172" s="196" t="s">
        <v>1360</v>
      </c>
      <c r="F172" s="247">
        <v>45417</v>
      </c>
      <c r="G172" s="247" t="str">
        <f t="shared" si="17"/>
        <v>mayo</v>
      </c>
      <c r="H172" s="191">
        <v>20</v>
      </c>
      <c r="I172" s="148" t="str">
        <f>TEXT(gastos[[#This Row],[Fecha]],"DDDD")</f>
        <v>lunes</v>
      </c>
      <c r="J172" s="249">
        <f t="shared" si="16"/>
        <v>45432</v>
      </c>
      <c r="K172" s="249"/>
      <c r="L172" s="147"/>
      <c r="M172" s="197">
        <v>0</v>
      </c>
      <c r="N172" s="197">
        <f>490-74.75</f>
        <v>415.25</v>
      </c>
      <c r="O172" s="198">
        <f t="shared" si="18"/>
        <v>415.25</v>
      </c>
      <c r="P172" s="199">
        <v>74.75</v>
      </c>
      <c r="Q172" s="199">
        <v>0</v>
      </c>
      <c r="R172" s="199">
        <v>0</v>
      </c>
      <c r="S172">
        <v>0</v>
      </c>
      <c r="T172" s="200" t="str">
        <f>IFERROR(VLOOKUP($A172,Tabla3[#All],2,0),"no esta registrado")</f>
        <v>no esta registrado</v>
      </c>
    </row>
    <row r="173" spans="1:20" ht="16.5" hidden="1" x14ac:dyDescent="0.3">
      <c r="A173" s="230" t="s">
        <v>1361</v>
      </c>
      <c r="B173" s="193">
        <v>1</v>
      </c>
      <c r="C173" s="194">
        <v>2</v>
      </c>
      <c r="D173" s="195" t="str">
        <f>IF(C173=1,Leyenda!$C$3,IF(C173=2,Leyenda!$C$4,IF(C173=3,Leyenda!$C$5,IF(C173=4,Leyenda!$C$6,IF(C173=5,Leyenda!$C$7,IF(C173=6,Leyenda!$C$8,IF(C173=7,Leyenda!$C$9,IF(C173=8,Leyenda!$C$10," "))))))))&amp;IF(C173=9,Leyenda!$C$11,IF(C173=10,Leyenda!$C$12,IF(C173=11,Leyenda!$C$13,IF(C173=12,Leyenda!D230," "))))</f>
        <v xml:space="preserve">GASTOS POR TRABAJOS, SUMINISTROS Y SERVICIOS </v>
      </c>
      <c r="E173" s="196" t="s">
        <v>1362</v>
      </c>
      <c r="F173" s="247">
        <v>45417</v>
      </c>
      <c r="G173" s="247" t="str">
        <f t="shared" si="17"/>
        <v>mayo</v>
      </c>
      <c r="H173" s="191">
        <v>14</v>
      </c>
      <c r="I173" s="148" t="str">
        <f>TEXT(gastos[[#This Row],[Fecha]],"DDDD")</f>
        <v>martes</v>
      </c>
      <c r="J173" s="249">
        <f t="shared" si="16"/>
        <v>45426</v>
      </c>
      <c r="K173" s="249"/>
      <c r="L173" s="147"/>
      <c r="M173" s="197">
        <v>0</v>
      </c>
      <c r="N173" s="197">
        <v>2443.4299999999998</v>
      </c>
      <c r="O173" s="198">
        <f t="shared" si="18"/>
        <v>2443.4299999999998</v>
      </c>
      <c r="P173" s="199">
        <v>439.82</v>
      </c>
      <c r="Q173" s="199">
        <v>0</v>
      </c>
      <c r="R173" s="199">
        <v>0</v>
      </c>
      <c r="S173">
        <v>0</v>
      </c>
      <c r="T173" s="200" t="str">
        <f>IFERROR(VLOOKUP($A173,Tabla3[#All],2,0),"no esta registrado")</f>
        <v>no esta registrado</v>
      </c>
    </row>
    <row r="174" spans="1:20" ht="16.5" hidden="1" x14ac:dyDescent="0.3">
      <c r="A174" s="230" t="s">
        <v>1005</v>
      </c>
      <c r="B174" s="193">
        <v>1</v>
      </c>
      <c r="C174" s="194">
        <v>2</v>
      </c>
      <c r="D174" s="195" t="str">
        <f>IF(C174=1,Leyenda!$C$3,IF(C174=2,Leyenda!$C$4,IF(C174=3,Leyenda!$C$5,IF(C174=4,Leyenda!$C$6,IF(C174=5,Leyenda!$C$7,IF(C174=6,Leyenda!$C$8,IF(C174=7,Leyenda!$C$9,IF(C174=8,Leyenda!$C$10," "))))))))&amp;IF(C174=9,Leyenda!$C$11,IF(C174=10,Leyenda!$C$12,IF(C174=11,Leyenda!$C$13,IF(C174=12,Leyenda!D231," "))))</f>
        <v xml:space="preserve">GASTOS POR TRABAJOS, SUMINISTROS Y SERVICIOS </v>
      </c>
      <c r="E174" s="196" t="s">
        <v>1363</v>
      </c>
      <c r="F174" s="247">
        <v>45417</v>
      </c>
      <c r="G174" s="247" t="str">
        <f t="shared" si="17"/>
        <v>mayo</v>
      </c>
      <c r="H174" s="191">
        <v>22</v>
      </c>
      <c r="I174" s="148" t="str">
        <f>TEXT(gastos[[#This Row],[Fecha]],"DDDD")</f>
        <v>miércoles</v>
      </c>
      <c r="J174" s="249">
        <f t="shared" si="16"/>
        <v>45434</v>
      </c>
      <c r="K174" s="249"/>
      <c r="L174" s="147"/>
      <c r="M174" s="197">
        <v>0</v>
      </c>
      <c r="N174" s="197">
        <v>800.85</v>
      </c>
      <c r="O174" s="198">
        <f t="shared" si="18"/>
        <v>800.85</v>
      </c>
      <c r="P174" s="199">
        <v>144.15</v>
      </c>
      <c r="Q174" s="199">
        <v>0</v>
      </c>
      <c r="R174" s="199">
        <v>0</v>
      </c>
      <c r="S174">
        <v>0</v>
      </c>
      <c r="T174" s="200" t="str">
        <f>IFERROR(VLOOKUP($A174,Tabla3[#All],2,0),"no esta registrado")</f>
        <v>Blue WI SDQ, S.R.L.</v>
      </c>
    </row>
    <row r="175" spans="1:20" ht="16.5" hidden="1" x14ac:dyDescent="0.3">
      <c r="A175" s="230" t="s">
        <v>711</v>
      </c>
      <c r="B175" s="193">
        <v>1</v>
      </c>
      <c r="C175" s="194">
        <v>2</v>
      </c>
      <c r="D175" s="195" t="str">
        <f>IF(C175=1,Leyenda!$C$3,IF(C175=2,Leyenda!$C$4,IF(C175=3,Leyenda!$C$5,IF(C175=4,Leyenda!$C$6,IF(C175=5,Leyenda!$C$7,IF(C175=6,Leyenda!$C$8,IF(C175=7,Leyenda!$C$9,IF(C175=8,Leyenda!$C$10," "))))))))&amp;IF(C175=9,Leyenda!$C$11,IF(C175=10,Leyenda!$C$12,IF(C175=11,Leyenda!$C$13,IF(C175=12,Leyenda!D232," "))))</f>
        <v xml:space="preserve">GASTOS POR TRABAJOS, SUMINISTROS Y SERVICIOS </v>
      </c>
      <c r="E175" s="196" t="s">
        <v>1364</v>
      </c>
      <c r="F175" s="247">
        <v>45417</v>
      </c>
      <c r="G175" s="247" t="str">
        <f t="shared" si="17"/>
        <v>mayo</v>
      </c>
      <c r="H175" s="191">
        <v>30</v>
      </c>
      <c r="I175" s="148" t="str">
        <f>TEXT(gastos[[#This Row],[Fecha]],"DDDD")</f>
        <v>jueves</v>
      </c>
      <c r="J175" s="249">
        <f t="shared" si="16"/>
        <v>45442</v>
      </c>
      <c r="K175" s="249"/>
      <c r="L175" s="147"/>
      <c r="M175" s="197">
        <v>0</v>
      </c>
      <c r="N175" s="197">
        <f>794.95-121.27</f>
        <v>673.68000000000006</v>
      </c>
      <c r="O175" s="198">
        <f t="shared" si="18"/>
        <v>673.68000000000006</v>
      </c>
      <c r="P175" s="199">
        <v>121.27</v>
      </c>
      <c r="Q175" s="199">
        <v>0</v>
      </c>
      <c r="R175" s="199">
        <v>0</v>
      </c>
      <c r="S175">
        <v>0</v>
      </c>
      <c r="T175" s="200" t="str">
        <f>IFERROR(VLOOKUP($A175,Tabla3[#All],2,0),"no esta registrado")</f>
        <v>Antonio Chahin M., S.A.//Anthony s</v>
      </c>
    </row>
    <row r="176" spans="1:20" ht="16.5" hidden="1" x14ac:dyDescent="0.3">
      <c r="A176" s="231" t="s">
        <v>711</v>
      </c>
      <c r="B176" s="193">
        <v>1</v>
      </c>
      <c r="C176" s="194">
        <v>2</v>
      </c>
      <c r="D176" s="195" t="str">
        <f>IF(C176=1,Leyenda!$C$3,IF(C176=2,Leyenda!$C$4,IF(C176=3,Leyenda!$C$5,IF(C176=4,Leyenda!$C$6,IF(C176=5,Leyenda!$C$7,IF(C176=6,Leyenda!$C$8,IF(C176=7,Leyenda!$C$9,IF(C176=8,Leyenda!$C$10," "))))))))&amp;IF(C176=9,Leyenda!$C$11,IF(C176=10,Leyenda!$C$12,IF(C176=11,Leyenda!$C$13,IF(C176=12,Leyenda!D233," "))))</f>
        <v xml:space="preserve">GASTOS POR TRABAJOS, SUMINISTROS Y SERVICIOS </v>
      </c>
      <c r="E176" s="196" t="s">
        <v>1365</v>
      </c>
      <c r="F176" s="247">
        <v>45417</v>
      </c>
      <c r="G176" s="247" t="str">
        <f t="shared" si="17"/>
        <v>mayo</v>
      </c>
      <c r="H176" s="191">
        <v>30</v>
      </c>
      <c r="I176" s="148" t="str">
        <f>TEXT(gastos[[#This Row],[Fecha]],"DDDD")</f>
        <v>jueves</v>
      </c>
      <c r="J176" s="249">
        <f t="shared" si="16"/>
        <v>45442</v>
      </c>
      <c r="K176" s="249"/>
      <c r="L176" s="147"/>
      <c r="M176" s="197">
        <v>0</v>
      </c>
      <c r="N176" s="197">
        <f>1294.95-197.54</f>
        <v>1097.4100000000001</v>
      </c>
      <c r="O176" s="198">
        <f t="shared" si="18"/>
        <v>1097.4100000000001</v>
      </c>
      <c r="P176" s="199">
        <v>197.54</v>
      </c>
      <c r="Q176" s="199">
        <v>0</v>
      </c>
      <c r="R176" s="199">
        <v>0</v>
      </c>
      <c r="S176">
        <v>0</v>
      </c>
      <c r="T176" s="200" t="str">
        <f>IFERROR(VLOOKUP($A176,Tabla3[#All],2,0),"no esta registrado")</f>
        <v>Antonio Chahin M., S.A.//Anthony s</v>
      </c>
    </row>
    <row r="177" spans="1:20" ht="16.5" hidden="1" x14ac:dyDescent="0.3">
      <c r="A177" s="230" t="s">
        <v>1366</v>
      </c>
      <c r="B177" s="193">
        <v>1</v>
      </c>
      <c r="C177" s="194">
        <v>2</v>
      </c>
      <c r="D177" s="195" t="str">
        <f>IF(C177=1,Leyenda!$C$3,IF(C177=2,Leyenda!$C$4,IF(C177=3,Leyenda!$C$5,IF(C177=4,Leyenda!$C$6,IF(C177=5,Leyenda!$C$7,IF(C177=6,Leyenda!$C$8,IF(C177=7,Leyenda!$C$9,IF(C177=8,Leyenda!$C$10," "))))))))&amp;IF(C177=9,Leyenda!$C$11,IF(C177=10,Leyenda!$C$12,IF(C177=11,Leyenda!$C$13,IF(C177=12,Leyenda!D234," "))))</f>
        <v xml:space="preserve">GASTOS POR TRABAJOS, SUMINISTROS Y SERVICIOS </v>
      </c>
      <c r="E177" s="196" t="s">
        <v>1367</v>
      </c>
      <c r="F177" s="247">
        <v>45417</v>
      </c>
      <c r="G177" s="247" t="str">
        <f t="shared" si="17"/>
        <v>mayo</v>
      </c>
      <c r="H177" s="191">
        <v>31</v>
      </c>
      <c r="I177" s="148" t="str">
        <f>TEXT(gastos[[#This Row],[Fecha]],"DDDD")</f>
        <v>viernes</v>
      </c>
      <c r="J177" s="249">
        <f t="shared" si="16"/>
        <v>45443</v>
      </c>
      <c r="K177" s="249"/>
      <c r="L177" s="147"/>
      <c r="M177" s="197">
        <v>0</v>
      </c>
      <c r="N177" s="197">
        <f>4160-634.58</f>
        <v>3525.42</v>
      </c>
      <c r="O177" s="198">
        <f t="shared" si="18"/>
        <v>3525.42</v>
      </c>
      <c r="P177" s="199">
        <v>634.58000000000004</v>
      </c>
      <c r="Q177" s="199">
        <v>0</v>
      </c>
      <c r="R177" s="199">
        <v>0</v>
      </c>
      <c r="S177">
        <v>0</v>
      </c>
      <c r="T177" s="200" t="str">
        <f>IFERROR(VLOOKUP($A177,Tabla3[#All],2,0),"no esta registrado")</f>
        <v>no esta registrado</v>
      </c>
    </row>
    <row r="178" spans="1:20" ht="16.5" hidden="1" x14ac:dyDescent="0.3">
      <c r="A178" s="230" t="s">
        <v>1128</v>
      </c>
      <c r="B178" s="193">
        <v>1</v>
      </c>
      <c r="C178" s="194">
        <v>2</v>
      </c>
      <c r="D178" s="195" t="str">
        <f>IF(C178=1,Leyenda!$C$3,IF(C178=2,Leyenda!$C$4,IF(C178=3,Leyenda!$C$5,IF(C178=4,Leyenda!$C$6,IF(C178=5,Leyenda!$C$7,IF(C178=6,Leyenda!$C$8,IF(C178=7,Leyenda!$C$9,IF(C178=8,Leyenda!$C$10," "))))))))&amp;IF(C178=9,Leyenda!$C$11,IF(C178=10,Leyenda!$C$12,IF(C178=11,Leyenda!$C$13,IF(C178=12,Leyenda!D235," "))))</f>
        <v xml:space="preserve">GASTOS POR TRABAJOS, SUMINISTROS Y SERVICIOS </v>
      </c>
      <c r="E178" s="196" t="s">
        <v>1368</v>
      </c>
      <c r="F178" s="247">
        <v>45417</v>
      </c>
      <c r="G178" s="247" t="str">
        <f t="shared" si="17"/>
        <v>mayo</v>
      </c>
      <c r="H178" s="191">
        <v>23</v>
      </c>
      <c r="I178" s="148" t="str">
        <f>TEXT(gastos[[#This Row],[Fecha]],"DDDD")</f>
        <v>jueves</v>
      </c>
      <c r="J178" s="249">
        <f t="shared" si="16"/>
        <v>45435</v>
      </c>
      <c r="K178" s="249"/>
      <c r="L178" s="147"/>
      <c r="M178" s="197">
        <v>0</v>
      </c>
      <c r="N178" s="197">
        <f>1079.96-164.74</f>
        <v>915.22</v>
      </c>
      <c r="O178" s="198">
        <f t="shared" si="18"/>
        <v>915.22</v>
      </c>
      <c r="P178" s="199">
        <v>164.74</v>
      </c>
      <c r="Q178" s="199">
        <v>0</v>
      </c>
      <c r="R178" s="199">
        <v>0</v>
      </c>
      <c r="S178">
        <v>0</v>
      </c>
      <c r="T178" s="200" t="str">
        <f>IFERROR(VLOOKUP($A178,Tabla3[#All],2,0),"no esta registrado")</f>
        <v>Abastek Marketing SRL</v>
      </c>
    </row>
    <row r="179" spans="1:20" ht="16.5" hidden="1" x14ac:dyDescent="0.3">
      <c r="A179" s="230" t="s">
        <v>711</v>
      </c>
      <c r="B179" s="193">
        <v>1</v>
      </c>
      <c r="C179" s="194">
        <v>2</v>
      </c>
      <c r="D179" s="195" t="str">
        <f>IF(C179=1,Leyenda!$C$3,IF(C179=2,Leyenda!$C$4,IF(C179=3,Leyenda!$C$5,IF(C179=4,Leyenda!$C$6,IF(C179=5,Leyenda!$C$7,IF(C179=6,Leyenda!$C$8,IF(C179=7,Leyenda!$C$9,IF(C179=8,Leyenda!$C$10," "))))))))&amp;IF(C179=9,Leyenda!$C$11,IF(C179=10,Leyenda!$C$12,IF(C179=11,Leyenda!$C$13,IF(C179=12,Leyenda!D236," "))))</f>
        <v xml:space="preserve">GASTOS POR TRABAJOS, SUMINISTROS Y SERVICIOS </v>
      </c>
      <c r="E179" s="196" t="s">
        <v>1369</v>
      </c>
      <c r="F179" s="247">
        <v>45417</v>
      </c>
      <c r="G179" s="247" t="str">
        <f t="shared" si="17"/>
        <v>mayo</v>
      </c>
      <c r="H179" s="191">
        <v>25</v>
      </c>
      <c r="I179" s="148" t="str">
        <f>TEXT(gastos[[#This Row],[Fecha]],"DDDD")</f>
        <v>sábado</v>
      </c>
      <c r="J179" s="249">
        <f t="shared" si="16"/>
        <v>45437</v>
      </c>
      <c r="K179" s="249"/>
      <c r="L179" s="147"/>
      <c r="M179" s="197">
        <v>0</v>
      </c>
      <c r="N179" s="197">
        <f>795.01-121.27</f>
        <v>673.74</v>
      </c>
      <c r="O179" s="198">
        <f t="shared" si="18"/>
        <v>673.74</v>
      </c>
      <c r="P179" s="199">
        <v>121.27</v>
      </c>
      <c r="Q179" s="199">
        <v>0</v>
      </c>
      <c r="R179" s="199">
        <v>0</v>
      </c>
      <c r="S179">
        <v>0</v>
      </c>
      <c r="T179" s="200" t="str">
        <f>IFERROR(VLOOKUP($A179,Tabla3[#All],2,0),"no esta registrado")</f>
        <v>Antonio Chahin M., S.A.//Anthony s</v>
      </c>
    </row>
    <row r="180" spans="1:20" ht="16.5" hidden="1" x14ac:dyDescent="0.3">
      <c r="A180" s="230" t="s">
        <v>1370</v>
      </c>
      <c r="B180" s="193">
        <v>1</v>
      </c>
      <c r="C180" s="194">
        <v>2</v>
      </c>
      <c r="D180" s="195" t="str">
        <f>IF(C180=1,Leyenda!$C$3,IF(C180=2,Leyenda!$C$4,IF(C180=3,Leyenda!$C$5,IF(C180=4,Leyenda!$C$6,IF(C180=5,Leyenda!$C$7,IF(C180=6,Leyenda!$C$8,IF(C180=7,Leyenda!$C$9,IF(C180=8,Leyenda!$C$10," "))))))))&amp;IF(C180=9,Leyenda!$C$11,IF(C180=10,Leyenda!$C$12,IF(C180=11,Leyenda!$C$13,IF(C180=12,Leyenda!D237," "))))</f>
        <v xml:space="preserve">GASTOS POR TRABAJOS, SUMINISTROS Y SERVICIOS </v>
      </c>
      <c r="E180" s="196" t="s">
        <v>1371</v>
      </c>
      <c r="F180" s="247">
        <v>45417</v>
      </c>
      <c r="G180" s="247" t="str">
        <f t="shared" si="17"/>
        <v>mayo</v>
      </c>
      <c r="H180" s="191">
        <v>26</v>
      </c>
      <c r="I180" s="148" t="str">
        <f>TEXT(gastos[[#This Row],[Fecha]],"DDDD")</f>
        <v>domingo</v>
      </c>
      <c r="J180" s="249">
        <f t="shared" si="16"/>
        <v>45438</v>
      </c>
      <c r="K180" s="249"/>
      <c r="L180" s="147"/>
      <c r="M180" s="197">
        <v>0</v>
      </c>
      <c r="N180" s="197">
        <v>5645</v>
      </c>
      <c r="O180" s="198">
        <f t="shared" si="18"/>
        <v>5645</v>
      </c>
      <c r="P180" s="199">
        <v>1016.1</v>
      </c>
      <c r="Q180" s="199">
        <v>0</v>
      </c>
      <c r="R180" s="199">
        <v>565</v>
      </c>
      <c r="S180">
        <v>0</v>
      </c>
      <c r="T180" s="200" t="str">
        <f>IFERROR(VLOOKUP($A180,Tabla3[#All],2,0),"no esta registrado")</f>
        <v>no esta registrado</v>
      </c>
    </row>
    <row r="181" spans="1:20" ht="16.5" hidden="1" x14ac:dyDescent="0.3">
      <c r="A181" s="230" t="s">
        <v>742</v>
      </c>
      <c r="B181" s="193">
        <v>1</v>
      </c>
      <c r="C181" s="194">
        <v>2</v>
      </c>
      <c r="D181" s="195" t="str">
        <f>IF(C181=1,Leyenda!$C$3,IF(C181=2,Leyenda!$C$4,IF(C181=3,Leyenda!$C$5,IF(C181=4,Leyenda!$C$6,IF(C181=5,Leyenda!$C$7,IF(C181=6,Leyenda!$C$8,IF(C181=7,Leyenda!$C$9,IF(C181=8,Leyenda!$C$10," "))))))))&amp;IF(C181=9,Leyenda!$C$11,IF(C181=10,Leyenda!$C$12,IF(C181=11,Leyenda!$C$13,IF(C181=12,Leyenda!D238," "))))</f>
        <v xml:space="preserve">GASTOS POR TRABAJOS, SUMINISTROS Y SERVICIOS </v>
      </c>
      <c r="E181" s="196" t="s">
        <v>1372</v>
      </c>
      <c r="F181" s="247">
        <v>45417</v>
      </c>
      <c r="G181" s="247" t="str">
        <f t="shared" si="17"/>
        <v>mayo</v>
      </c>
      <c r="H181" s="191">
        <v>21</v>
      </c>
      <c r="I181" s="148" t="str">
        <f>TEXT(gastos[[#This Row],[Fecha]],"DDDD")</f>
        <v>martes</v>
      </c>
      <c r="J181" s="249">
        <f t="shared" si="16"/>
        <v>45433</v>
      </c>
      <c r="K181" s="249"/>
      <c r="L181" s="147"/>
      <c r="M181" s="197">
        <v>0</v>
      </c>
      <c r="N181" s="197">
        <v>1139.82</v>
      </c>
      <c r="O181" s="198">
        <f t="shared" si="18"/>
        <v>1139.82</v>
      </c>
      <c r="P181" s="199">
        <v>205.17</v>
      </c>
      <c r="Q181" s="199">
        <v>0</v>
      </c>
      <c r="R181" s="199">
        <v>0</v>
      </c>
      <c r="S181">
        <v>0</v>
      </c>
      <c r="T181" s="200" t="str">
        <f>IFERROR(VLOOKUP($A181,Tabla3[#All],2,0),"no esta registrado")</f>
        <v>Narex, S.A.//Pizza Hut</v>
      </c>
    </row>
    <row r="182" spans="1:20" ht="16.5" hidden="1" x14ac:dyDescent="0.3">
      <c r="A182" s="230" t="s">
        <v>551</v>
      </c>
      <c r="B182" s="193">
        <v>1</v>
      </c>
      <c r="C182" s="194">
        <v>2</v>
      </c>
      <c r="D182" s="195" t="str">
        <f>IF(C182=1,Leyenda!$C$3,IF(C182=2,Leyenda!$C$4,IF(C182=3,Leyenda!$C$5,IF(C182=4,Leyenda!$C$6,IF(C182=5,Leyenda!$C$7,IF(C182=6,Leyenda!$C$8,IF(C182=7,Leyenda!$C$9,IF(C182=8,Leyenda!$C$10," "))))))))&amp;IF(C182=9,Leyenda!$C$11,IF(C182=10,Leyenda!$C$12,IF(C182=11,Leyenda!$C$13,IF(C182=12,Leyenda!D239," "))))</f>
        <v xml:space="preserve">GASTOS POR TRABAJOS, SUMINISTROS Y SERVICIOS </v>
      </c>
      <c r="E182" s="196" t="s">
        <v>1373</v>
      </c>
      <c r="F182" s="247">
        <v>45417</v>
      </c>
      <c r="G182" s="247" t="str">
        <f t="shared" si="17"/>
        <v>mayo</v>
      </c>
      <c r="H182" s="191">
        <v>26</v>
      </c>
      <c r="I182" s="148" t="str">
        <f>TEXT(gastos[[#This Row],[Fecha]],"DDDD")</f>
        <v>domingo</v>
      </c>
      <c r="J182" s="249">
        <f t="shared" si="16"/>
        <v>45438</v>
      </c>
      <c r="K182" s="249"/>
      <c r="L182" s="147"/>
      <c r="M182" s="197">
        <v>0</v>
      </c>
      <c r="N182" s="197">
        <v>7486.01</v>
      </c>
      <c r="O182" s="198">
        <f t="shared" si="18"/>
        <v>7486.01</v>
      </c>
      <c r="P182" s="199">
        <v>1347.48</v>
      </c>
      <c r="Q182" s="199">
        <v>0</v>
      </c>
      <c r="R182" s="199">
        <v>0</v>
      </c>
      <c r="S182">
        <v>0</v>
      </c>
      <c r="T182" s="200" t="str">
        <f>IFERROR(VLOOKUP($A182,Tabla3[#All],2,0),"no esta registrado")</f>
        <v>Almacenes Unidos, S.A.S.</v>
      </c>
    </row>
    <row r="183" spans="1:20" ht="16.5" hidden="1" x14ac:dyDescent="0.3">
      <c r="A183" s="230" t="s">
        <v>641</v>
      </c>
      <c r="B183" s="193">
        <v>1</v>
      </c>
      <c r="C183" s="194">
        <v>2</v>
      </c>
      <c r="D183" s="195" t="str">
        <f>IF(C183=1,Leyenda!$C$3,IF(C183=2,Leyenda!$C$4,IF(C183=3,Leyenda!$C$5,IF(C183=4,Leyenda!$C$6,IF(C183=5,Leyenda!$C$7,IF(C183=6,Leyenda!$C$8,IF(C183=7,Leyenda!$C$9,IF(C183=8,Leyenda!$C$10," "))))))))&amp;IF(C183=9,Leyenda!$C$11,IF(C183=10,Leyenda!$C$12,IF(C183=11,Leyenda!$C$13,IF(C183=12,Leyenda!D240," "))))</f>
        <v xml:space="preserve">GASTOS POR TRABAJOS, SUMINISTROS Y SERVICIOS </v>
      </c>
      <c r="E183" s="196" t="s">
        <v>1374</v>
      </c>
      <c r="F183" s="247">
        <v>45417</v>
      </c>
      <c r="G183" s="247" t="str">
        <f t="shared" si="17"/>
        <v>mayo</v>
      </c>
      <c r="H183" s="191">
        <v>10</v>
      </c>
      <c r="I183" s="148" t="str">
        <f>TEXT(gastos[[#This Row],[Fecha]],"DDDD")</f>
        <v>viernes</v>
      </c>
      <c r="J183" s="249">
        <f t="shared" si="16"/>
        <v>45422</v>
      </c>
      <c r="K183" s="249"/>
      <c r="L183" s="147"/>
      <c r="M183" s="197">
        <v>0</v>
      </c>
      <c r="N183" s="197">
        <v>828.12</v>
      </c>
      <c r="O183" s="198">
        <f t="shared" si="18"/>
        <v>828.12</v>
      </c>
      <c r="P183" s="199">
        <v>149.06</v>
      </c>
      <c r="Q183" s="199">
        <v>0</v>
      </c>
      <c r="R183" s="199">
        <v>82.81</v>
      </c>
      <c r="S183">
        <v>0</v>
      </c>
      <c r="T183" s="200" t="str">
        <f>IFERROR(VLOOKUP($A183,Tabla3[#All],2,0),"no esta registrado")</f>
        <v>Mc Donalds Los Pinos</v>
      </c>
    </row>
    <row r="184" spans="1:20" ht="16.5" hidden="1" x14ac:dyDescent="0.3">
      <c r="A184" s="230" t="s">
        <v>1375</v>
      </c>
      <c r="B184" s="193">
        <v>1</v>
      </c>
      <c r="C184" s="194">
        <v>2</v>
      </c>
      <c r="D184" s="195" t="str">
        <f>IF(C184=1,Leyenda!$C$3,IF(C184=2,Leyenda!$C$4,IF(C184=3,Leyenda!$C$5,IF(C184=4,Leyenda!$C$6,IF(C184=5,Leyenda!$C$7,IF(C184=6,Leyenda!$C$8,IF(C184=7,Leyenda!$C$9,IF(C184=8,Leyenda!$C$10," "))))))))&amp;IF(C184=9,Leyenda!$C$11,IF(C184=10,Leyenda!$C$12,IF(C184=11,Leyenda!$C$13,IF(C184=12,Leyenda!D241," "))))</f>
        <v xml:space="preserve">GASTOS POR TRABAJOS, SUMINISTROS Y SERVICIOS </v>
      </c>
      <c r="E184" s="196" t="s">
        <v>1376</v>
      </c>
      <c r="F184" s="247">
        <v>45417</v>
      </c>
      <c r="G184" s="247" t="str">
        <f t="shared" si="17"/>
        <v>mayo</v>
      </c>
      <c r="H184" s="191">
        <v>25</v>
      </c>
      <c r="I184" s="148" t="str">
        <f>TEXT(gastos[[#This Row],[Fecha]],"DDDD")</f>
        <v>sábado</v>
      </c>
      <c r="J184" s="249">
        <f t="shared" si="16"/>
        <v>45437</v>
      </c>
      <c r="K184" s="249"/>
      <c r="L184" s="147"/>
      <c r="M184" s="197">
        <v>0</v>
      </c>
      <c r="N184" s="197">
        <f>1995-305.93</f>
        <v>1689.07</v>
      </c>
      <c r="O184" s="198">
        <f t="shared" si="18"/>
        <v>1689.07</v>
      </c>
      <c r="P184" s="199">
        <v>304.93</v>
      </c>
      <c r="Q184" s="199">
        <v>0</v>
      </c>
      <c r="R184" s="199">
        <v>0</v>
      </c>
      <c r="S184" s="199">
        <v>0</v>
      </c>
      <c r="T184" s="200" t="str">
        <f>IFERROR(VLOOKUP($A184,Tabla3[#All],2,0),"no esta registrado")</f>
        <v>no esta registrado</v>
      </c>
    </row>
    <row r="185" spans="1:20" ht="16.5" hidden="1" x14ac:dyDescent="0.3">
      <c r="A185" s="230" t="s">
        <v>511</v>
      </c>
      <c r="B185" s="193">
        <v>1</v>
      </c>
      <c r="C185" s="194">
        <v>2</v>
      </c>
      <c r="D185" s="195" t="str">
        <f>IF(C185=1,Leyenda!$C$3,IF(C185=2,Leyenda!$C$4,IF(C185=3,Leyenda!$C$5,IF(C185=4,Leyenda!$C$6,IF(C185=5,Leyenda!$C$7,IF(C185=6,Leyenda!$C$8,IF(C185=7,Leyenda!$C$9,IF(C185=8,Leyenda!$C$10," "))))))))&amp;IF(C185=9,Leyenda!$C$11,IF(C185=10,Leyenda!$C$12,IF(C185=11,Leyenda!$C$13,IF(C185=12,Leyenda!D242," "))))</f>
        <v xml:space="preserve">GASTOS POR TRABAJOS, SUMINISTROS Y SERVICIOS </v>
      </c>
      <c r="E185" s="196" t="s">
        <v>1377</v>
      </c>
      <c r="F185" s="247">
        <v>45417</v>
      </c>
      <c r="G185" s="247" t="str">
        <f t="shared" si="17"/>
        <v>mayo</v>
      </c>
      <c r="H185" s="191">
        <v>3</v>
      </c>
      <c r="I185" s="148" t="str">
        <f>TEXT(gastos[[#This Row],[Fecha]],"DDDD")</f>
        <v>viernes</v>
      </c>
      <c r="J185" s="249">
        <f t="shared" si="16"/>
        <v>45415</v>
      </c>
      <c r="K185" s="249"/>
      <c r="L185" s="147"/>
      <c r="M185" s="197">
        <v>0</v>
      </c>
      <c r="N185" s="197">
        <f>17007-1415.86</f>
        <v>15591.14</v>
      </c>
      <c r="O185" s="198">
        <f t="shared" si="18"/>
        <v>15591.14</v>
      </c>
      <c r="P185" s="199">
        <v>1415.86</v>
      </c>
      <c r="Q185" s="199">
        <v>0</v>
      </c>
      <c r="R185" s="199">
        <v>0</v>
      </c>
      <c r="S185">
        <v>0</v>
      </c>
      <c r="T185" s="200" t="str">
        <f>IFERROR(VLOOKUP($A185,Tabla3[#All],2,0),"no esta registrado")</f>
        <v>Bravo, S.A.//Supermercados Bravo</v>
      </c>
    </row>
    <row r="186" spans="1:20" ht="16.5" hidden="1" x14ac:dyDescent="0.3">
      <c r="A186" s="230" t="s">
        <v>511</v>
      </c>
      <c r="B186" s="193">
        <v>1</v>
      </c>
      <c r="C186" s="194">
        <v>2</v>
      </c>
      <c r="D186" s="195" t="str">
        <f>IF(C186=1,Leyenda!$C$3,IF(C186=2,Leyenda!$C$4,IF(C186=3,Leyenda!$C$5,IF(C186=4,Leyenda!$C$6,IF(C186=5,Leyenda!$C$7,IF(C186=6,Leyenda!$C$8,IF(C186=7,Leyenda!$C$9,IF(C186=8,Leyenda!$C$10," "))))))))&amp;IF(C186=9,Leyenda!$C$11,IF(C186=10,Leyenda!$C$12,IF(C186=11,Leyenda!$C$13,IF(C186=12,Leyenda!D243," "))))</f>
        <v xml:space="preserve">GASTOS POR TRABAJOS, SUMINISTROS Y SERVICIOS </v>
      </c>
      <c r="E186" s="196" t="s">
        <v>1378</v>
      </c>
      <c r="F186" s="247">
        <v>45417</v>
      </c>
      <c r="G186" s="247" t="str">
        <f t="shared" si="17"/>
        <v>mayo</v>
      </c>
      <c r="H186" s="191">
        <v>8</v>
      </c>
      <c r="I186" s="148" t="str">
        <f>TEXT(gastos[[#This Row],[Fecha]],"DDDD")</f>
        <v>miércoles</v>
      </c>
      <c r="J186" s="249">
        <f t="shared" si="16"/>
        <v>45420</v>
      </c>
      <c r="K186" s="249"/>
      <c r="L186" s="147"/>
      <c r="M186" s="197">
        <v>0</v>
      </c>
      <c r="N186" s="197">
        <f>3530-307.4</f>
        <v>3222.6</v>
      </c>
      <c r="O186" s="198">
        <f t="shared" si="18"/>
        <v>3222.6</v>
      </c>
      <c r="P186" s="199">
        <v>307.39999999999998</v>
      </c>
      <c r="Q186" s="199">
        <v>0</v>
      </c>
      <c r="R186" s="199">
        <v>0</v>
      </c>
      <c r="S186">
        <v>0</v>
      </c>
      <c r="T186" s="200" t="str">
        <f>IFERROR(VLOOKUP($A186,Tabla3[#All],2,0),"no esta registrado")</f>
        <v>Bravo, S.A.//Supermercados Bravo</v>
      </c>
    </row>
    <row r="187" spans="1:20" ht="16.5" hidden="1" x14ac:dyDescent="0.3">
      <c r="A187" s="230" t="s">
        <v>504</v>
      </c>
      <c r="B187" s="193">
        <v>1</v>
      </c>
      <c r="C187" s="194">
        <v>2</v>
      </c>
      <c r="D187" s="195" t="str">
        <f>IF(C187=1,Leyenda!$C$3,IF(C187=2,Leyenda!$C$4,IF(C187=3,Leyenda!$C$5,IF(C187=4,Leyenda!$C$6,IF(C187=5,Leyenda!$C$7,IF(C187=6,Leyenda!$C$8,IF(C187=7,Leyenda!$C$9,IF(C187=8,Leyenda!$C$10," "))))))))&amp;IF(C187=9,Leyenda!$C$11,IF(C187=10,Leyenda!$C$12,IF(C187=11,Leyenda!$C$13,IF(C187=12,Leyenda!D244," "))))</f>
        <v xml:space="preserve">GASTOS POR TRABAJOS, SUMINISTROS Y SERVICIOS </v>
      </c>
      <c r="E187" s="196" t="s">
        <v>1379</v>
      </c>
      <c r="F187" s="247">
        <v>45417</v>
      </c>
      <c r="G187" s="247" t="str">
        <f t="shared" si="17"/>
        <v>mayo</v>
      </c>
      <c r="H187" s="191">
        <v>12</v>
      </c>
      <c r="I187" s="148" t="str">
        <f>TEXT(gastos[[#This Row],[Fecha]],"DDDD")</f>
        <v>domingo</v>
      </c>
      <c r="J187" s="249">
        <f t="shared" si="16"/>
        <v>45424</v>
      </c>
      <c r="K187" s="249"/>
      <c r="L187" s="147"/>
      <c r="M187" s="197">
        <v>0</v>
      </c>
      <c r="N187" s="197">
        <v>4313.0200000000004</v>
      </c>
      <c r="O187" s="198">
        <f t="shared" si="18"/>
        <v>4313.0200000000004</v>
      </c>
      <c r="P187" s="199">
        <v>268.67</v>
      </c>
      <c r="Q187" s="199">
        <v>0</v>
      </c>
      <c r="R187" s="199">
        <v>0</v>
      </c>
      <c r="S187">
        <v>0</v>
      </c>
      <c r="T187" s="200" t="str">
        <f>IFERROR(VLOOKUP($A187,Tabla3[#All],2,0),"no esta registrado")</f>
        <v>Centro Cuesta Nacional S.A.S.//Supermercados Nacional//Casa Cuesta//Ferretería Cuesta//JUMBO//Bebemundo</v>
      </c>
    </row>
    <row r="188" spans="1:20" ht="16.5" hidden="1" x14ac:dyDescent="0.3">
      <c r="A188" s="230" t="s">
        <v>511</v>
      </c>
      <c r="B188" s="193">
        <v>1</v>
      </c>
      <c r="C188" s="194">
        <v>2</v>
      </c>
      <c r="D188" s="195" t="str">
        <f>IF(C188=1,Leyenda!$C$3,IF(C188=2,Leyenda!$C$4,IF(C188=3,Leyenda!$C$5,IF(C188=4,Leyenda!$C$6,IF(C188=5,Leyenda!$C$7,IF(C188=6,Leyenda!$C$8,IF(C188=7,Leyenda!$C$9,IF(C188=8,Leyenda!$C$10," "))))))))&amp;IF(C188=9,Leyenda!$C$11,IF(C188=10,Leyenda!$C$12,IF(C188=11,Leyenda!$C$13,IF(C188=12,Leyenda!D245," "))))</f>
        <v xml:space="preserve">GASTOS POR TRABAJOS, SUMINISTROS Y SERVICIOS </v>
      </c>
      <c r="E188" s="196" t="s">
        <v>1380</v>
      </c>
      <c r="F188" s="247">
        <v>45417</v>
      </c>
      <c r="G188" s="247" t="str">
        <f t="shared" si="17"/>
        <v>mayo</v>
      </c>
      <c r="H188" s="191">
        <v>15</v>
      </c>
      <c r="I188" s="148" t="str">
        <f>TEXT(gastos[[#This Row],[Fecha]],"DDDD")</f>
        <v>miércoles</v>
      </c>
      <c r="J188" s="249">
        <f t="shared" si="16"/>
        <v>45427</v>
      </c>
      <c r="K188" s="249"/>
      <c r="L188" s="147"/>
      <c r="M188" s="197">
        <v>0</v>
      </c>
      <c r="N188" s="197">
        <f>1431-12.05</f>
        <v>1418.95</v>
      </c>
      <c r="O188" s="198">
        <f t="shared" si="18"/>
        <v>1418.95</v>
      </c>
      <c r="P188" s="199">
        <v>12.05</v>
      </c>
      <c r="Q188" s="199">
        <v>0</v>
      </c>
      <c r="R188" s="199">
        <v>0</v>
      </c>
      <c r="S188">
        <v>0</v>
      </c>
      <c r="T188" s="200" t="str">
        <f>IFERROR(VLOOKUP($A188,Tabla3[#All],2,0),"no esta registrado")</f>
        <v>Bravo, S.A.//Supermercados Bravo</v>
      </c>
    </row>
    <row r="189" spans="1:20" ht="16.5" hidden="1" x14ac:dyDescent="0.3">
      <c r="A189" s="231" t="s">
        <v>504</v>
      </c>
      <c r="B189" s="193">
        <v>2</v>
      </c>
      <c r="C189" s="194">
        <v>2</v>
      </c>
      <c r="D189" s="195" t="str">
        <f>IF(C189=1,Leyenda!$C$3,IF(C189=2,Leyenda!$C$4,IF(C189=3,Leyenda!$C$5,IF(C189=4,Leyenda!$C$6,IF(C189=5,Leyenda!$C$7,IF(C189=6,Leyenda!$C$8,IF(C189=7,Leyenda!$C$9,IF(C189=8,Leyenda!$C$10," "))))))))&amp;IF(C189=9,Leyenda!$C$11,IF(C189=10,Leyenda!$C$12,IF(C189=11,Leyenda!$C$13,IF(C189=12,Leyenda!D246," "))))</f>
        <v xml:space="preserve">GASTOS POR TRABAJOS, SUMINISTROS Y SERVICIOS </v>
      </c>
      <c r="E189" s="202" t="s">
        <v>1381</v>
      </c>
      <c r="F189" s="247">
        <v>45417</v>
      </c>
      <c r="G189" s="247" t="str">
        <f t="shared" si="17"/>
        <v>mayo</v>
      </c>
      <c r="H189" s="203">
        <v>20</v>
      </c>
      <c r="I189" s="250" t="str">
        <f>TEXT(gastos[[#This Row],[Fecha]],"DDDD")</f>
        <v>lunes</v>
      </c>
      <c r="J189" s="249">
        <f t="shared" si="16"/>
        <v>45432</v>
      </c>
      <c r="K189" s="249"/>
      <c r="L189" s="147"/>
      <c r="M189" s="197">
        <v>0</v>
      </c>
      <c r="N189" s="197">
        <f>500-76.27</f>
        <v>423.73</v>
      </c>
      <c r="O189" s="198">
        <f t="shared" si="18"/>
        <v>423.73</v>
      </c>
      <c r="P189" s="199">
        <v>76.27</v>
      </c>
      <c r="Q189" s="199">
        <v>0</v>
      </c>
      <c r="R189" s="199">
        <v>0</v>
      </c>
      <c r="S189">
        <v>0</v>
      </c>
      <c r="T189" s="200" t="str">
        <f>IFERROR(VLOOKUP($A189,Tabla3[#All],2,0),"no esta registrado")</f>
        <v>Centro Cuesta Nacional S.A.S.//Supermercados Nacional//Casa Cuesta//Ferretería Cuesta//JUMBO//Bebemundo</v>
      </c>
    </row>
    <row r="190" spans="1:20" ht="16.5" hidden="1" x14ac:dyDescent="0.3">
      <c r="A190" s="230" t="s">
        <v>521</v>
      </c>
      <c r="B190" s="193">
        <v>1</v>
      </c>
      <c r="C190" s="194">
        <v>2</v>
      </c>
      <c r="D190" s="195" t="str">
        <f>IF(C190=1,Leyenda!$C$3,IF(C190=2,Leyenda!$C$4,IF(C190=3,Leyenda!$C$5,IF(C190=4,Leyenda!$C$6,IF(C190=5,Leyenda!$C$7,IF(C190=6,Leyenda!$C$8,IF(C190=7,Leyenda!$C$9,IF(C190=8,Leyenda!$C$10," "))))))))&amp;IF(C190=9,Leyenda!$C$11,IF(C190=10,Leyenda!$C$12,IF(C190=11,Leyenda!$C$13,IF(C190=12,Leyenda!D247," "))))</f>
        <v xml:space="preserve">GASTOS POR TRABAJOS, SUMINISTROS Y SERVICIOS </v>
      </c>
      <c r="E190" s="196" t="s">
        <v>1382</v>
      </c>
      <c r="F190" s="247">
        <v>45417</v>
      </c>
      <c r="G190" s="247" t="str">
        <f t="shared" si="17"/>
        <v>mayo</v>
      </c>
      <c r="H190" s="191">
        <v>17</v>
      </c>
      <c r="I190" s="148" t="str">
        <f>TEXT(gastos[[#This Row],[Fecha]],"DDDD")</f>
        <v>viernes</v>
      </c>
      <c r="J190" s="249">
        <f t="shared" si="16"/>
        <v>45429</v>
      </c>
      <c r="K190" s="249"/>
      <c r="L190" s="147"/>
      <c r="M190" s="197">
        <v>0</v>
      </c>
      <c r="N190" s="197">
        <f>2463-375.71</f>
        <v>2087.29</v>
      </c>
      <c r="O190" s="198">
        <f t="shared" si="18"/>
        <v>2087.29</v>
      </c>
      <c r="P190" s="199">
        <v>375.71</v>
      </c>
      <c r="Q190" s="199">
        <v>0</v>
      </c>
      <c r="R190" s="199">
        <v>0</v>
      </c>
      <c r="S190">
        <v>0</v>
      </c>
      <c r="T190" s="200" t="str">
        <f>IFERROR(VLOOKUP($A190,Tabla3[#All],2,0),"no esta registrado")</f>
        <v>Hipermercados, Ole, S. A.</v>
      </c>
    </row>
    <row r="191" spans="1:20" ht="16.5" hidden="1" x14ac:dyDescent="0.3">
      <c r="A191" s="230" t="s">
        <v>511</v>
      </c>
      <c r="B191" s="193">
        <v>1</v>
      </c>
      <c r="C191" s="194">
        <v>2</v>
      </c>
      <c r="D191" s="195" t="str">
        <f>IF(C191=1,Leyenda!$C$3,IF(C191=2,Leyenda!$C$4,IF(C191=3,Leyenda!$C$5,IF(C191=4,Leyenda!$C$6,IF(C191=5,Leyenda!$C$7,IF(C191=6,Leyenda!$C$8,IF(C191=7,Leyenda!$C$9,IF(C191=8,Leyenda!$C$10," "))))))))&amp;IF(C191=9,Leyenda!$C$11,IF(C191=10,Leyenda!$C$12,IF(C191=11,Leyenda!$C$13,IF(C191=12,Leyenda!D248," "))))</f>
        <v xml:space="preserve">GASTOS POR TRABAJOS, SUMINISTROS Y SERVICIOS </v>
      </c>
      <c r="E191" s="196" t="s">
        <v>1383</v>
      </c>
      <c r="F191" s="247">
        <v>45417</v>
      </c>
      <c r="G191" s="247" t="str">
        <f t="shared" si="17"/>
        <v>mayo</v>
      </c>
      <c r="H191" s="191">
        <v>17</v>
      </c>
      <c r="I191" s="148" t="str">
        <f>TEXT(gastos[[#This Row],[Fecha]],"DDDD")</f>
        <v>viernes</v>
      </c>
      <c r="J191" s="249">
        <f t="shared" si="16"/>
        <v>45429</v>
      </c>
      <c r="K191" s="249"/>
      <c r="L191" s="147"/>
      <c r="M191" s="197">
        <v>0</v>
      </c>
      <c r="N191" s="197">
        <f>13856-1292.95</f>
        <v>12563.05</v>
      </c>
      <c r="O191" s="198">
        <f t="shared" si="18"/>
        <v>12563.05</v>
      </c>
      <c r="P191" s="199">
        <v>1292.95</v>
      </c>
      <c r="Q191" s="199">
        <v>0</v>
      </c>
      <c r="R191" s="199">
        <v>0</v>
      </c>
      <c r="S191">
        <v>0</v>
      </c>
      <c r="T191" s="200" t="str">
        <f>IFERROR(VLOOKUP($A191,Tabla3[#All],2,0),"no esta registrado")</f>
        <v>Bravo, S.A.//Supermercados Bravo</v>
      </c>
    </row>
    <row r="192" spans="1:20" ht="16.5" hidden="1" x14ac:dyDescent="0.3">
      <c r="A192" s="230" t="s">
        <v>511</v>
      </c>
      <c r="B192" s="193">
        <v>1</v>
      </c>
      <c r="C192" s="194">
        <v>2</v>
      </c>
      <c r="D192" s="195" t="str">
        <f>IF(C192=1,Leyenda!$C$3,IF(C192=2,Leyenda!$C$4,IF(C192=3,Leyenda!$C$5,IF(C192=4,Leyenda!$C$6,IF(C192=5,Leyenda!$C$7,IF(C192=6,Leyenda!$C$8,IF(C192=7,Leyenda!$C$9,IF(C192=8,Leyenda!$C$10," "))))))))&amp;IF(C192=9,Leyenda!$C$11,IF(C192=10,Leyenda!$C$12,IF(C192=11,Leyenda!$C$13,IF(C192=12,Leyenda!D249," "))))</f>
        <v xml:space="preserve">GASTOS POR TRABAJOS, SUMINISTROS Y SERVICIOS </v>
      </c>
      <c r="E192" s="196" t="s">
        <v>1384</v>
      </c>
      <c r="F192" s="247">
        <v>45417</v>
      </c>
      <c r="G192" s="247" t="str">
        <f t="shared" si="17"/>
        <v>mayo</v>
      </c>
      <c r="H192" s="191">
        <v>23</v>
      </c>
      <c r="I192" s="148" t="str">
        <f>TEXT(gastos[[#This Row],[Fecha]],"DDDD")</f>
        <v>jueves</v>
      </c>
      <c r="J192" s="249">
        <f t="shared" si="16"/>
        <v>45435</v>
      </c>
      <c r="K192" s="249"/>
      <c r="L192" s="147"/>
      <c r="M192" s="197">
        <v>0</v>
      </c>
      <c r="N192" s="197">
        <f>2183-105.72</f>
        <v>2077.2800000000002</v>
      </c>
      <c r="O192" s="198">
        <f t="shared" si="18"/>
        <v>2077.2800000000002</v>
      </c>
      <c r="P192" s="199">
        <v>105.72</v>
      </c>
      <c r="Q192" s="199">
        <v>0</v>
      </c>
      <c r="R192" s="199">
        <v>0</v>
      </c>
      <c r="S192">
        <v>0</v>
      </c>
      <c r="T192" s="200" t="str">
        <f>IFERROR(VLOOKUP($A192,Tabla3[#All],2,0),"no esta registrado")</f>
        <v>Bravo, S.A.//Supermercados Bravo</v>
      </c>
    </row>
    <row r="193" spans="1:20" ht="16.5" hidden="1" x14ac:dyDescent="0.3">
      <c r="A193" s="232" t="s">
        <v>705</v>
      </c>
      <c r="B193" s="208">
        <v>1</v>
      </c>
      <c r="C193" s="194">
        <v>2</v>
      </c>
      <c r="D193" s="195" t="str">
        <f>IF(C193=1,Leyenda!$C$3,IF(C193=2,Leyenda!$C$4,IF(C193=3,Leyenda!$C$5,IF(C193=4,Leyenda!$C$6,IF(C193=5,Leyenda!$C$7,IF(C193=6,Leyenda!$C$8,IF(C193=7,Leyenda!$C$9,IF(C193=8,Leyenda!$C$10," "))))))))&amp;IF(C193=9,Leyenda!$C$11,IF(C193=10,Leyenda!$C$12,IF(C193=11,Leyenda!$C$13,IF(C193=12,Leyenda!D250," "))))</f>
        <v xml:space="preserve">GASTOS POR TRABAJOS, SUMINISTROS Y SERVICIOS </v>
      </c>
      <c r="E193" s="206" t="s">
        <v>1385</v>
      </c>
      <c r="F193" s="247">
        <v>45417</v>
      </c>
      <c r="G193" s="247" t="str">
        <f t="shared" si="17"/>
        <v>mayo</v>
      </c>
      <c r="H193" s="204">
        <v>24</v>
      </c>
      <c r="I193" s="251" t="str">
        <f>TEXT(gastos[[#This Row],[Fecha]],"DDDD")</f>
        <v>viernes</v>
      </c>
      <c r="J193" s="249">
        <f t="shared" si="16"/>
        <v>45436</v>
      </c>
      <c r="K193" s="249"/>
      <c r="L193" s="147"/>
      <c r="M193" s="197">
        <v>0</v>
      </c>
      <c r="N193" s="223">
        <f>36578-5579.82</f>
        <v>30998.18</v>
      </c>
      <c r="O193" s="221">
        <f t="shared" si="18"/>
        <v>30998.18</v>
      </c>
      <c r="P193" s="223">
        <v>5579.82</v>
      </c>
      <c r="Q193" s="199">
        <v>0</v>
      </c>
      <c r="R193" s="199">
        <v>0</v>
      </c>
      <c r="S193">
        <v>0</v>
      </c>
      <c r="T193" s="200" t="str">
        <f>IFERROR(VLOOKUP($A193,Tabla3[#All],2,0),"no esta registrado")</f>
        <v>Distribuidora Corripio, S.A.S.</v>
      </c>
    </row>
    <row r="194" spans="1:20" ht="16.5" hidden="1" x14ac:dyDescent="0.3">
      <c r="A194" s="230" t="s">
        <v>511</v>
      </c>
      <c r="B194" s="193">
        <v>1</v>
      </c>
      <c r="C194" s="194">
        <v>2</v>
      </c>
      <c r="D194" s="195" t="str">
        <f>IF(C194=1,Leyenda!$C$3,IF(C194=2,Leyenda!$C$4,IF(C194=3,Leyenda!$C$5,IF(C194=4,Leyenda!$C$6,IF(C194=5,Leyenda!$C$7,IF(C194=6,Leyenda!$C$8,IF(C194=7,Leyenda!$C$9,IF(C194=8,Leyenda!$C$10," "))))))))&amp;IF(C194=9,Leyenda!$C$11,IF(C194=10,Leyenda!$C$12,IF(C194=11,Leyenda!$C$13,IF(C194=12,Leyenda!D251," "))))</f>
        <v xml:space="preserve">GASTOS POR TRABAJOS, SUMINISTROS Y SERVICIOS </v>
      </c>
      <c r="E194" s="196" t="s">
        <v>1386</v>
      </c>
      <c r="F194" s="247">
        <v>45417</v>
      </c>
      <c r="G194" s="247" t="str">
        <f t="shared" si="17"/>
        <v>mayo</v>
      </c>
      <c r="H194" s="191">
        <v>31</v>
      </c>
      <c r="I194" s="148" t="str">
        <f>TEXT(gastos[[#This Row],[Fecha]],"DDDD")</f>
        <v>viernes</v>
      </c>
      <c r="J194" s="249">
        <f t="shared" si="16"/>
        <v>45443</v>
      </c>
      <c r="K194" s="249"/>
      <c r="L194" s="147"/>
      <c r="M194" s="197">
        <v>0</v>
      </c>
      <c r="N194" s="205">
        <f>13845-1042.52</f>
        <v>12802.48</v>
      </c>
      <c r="O194" s="198">
        <f t="shared" si="18"/>
        <v>12802.48</v>
      </c>
      <c r="P194" s="199">
        <v>1042.52</v>
      </c>
      <c r="Q194" s="199">
        <v>0</v>
      </c>
      <c r="R194" s="199">
        <v>0</v>
      </c>
      <c r="S194">
        <v>0</v>
      </c>
      <c r="T194" s="200" t="str">
        <f>IFERROR(VLOOKUP($A194,Tabla3[#All],2,0),"no esta registrado")</f>
        <v>Bravo, S.A.//Supermercados Bravo</v>
      </c>
    </row>
    <row r="195" spans="1:20" ht="16.5" hidden="1" x14ac:dyDescent="0.3">
      <c r="A195" s="230" t="s">
        <v>1114</v>
      </c>
      <c r="B195" s="193">
        <v>1</v>
      </c>
      <c r="C195" s="194">
        <v>2</v>
      </c>
      <c r="D195" s="195" t="str">
        <f>IF(C195=1,Leyenda!$C$3,IF(C195=2,Leyenda!$C$4,IF(C195=3,Leyenda!$C$5,IF(C195=4,Leyenda!$C$6,IF(C195=5,Leyenda!$C$7,IF(C195=6,Leyenda!$C$8,IF(C195=7,Leyenda!$C$9,IF(C195=8,Leyenda!$C$10," "))))))))&amp;IF(C195=9,Leyenda!$C$11,IF(C195=10,Leyenda!$C$12,IF(C195=11,Leyenda!$C$13,IF(C195=12,Leyenda!D252," "))))</f>
        <v xml:space="preserve">GASTOS POR TRABAJOS, SUMINISTROS Y SERVICIOS </v>
      </c>
      <c r="E195" s="202" t="s">
        <v>1387</v>
      </c>
      <c r="F195" s="247">
        <v>45417</v>
      </c>
      <c r="G195" s="247" t="str">
        <f t="shared" si="17"/>
        <v>mayo</v>
      </c>
      <c r="H195" s="191">
        <v>24</v>
      </c>
      <c r="I195" s="148" t="str">
        <f>TEXT(gastos[[#This Row],[Fecha]],"DDDD")</f>
        <v>viernes</v>
      </c>
      <c r="J195" s="249">
        <f t="shared" si="16"/>
        <v>45436</v>
      </c>
      <c r="K195" s="249"/>
      <c r="L195" s="147"/>
      <c r="M195" s="197">
        <v>2876</v>
      </c>
      <c r="N195" s="205">
        <v>0</v>
      </c>
      <c r="O195" s="198">
        <f t="shared" si="18"/>
        <v>2876</v>
      </c>
      <c r="P195" s="199">
        <v>0</v>
      </c>
      <c r="Q195" s="199">
        <v>0</v>
      </c>
      <c r="R195" s="199">
        <v>0</v>
      </c>
      <c r="S195">
        <v>0</v>
      </c>
      <c r="T195" s="200" t="str">
        <f>IFERROR(VLOOKUP($A195,Tabla3[#All],2,0),"no esta registrado")</f>
        <v>ACADEMIA EUROPEA</v>
      </c>
    </row>
    <row r="196" spans="1:20" ht="16.5" hidden="1" x14ac:dyDescent="0.3">
      <c r="A196" s="230" t="s">
        <v>1114</v>
      </c>
      <c r="B196" s="193">
        <v>1</v>
      </c>
      <c r="C196" s="194">
        <v>2</v>
      </c>
      <c r="D196" s="195" t="str">
        <f>IF(C196=1,Leyenda!$C$3,IF(C196=2,Leyenda!$C$4,IF(C196=3,Leyenda!$C$5,IF(C196=4,Leyenda!$C$6,IF(C196=5,Leyenda!$C$7,IF(C196=6,Leyenda!$C$8,IF(C196=7,Leyenda!$C$9,IF(C196=8,Leyenda!$C$10," "))))))))&amp;IF(C196=9,Leyenda!$C$11,IF(C196=10,Leyenda!$C$12,IF(C196=11,Leyenda!$C$13,IF(C196=12,Leyenda!D253," "))))</f>
        <v xml:space="preserve">GASTOS POR TRABAJOS, SUMINISTROS Y SERVICIOS </v>
      </c>
      <c r="E196" s="202" t="s">
        <v>1388</v>
      </c>
      <c r="F196" s="247">
        <v>45417</v>
      </c>
      <c r="G196" s="247" t="str">
        <f t="shared" si="17"/>
        <v>mayo</v>
      </c>
      <c r="H196" s="191">
        <v>10</v>
      </c>
      <c r="I196" s="148" t="str">
        <f>TEXT(gastos[[#This Row],[Fecha]],"DDDD")</f>
        <v>viernes</v>
      </c>
      <c r="J196" s="249">
        <f t="shared" si="16"/>
        <v>45422</v>
      </c>
      <c r="K196" s="249"/>
      <c r="L196" s="147"/>
      <c r="M196" s="197">
        <v>2606</v>
      </c>
      <c r="N196" s="205">
        <v>0</v>
      </c>
      <c r="O196" s="198">
        <f t="shared" si="18"/>
        <v>2606</v>
      </c>
      <c r="P196" s="199">
        <v>0</v>
      </c>
      <c r="Q196" s="199">
        <v>0</v>
      </c>
      <c r="R196" s="199">
        <v>0</v>
      </c>
      <c r="S196">
        <v>0</v>
      </c>
      <c r="T196" s="200" t="str">
        <f>IFERROR(VLOOKUP($A196,Tabla3[#All],2,0),"no esta registrado")</f>
        <v>ACADEMIA EUROPEA</v>
      </c>
    </row>
    <row r="197" spans="1:20" ht="16.5" hidden="1" x14ac:dyDescent="0.3">
      <c r="A197" s="230" t="s">
        <v>1114</v>
      </c>
      <c r="B197" s="193">
        <v>1</v>
      </c>
      <c r="C197" s="194">
        <v>2</v>
      </c>
      <c r="D197" s="195" t="str">
        <f>IF(C197=1,Leyenda!$C$3,IF(C197=2,Leyenda!$C$4,IF(C197=3,Leyenda!$C$5,IF(C197=4,Leyenda!$C$6,IF(C197=5,Leyenda!$C$7,IF(C197=6,Leyenda!$C$8,IF(C197=7,Leyenda!$C$9,IF(C197=8,Leyenda!$C$10," "))))))))&amp;IF(C197=9,Leyenda!$C$11,IF(C197=10,Leyenda!$C$12,IF(C197=11,Leyenda!$C$13,IF(C197=12,Leyenda!D254," "))))</f>
        <v xml:space="preserve">GASTOS POR TRABAJOS, SUMINISTROS Y SERVICIOS </v>
      </c>
      <c r="E197" s="202" t="s">
        <v>1389</v>
      </c>
      <c r="F197" s="247">
        <v>45417</v>
      </c>
      <c r="G197" s="247" t="str">
        <f t="shared" si="17"/>
        <v>mayo</v>
      </c>
      <c r="H197" s="191">
        <v>10</v>
      </c>
      <c r="I197" s="148" t="str">
        <f>TEXT(gastos[[#This Row],[Fecha]],"DDDD")</f>
        <v>viernes</v>
      </c>
      <c r="J197" s="249">
        <f t="shared" si="16"/>
        <v>45422</v>
      </c>
      <c r="K197" s="249"/>
      <c r="L197" s="147"/>
      <c r="M197" s="197">
        <v>3264</v>
      </c>
      <c r="N197" s="205">
        <v>0</v>
      </c>
      <c r="O197" s="198">
        <f t="shared" si="18"/>
        <v>3264</v>
      </c>
      <c r="P197" s="199">
        <v>0</v>
      </c>
      <c r="Q197" s="199">
        <v>0</v>
      </c>
      <c r="R197" s="199">
        <v>0</v>
      </c>
      <c r="S197">
        <v>0</v>
      </c>
      <c r="T197" s="200" t="str">
        <f>IFERROR(VLOOKUP($A197,Tabla3[#All],2,0),"no esta registrado")</f>
        <v>ACADEMIA EUROPEA</v>
      </c>
    </row>
    <row r="198" spans="1:20" ht="16.5" hidden="1" x14ac:dyDescent="0.3">
      <c r="A198" s="230" t="s">
        <v>1114</v>
      </c>
      <c r="B198" s="193">
        <v>1</v>
      </c>
      <c r="C198" s="194">
        <v>2</v>
      </c>
      <c r="D198" s="195" t="str">
        <f>IF(C198=1,Leyenda!$C$3,IF(C198=2,Leyenda!$C$4,IF(C198=3,Leyenda!$C$5,IF(C198=4,Leyenda!$C$6,IF(C198=5,Leyenda!$C$7,IF(C198=6,Leyenda!$C$8,IF(C198=7,Leyenda!$C$9,IF(C198=8,Leyenda!$C$10," "))))))))&amp;IF(C198=9,Leyenda!$C$11,IF(C198=10,Leyenda!$C$12,IF(C198=11,Leyenda!$C$13,IF(C198=12,Leyenda!D255," "))))</f>
        <v xml:space="preserve">GASTOS POR TRABAJOS, SUMINISTROS Y SERVICIOS </v>
      </c>
      <c r="E198" s="202" t="s">
        <v>1390</v>
      </c>
      <c r="F198" s="247">
        <v>45417</v>
      </c>
      <c r="G198" s="247" t="str">
        <f t="shared" si="17"/>
        <v>mayo</v>
      </c>
      <c r="H198" s="191">
        <v>10</v>
      </c>
      <c r="I198" s="148" t="str">
        <f>TEXT(gastos[[#This Row],[Fecha]],"DDDD")</f>
        <v>viernes</v>
      </c>
      <c r="J198" s="249">
        <f t="shared" si="16"/>
        <v>45422</v>
      </c>
      <c r="K198" s="249"/>
      <c r="L198" s="147"/>
      <c r="M198" s="197">
        <v>6066</v>
      </c>
      <c r="N198" s="205">
        <v>0</v>
      </c>
      <c r="O198" s="198">
        <f t="shared" si="18"/>
        <v>6066</v>
      </c>
      <c r="P198" s="199">
        <v>0</v>
      </c>
      <c r="Q198" s="199">
        <v>0</v>
      </c>
      <c r="R198" s="199">
        <v>0</v>
      </c>
      <c r="S198">
        <v>0</v>
      </c>
      <c r="T198" s="200" t="str">
        <f>IFERROR(VLOOKUP($A198,Tabla3[#All],2,0),"no esta registrado")</f>
        <v>ACADEMIA EUROPEA</v>
      </c>
    </row>
    <row r="199" spans="1:20" ht="16.5" hidden="1" x14ac:dyDescent="0.3">
      <c r="A199" s="231" t="s">
        <v>1116</v>
      </c>
      <c r="B199" s="193">
        <v>1</v>
      </c>
      <c r="C199" s="194">
        <v>2</v>
      </c>
      <c r="D199" s="195" t="str">
        <f>IF(C199=1,Leyenda!$C$3,IF(C199=2,Leyenda!$C$4,IF(C199=3,Leyenda!$C$5,IF(C199=4,Leyenda!$C$6,IF(C199=5,Leyenda!$C$7,IF(C199=6,Leyenda!$C$8,IF(C199=7,Leyenda!$C$9,IF(C199=8,Leyenda!$C$10," "))))))))&amp;IF(C199=9,Leyenda!$C$11,IF(C199=10,Leyenda!$C$12,IF(C199=11,Leyenda!$C$13,IF(C199=12,Leyenda!D256," "))))</f>
        <v xml:space="preserve">GASTOS POR TRABAJOS, SUMINISTROS Y SERVICIOS </v>
      </c>
      <c r="E199" s="202" t="s">
        <v>1391</v>
      </c>
      <c r="F199" s="247">
        <v>45417</v>
      </c>
      <c r="G199" s="247" t="str">
        <f t="shared" si="17"/>
        <v>mayo</v>
      </c>
      <c r="H199" s="191">
        <v>28</v>
      </c>
      <c r="I199" s="148" t="str">
        <f>TEXT(gastos[[#This Row],[Fecha]],"DDDD")</f>
        <v>martes</v>
      </c>
      <c r="J199" s="249">
        <f t="shared" si="16"/>
        <v>45440</v>
      </c>
      <c r="K199" s="249"/>
      <c r="L199" s="147"/>
      <c r="M199" s="197">
        <v>7100</v>
      </c>
      <c r="N199" s="205">
        <v>0</v>
      </c>
      <c r="O199" s="198">
        <f t="shared" si="18"/>
        <v>7100</v>
      </c>
      <c r="P199" s="197">
        <v>0</v>
      </c>
      <c r="Q199">
        <v>0</v>
      </c>
      <c r="R199" s="199">
        <v>0</v>
      </c>
      <c r="S199">
        <v>0</v>
      </c>
      <c r="T199" s="200" t="str">
        <f>IFERROR(VLOOKUP($A199,Tabla3[#All],2,0),"no esta registrado")</f>
        <v>COLEGIO SANTA ROSA DE LIMA</v>
      </c>
    </row>
    <row r="200" spans="1:20" ht="16.5" hidden="1" x14ac:dyDescent="0.3">
      <c r="A200" s="231" t="s">
        <v>1116</v>
      </c>
      <c r="B200" s="193">
        <v>1</v>
      </c>
      <c r="C200" s="194">
        <v>2</v>
      </c>
      <c r="D200" s="195" t="str">
        <f>IF(C200=1,Leyenda!$C$3,IF(C200=2,Leyenda!$C$4,IF(C200=3,Leyenda!$C$5,IF(C200=4,Leyenda!$C$6,IF(C200=5,Leyenda!$C$7,IF(C200=6,Leyenda!$C$8,IF(C200=7,Leyenda!$C$9,IF(C200=8,Leyenda!$C$10," "))))))))&amp;IF(C200=9,Leyenda!$C$11,IF(C200=10,Leyenda!$C$12,IF(C200=11,Leyenda!$C$13,IF(C200=12,Leyenda!D257," "))))</f>
        <v xml:space="preserve">GASTOS POR TRABAJOS, SUMINISTROS Y SERVICIOS </v>
      </c>
      <c r="E200" s="202" t="s">
        <v>1392</v>
      </c>
      <c r="F200" s="247">
        <v>45417</v>
      </c>
      <c r="G200" s="247" t="str">
        <f t="shared" si="17"/>
        <v>mayo</v>
      </c>
      <c r="H200" s="191">
        <v>28</v>
      </c>
      <c r="I200" s="148" t="str">
        <f>TEXT(gastos[[#This Row],[Fecha]],"DDDD")</f>
        <v>martes</v>
      </c>
      <c r="J200" s="249">
        <f t="shared" ref="J200:J263" si="19">DATE(YEAR(F200),MONTH(F200),H200)</f>
        <v>45440</v>
      </c>
      <c r="K200" s="249"/>
      <c r="L200" s="147"/>
      <c r="M200" s="197">
        <v>6800</v>
      </c>
      <c r="N200" s="205">
        <v>0</v>
      </c>
      <c r="O200" s="198">
        <f t="shared" si="18"/>
        <v>6800</v>
      </c>
      <c r="P200" s="197">
        <v>0</v>
      </c>
      <c r="Q200">
        <v>0</v>
      </c>
      <c r="R200" s="199">
        <v>0</v>
      </c>
      <c r="S200">
        <v>0</v>
      </c>
      <c r="T200" s="200" t="str">
        <f>IFERROR(VLOOKUP($A200,Tabla3[#All],2,0),"no esta registrado")</f>
        <v>COLEGIO SANTA ROSA DE LIMA</v>
      </c>
    </row>
    <row r="201" spans="1:20" ht="16.5" hidden="1" x14ac:dyDescent="0.3">
      <c r="A201" s="231" t="s">
        <v>1116</v>
      </c>
      <c r="B201" s="193">
        <v>1</v>
      </c>
      <c r="C201" s="194">
        <v>2</v>
      </c>
      <c r="D201" s="195" t="str">
        <f>IF(C201=1,Leyenda!$C$3,IF(C201=2,Leyenda!$C$4,IF(C201=3,Leyenda!$C$5,IF(C201=4,Leyenda!$C$6,IF(C201=5,Leyenda!$C$7,IF(C201=6,Leyenda!$C$8,IF(C201=7,Leyenda!$C$9,IF(C201=8,Leyenda!$C$10," "))))))))&amp;IF(C201=9,Leyenda!$C$11,IF(C201=10,Leyenda!$C$12,IF(C201=11,Leyenda!$C$13,IF(C201=12,Leyenda!D258," "))))</f>
        <v xml:space="preserve">GASTOS POR TRABAJOS, SUMINISTROS Y SERVICIOS </v>
      </c>
      <c r="E201" s="202" t="s">
        <v>1393</v>
      </c>
      <c r="F201" s="247">
        <v>45417</v>
      </c>
      <c r="G201" s="247" t="str">
        <f t="shared" si="17"/>
        <v>mayo</v>
      </c>
      <c r="H201" s="191">
        <v>28</v>
      </c>
      <c r="I201" s="148" t="str">
        <f>TEXT(gastos[[#This Row],[Fecha]],"DDDD")</f>
        <v>martes</v>
      </c>
      <c r="J201" s="249">
        <f t="shared" si="19"/>
        <v>45440</v>
      </c>
      <c r="K201" s="249"/>
      <c r="L201" s="147"/>
      <c r="M201" s="197">
        <v>6800</v>
      </c>
      <c r="N201" s="205">
        <v>0</v>
      </c>
      <c r="O201" s="198">
        <f t="shared" si="18"/>
        <v>6800</v>
      </c>
      <c r="P201" s="197">
        <v>0</v>
      </c>
      <c r="Q201">
        <v>0</v>
      </c>
      <c r="R201" s="199">
        <v>0</v>
      </c>
      <c r="S201">
        <v>0</v>
      </c>
      <c r="T201" s="200" t="str">
        <f>IFERROR(VLOOKUP($A201,Tabla3[#All],2,0),"no esta registrado")</f>
        <v>COLEGIO SANTA ROSA DE LIMA</v>
      </c>
    </row>
    <row r="202" spans="1:20" ht="16.5" hidden="1" x14ac:dyDescent="0.3">
      <c r="A202" s="231" t="s">
        <v>1116</v>
      </c>
      <c r="B202" s="193">
        <v>1</v>
      </c>
      <c r="C202" s="194">
        <v>2</v>
      </c>
      <c r="D202" s="195" t="str">
        <f>IF(C202=1,Leyenda!$C$3,IF(C202=2,Leyenda!$C$4,IF(C202=3,Leyenda!$C$5,IF(C202=4,Leyenda!$C$6,IF(C202=5,Leyenda!$C$7,IF(C202=6,Leyenda!$C$8,IF(C202=7,Leyenda!$C$9,IF(C202=8,Leyenda!$C$10," "))))))))&amp;IF(C202=9,Leyenda!$C$11,IF(C202=10,Leyenda!$C$12,IF(C202=11,Leyenda!$C$13,IF(C202=12,Leyenda!D259," "))))</f>
        <v xml:space="preserve">GASTOS POR TRABAJOS, SUMINISTROS Y SERVICIOS </v>
      </c>
      <c r="E202" s="202" t="s">
        <v>1394</v>
      </c>
      <c r="F202" s="247">
        <v>45417</v>
      </c>
      <c r="G202" s="247" t="str">
        <f t="shared" si="17"/>
        <v>mayo</v>
      </c>
      <c r="H202" s="191">
        <v>31</v>
      </c>
      <c r="I202" s="148" t="str">
        <f>TEXT(gastos[[#This Row],[Fecha]],"DDDD")</f>
        <v>viernes</v>
      </c>
      <c r="J202" s="249">
        <f t="shared" si="19"/>
        <v>45443</v>
      </c>
      <c r="K202" s="249"/>
      <c r="L202" s="147"/>
      <c r="M202" s="197">
        <v>13600</v>
      </c>
      <c r="N202" s="205">
        <v>0</v>
      </c>
      <c r="O202" s="198">
        <f t="shared" si="18"/>
        <v>13600</v>
      </c>
      <c r="P202" s="197">
        <v>0</v>
      </c>
      <c r="Q202">
        <v>0</v>
      </c>
      <c r="R202" s="199">
        <v>0</v>
      </c>
      <c r="S202">
        <v>0</v>
      </c>
      <c r="T202" s="200" t="str">
        <f>IFERROR(VLOOKUP($A202,Tabla3[#All],2,0),"no esta registrado")</f>
        <v>COLEGIO SANTA ROSA DE LIMA</v>
      </c>
    </row>
    <row r="203" spans="1:20" ht="16.5" hidden="1" x14ac:dyDescent="0.3">
      <c r="A203" s="231" t="s">
        <v>1116</v>
      </c>
      <c r="B203" s="193">
        <v>1</v>
      </c>
      <c r="C203" s="194">
        <v>2</v>
      </c>
      <c r="D203" s="195" t="str">
        <f>IF(C203=1,Leyenda!$C$3,IF(C203=2,Leyenda!$C$4,IF(C203=3,Leyenda!$C$5,IF(C203=4,Leyenda!$C$6,IF(C203=5,Leyenda!$C$7,IF(C203=6,Leyenda!$C$8,IF(C203=7,Leyenda!$C$9,IF(C203=8,Leyenda!$C$10," "))))))))&amp;IF(C203=9,Leyenda!$C$11,IF(C203=10,Leyenda!$C$12,IF(C203=11,Leyenda!$C$13,IF(C203=12,Leyenda!D260," "))))</f>
        <v xml:space="preserve">GASTOS POR TRABAJOS, SUMINISTROS Y SERVICIOS </v>
      </c>
      <c r="E203" s="202" t="s">
        <v>1395</v>
      </c>
      <c r="F203" s="247">
        <v>45417</v>
      </c>
      <c r="G203" s="247" t="str">
        <f t="shared" si="17"/>
        <v>mayo</v>
      </c>
      <c r="H203" s="191">
        <v>31</v>
      </c>
      <c r="I203" s="148" t="str">
        <f>TEXT(gastos[[#This Row],[Fecha]],"DDDD")</f>
        <v>viernes</v>
      </c>
      <c r="J203" s="249">
        <f t="shared" si="19"/>
        <v>45443</v>
      </c>
      <c r="K203" s="249"/>
      <c r="L203" s="147"/>
      <c r="M203" s="197">
        <v>6400</v>
      </c>
      <c r="N203" s="205">
        <v>0</v>
      </c>
      <c r="O203" s="198">
        <f t="shared" si="18"/>
        <v>6400</v>
      </c>
      <c r="P203" s="197">
        <v>0</v>
      </c>
      <c r="Q203">
        <v>0</v>
      </c>
      <c r="R203" s="199">
        <v>0</v>
      </c>
      <c r="S203">
        <v>0</v>
      </c>
      <c r="T203" s="200" t="str">
        <f>IFERROR(VLOOKUP($A203,Tabla3[#All],2,0),"no esta registrado")</f>
        <v>COLEGIO SANTA ROSA DE LIMA</v>
      </c>
    </row>
    <row r="204" spans="1:20" ht="16.5" hidden="1" x14ac:dyDescent="0.3">
      <c r="A204" s="230" t="s">
        <v>495</v>
      </c>
      <c r="B204" s="193">
        <v>1</v>
      </c>
      <c r="C204" s="194">
        <v>2</v>
      </c>
      <c r="D204" s="195" t="str">
        <f>IF(C204=1,Leyenda!$C$3,IF(C204=2,Leyenda!$C$4,IF(C204=3,Leyenda!$C$5,IF(C204=4,Leyenda!$C$6,IF(C204=5,Leyenda!$C$7,IF(C204=6,Leyenda!$C$8,IF(C204=7,Leyenda!$C$9,IF(C204=8,Leyenda!$C$10," "))))))))&amp;IF(C204=9,Leyenda!$C$11,IF(C204=10,Leyenda!$C$12,IF(C204=11,Leyenda!$C$13,IF(C204=12,Leyenda!D261," "))))</f>
        <v xml:space="preserve">GASTOS POR TRABAJOS, SUMINISTROS Y SERVICIOS </v>
      </c>
      <c r="E204" s="202" t="s">
        <v>1396</v>
      </c>
      <c r="F204" s="247">
        <v>45417</v>
      </c>
      <c r="G204" s="247" t="str">
        <f t="shared" si="17"/>
        <v>mayo</v>
      </c>
      <c r="H204" s="191">
        <v>7</v>
      </c>
      <c r="I204" s="148" t="str">
        <f>TEXT(gastos[[#This Row],[Fecha]],"DDDD")</f>
        <v>martes</v>
      </c>
      <c r="J204" s="249">
        <f t="shared" si="19"/>
        <v>45419</v>
      </c>
      <c r="K204" s="249"/>
      <c r="L204" s="147"/>
      <c r="M204" s="197">
        <v>2407.69</v>
      </c>
      <c r="N204" s="205">
        <v>0</v>
      </c>
      <c r="O204" s="222">
        <f t="shared" si="18"/>
        <v>2407.69</v>
      </c>
      <c r="P204" s="197">
        <v>433.39</v>
      </c>
      <c r="Q204">
        <v>0</v>
      </c>
      <c r="R204" s="199">
        <v>0</v>
      </c>
      <c r="S204">
        <v>0</v>
      </c>
      <c r="T204" s="200" t="str">
        <f>IFERROR(VLOOKUP($A204,Tabla3[#All],2,0),"no esta registrado")</f>
        <v>CLARO//CODETEL</v>
      </c>
    </row>
    <row r="205" spans="1:20" ht="16.5" hidden="1" x14ac:dyDescent="0.3">
      <c r="A205" s="230" t="s">
        <v>495</v>
      </c>
      <c r="B205" s="193">
        <v>1</v>
      </c>
      <c r="C205" s="194">
        <v>2</v>
      </c>
      <c r="D205" s="195" t="str">
        <f>IF(C205=1,Leyenda!$C$3,IF(C205=2,Leyenda!$C$4,IF(C205=3,Leyenda!$C$5,IF(C205=4,Leyenda!$C$6,IF(C205=5,Leyenda!$C$7,IF(C205=6,Leyenda!$C$8,IF(C205=7,Leyenda!$C$9,IF(C205=8,Leyenda!$C$10," "))))))))&amp;IF(C205=9,Leyenda!$C$11,IF(C205=10,Leyenda!$C$12,IF(C205=11,Leyenda!$C$13,IF(C205=12,Leyenda!D262," "))))</f>
        <v xml:space="preserve">GASTOS POR TRABAJOS, SUMINISTROS Y SERVICIOS </v>
      </c>
      <c r="E205" s="202" t="s">
        <v>1397</v>
      </c>
      <c r="F205" s="247">
        <v>45417</v>
      </c>
      <c r="G205" s="247" t="str">
        <f t="shared" si="17"/>
        <v>mayo</v>
      </c>
      <c r="H205" s="191">
        <v>7</v>
      </c>
      <c r="I205" s="148" t="str">
        <f>TEXT(gastos[[#This Row],[Fecha]],"DDDD")</f>
        <v>martes</v>
      </c>
      <c r="J205" s="249">
        <f t="shared" si="19"/>
        <v>45419</v>
      </c>
      <c r="K205" s="249"/>
      <c r="L205" s="147"/>
      <c r="M205" s="197">
        <v>830</v>
      </c>
      <c r="N205" s="205">
        <v>0</v>
      </c>
      <c r="O205" s="222">
        <f t="shared" si="18"/>
        <v>830</v>
      </c>
      <c r="P205" s="197">
        <v>149.4</v>
      </c>
      <c r="Q205">
        <v>0</v>
      </c>
      <c r="R205" s="199">
        <v>0</v>
      </c>
      <c r="S205">
        <v>0</v>
      </c>
      <c r="T205" s="200" t="str">
        <f>IFERROR(VLOOKUP($A205,Tabla3[#All],2,0),"no esta registrado")</f>
        <v>CLARO//CODETEL</v>
      </c>
    </row>
    <row r="206" spans="1:20" ht="16.5" hidden="1" x14ac:dyDescent="0.3">
      <c r="A206" s="230" t="s">
        <v>486</v>
      </c>
      <c r="B206" s="193">
        <v>1</v>
      </c>
      <c r="C206" s="194">
        <v>7</v>
      </c>
      <c r="D206" s="195" t="str">
        <f>IF(C206=1,Leyenda!$C$3,IF(C206=2,Leyenda!$C$4,IF(C206=3,Leyenda!$C$5,IF(C206=4,Leyenda!$C$6,IF(C206=5,Leyenda!$C$7,IF(C206=6,Leyenda!$C$8,IF(C206=7,Leyenda!$C$9,IF(C206=8,Leyenda!$C$10," "))))))))&amp;IF(C206=9,Leyenda!$C$11,IF(C206=10,Leyenda!$C$12,IF(C206=11,Leyenda!$C$13,IF(C206=12,Leyenda!D263," "))))</f>
        <v xml:space="preserve">GASTOS FINANCIEROS </v>
      </c>
      <c r="E206" s="202" t="s">
        <v>1398</v>
      </c>
      <c r="F206" s="247">
        <v>45417</v>
      </c>
      <c r="G206" s="247" t="str">
        <f t="shared" si="17"/>
        <v>mayo</v>
      </c>
      <c r="H206" s="191">
        <v>20</v>
      </c>
      <c r="I206" s="148" t="str">
        <f>TEXT(gastos[[#This Row],[Fecha]],"DDDD")</f>
        <v>lunes</v>
      </c>
      <c r="J206" s="249">
        <f t="shared" si="19"/>
        <v>45432</v>
      </c>
      <c r="K206" s="249"/>
      <c r="L206" s="147"/>
      <c r="M206" s="197">
        <v>21875</v>
      </c>
      <c r="N206" s="205">
        <v>0</v>
      </c>
      <c r="O206" s="222">
        <f t="shared" si="18"/>
        <v>21875</v>
      </c>
      <c r="P206" s="197">
        <v>0</v>
      </c>
      <c r="Q206">
        <v>0</v>
      </c>
      <c r="R206" s="199">
        <v>0</v>
      </c>
      <c r="S206">
        <v>0</v>
      </c>
      <c r="T206" s="200" t="str">
        <f>IFERROR(VLOOKUP($A206,Tabla3[#All],2,0),"no esta registrado")</f>
        <v>Banco Multiple BHD León, S. A.</v>
      </c>
    </row>
    <row r="207" spans="1:20" ht="16.5" hidden="1" x14ac:dyDescent="0.3">
      <c r="A207" s="230" t="s">
        <v>486</v>
      </c>
      <c r="B207" s="193">
        <v>1</v>
      </c>
      <c r="C207" s="194">
        <v>7</v>
      </c>
      <c r="D207" s="195" t="str">
        <f>IF(C207=1,Leyenda!$C$3,IF(C207=2,Leyenda!$C$4,IF(C207=3,Leyenda!$C$5,IF(C207=4,Leyenda!$C$6,IF(C207=5,Leyenda!$C$7,IF(C207=6,Leyenda!$C$8,IF(C207=7,Leyenda!$C$9,IF(C207=8,Leyenda!$C$10," "))))))))&amp;IF(C207=9,Leyenda!$C$11,IF(C207=10,Leyenda!$C$12,IF(C207=11,Leyenda!$C$13,IF(C207=12,Leyenda!D264," "))))</f>
        <v xml:space="preserve">GASTOS FINANCIEROS </v>
      </c>
      <c r="E207" s="202" t="s">
        <v>1399</v>
      </c>
      <c r="F207" s="247">
        <v>45417</v>
      </c>
      <c r="G207" s="247" t="str">
        <f t="shared" si="17"/>
        <v>mayo</v>
      </c>
      <c r="H207" s="191">
        <v>6</v>
      </c>
      <c r="I207" s="148" t="str">
        <f>TEXT(gastos[[#This Row],[Fecha]],"DDDD")</f>
        <v>lunes</v>
      </c>
      <c r="J207" s="249">
        <f t="shared" si="19"/>
        <v>45418</v>
      </c>
      <c r="K207" s="249"/>
      <c r="L207" s="147"/>
      <c r="M207" s="197">
        <v>7500</v>
      </c>
      <c r="N207" s="205">
        <v>0</v>
      </c>
      <c r="O207" s="222">
        <f t="shared" si="18"/>
        <v>7500</v>
      </c>
      <c r="P207" s="197">
        <v>0</v>
      </c>
      <c r="Q207">
        <v>0</v>
      </c>
      <c r="R207" s="199">
        <v>0</v>
      </c>
      <c r="S207">
        <v>0</v>
      </c>
      <c r="T207" s="200" t="str">
        <f>IFERROR(VLOOKUP($A207,Tabla3[#All],2,0),"no esta registrado")</f>
        <v>Banco Multiple BHD León, S. A.</v>
      </c>
    </row>
    <row r="208" spans="1:20" ht="16.5" hidden="1" x14ac:dyDescent="0.3">
      <c r="A208" s="230" t="s">
        <v>489</v>
      </c>
      <c r="B208" s="193">
        <v>1</v>
      </c>
      <c r="C208" s="194">
        <v>7</v>
      </c>
      <c r="D208" s="195" t="str">
        <f>IF(C208=1,Leyenda!$C$3,IF(C208=2,Leyenda!$C$4,IF(C208=3,Leyenda!$C$5,IF(C208=4,Leyenda!$C$6,IF(C208=5,Leyenda!$C$7,IF(C208=6,Leyenda!$C$8,IF(C208=7,Leyenda!$C$9,IF(C208=8,Leyenda!$C$10," "))))))))&amp;IF(C208=9,Leyenda!$C$11,IF(C208=10,Leyenda!$C$12,IF(C208=11,Leyenda!$C$13,IF(C208=12,Leyenda!D265," "))))</f>
        <v xml:space="preserve">GASTOS FINANCIEROS </v>
      </c>
      <c r="E208" s="202" t="s">
        <v>1400</v>
      </c>
      <c r="F208" s="247">
        <v>45417</v>
      </c>
      <c r="G208" s="247" t="str">
        <f t="shared" si="17"/>
        <v>mayo</v>
      </c>
      <c r="H208" s="191">
        <v>31</v>
      </c>
      <c r="I208" s="148" t="str">
        <f>TEXT(gastos[[#This Row],[Fecha]],"DDDD")</f>
        <v>viernes</v>
      </c>
      <c r="J208" s="249">
        <f t="shared" si="19"/>
        <v>45443</v>
      </c>
      <c r="K208" s="249"/>
      <c r="L208" s="147"/>
      <c r="M208" s="197">
        <v>11314.57</v>
      </c>
      <c r="N208" s="205">
        <v>0</v>
      </c>
      <c r="O208" s="222">
        <f t="shared" si="18"/>
        <v>11314.57</v>
      </c>
      <c r="P208" s="197">
        <v>0</v>
      </c>
      <c r="Q208">
        <v>0</v>
      </c>
      <c r="R208" s="199">
        <v>0</v>
      </c>
      <c r="S208">
        <v>0</v>
      </c>
      <c r="T208" s="200" t="str">
        <f>IFERROR(VLOOKUP($A208,Tabla3[#All],2,0),"no esta registrado")</f>
        <v>Banco Popular Dominicano, S. A. Banco Multiple</v>
      </c>
    </row>
    <row r="209" spans="1:20" ht="16.5" hidden="1" x14ac:dyDescent="0.3">
      <c r="A209" s="230" t="s">
        <v>492</v>
      </c>
      <c r="B209" s="193">
        <v>1</v>
      </c>
      <c r="C209" s="194">
        <v>7</v>
      </c>
      <c r="D209" s="195" t="str">
        <f>IF(C209=1,Leyenda!$C$3,IF(C209=2,Leyenda!$C$4,IF(C209=3,Leyenda!$C$5,IF(C209=4,Leyenda!$C$6,IF(C209=5,Leyenda!$C$7,IF(C209=6,Leyenda!$C$8,IF(C209=7,Leyenda!$C$9,IF(C209=8,Leyenda!$C$10," "))))))))&amp;IF(C209=9,Leyenda!$C$11,IF(C209=10,Leyenda!$C$12,IF(C209=11,Leyenda!$C$13,IF(C209=12,Leyenda!D266," "))))</f>
        <v xml:space="preserve">GASTOS FINANCIEROS </v>
      </c>
      <c r="E209" s="202" t="s">
        <v>1401</v>
      </c>
      <c r="F209" s="247">
        <v>45417</v>
      </c>
      <c r="G209" s="247" t="str">
        <f t="shared" si="17"/>
        <v>mayo</v>
      </c>
      <c r="H209" s="191">
        <v>16</v>
      </c>
      <c r="I209" s="148" t="str">
        <f>TEXT(gastos[[#This Row],[Fecha]],"DDDD")</f>
        <v>jueves</v>
      </c>
      <c r="J209" s="249">
        <f t="shared" si="19"/>
        <v>45428</v>
      </c>
      <c r="K209" s="249"/>
      <c r="L209" s="147"/>
      <c r="M209" s="197">
        <v>23943.63</v>
      </c>
      <c r="N209" s="205">
        <v>0</v>
      </c>
      <c r="O209" s="222">
        <f t="shared" si="18"/>
        <v>23943.63</v>
      </c>
      <c r="P209" s="197">
        <v>0</v>
      </c>
      <c r="Q209">
        <v>0</v>
      </c>
      <c r="R209" s="199">
        <v>0</v>
      </c>
      <c r="S209">
        <v>0</v>
      </c>
      <c r="T209" s="200" t="str">
        <f>IFERROR(VLOOKUP($A209,Tabla3[#All],2,0),"no esta registrado")</f>
        <v>Banco Dominicano del Progreso, S. A.//Banco Multiple</v>
      </c>
    </row>
    <row r="210" spans="1:20" ht="16.5" hidden="1" x14ac:dyDescent="0.3">
      <c r="A210" s="230" t="s">
        <v>492</v>
      </c>
      <c r="B210" s="193">
        <v>1</v>
      </c>
      <c r="C210" s="194">
        <v>7</v>
      </c>
      <c r="D210" s="195" t="str">
        <f>IF(C210=1,Leyenda!$C$3,IF(C210=2,Leyenda!$C$4,IF(C210=3,Leyenda!$C$5,IF(C210=4,Leyenda!$C$6,IF(C210=5,Leyenda!$C$7,IF(C210=6,Leyenda!$C$8,IF(C210=7,Leyenda!$C$9,IF(C210=8,Leyenda!$C$10," "))))))))&amp;IF(C210=9,Leyenda!$C$11,IF(C210=10,Leyenda!$C$12,IF(C210=11,Leyenda!$C$13,IF(C210=12,Leyenda!D267," "))))</f>
        <v xml:space="preserve">GASTOS FINANCIEROS </v>
      </c>
      <c r="E210" s="202" t="s">
        <v>1402</v>
      </c>
      <c r="F210" s="247">
        <v>45417</v>
      </c>
      <c r="G210" s="247" t="str">
        <f t="shared" si="17"/>
        <v>mayo</v>
      </c>
      <c r="H210" s="191">
        <v>16</v>
      </c>
      <c r="I210" s="148" t="str">
        <f>TEXT(gastos[[#This Row],[Fecha]],"DDDD")</f>
        <v>jueves</v>
      </c>
      <c r="J210" s="249">
        <f t="shared" si="19"/>
        <v>45428</v>
      </c>
      <c r="K210" s="249"/>
      <c r="L210" s="147"/>
      <c r="M210" s="197">
        <v>2934.8</v>
      </c>
      <c r="N210" s="205">
        <v>0</v>
      </c>
      <c r="O210" s="222">
        <f t="shared" si="18"/>
        <v>2934.8</v>
      </c>
      <c r="P210" s="197">
        <v>0</v>
      </c>
      <c r="Q210">
        <v>0</v>
      </c>
      <c r="R210" s="199">
        <v>0</v>
      </c>
      <c r="S210">
        <v>0</v>
      </c>
      <c r="T210" s="200" t="str">
        <f>IFERROR(VLOOKUP($A210,Tabla3[#All],2,0),"no esta registrado")</f>
        <v>Banco Dominicano del Progreso, S. A.//Banco Multiple</v>
      </c>
    </row>
    <row r="211" spans="1:20" ht="16.5" hidden="1" x14ac:dyDescent="0.3">
      <c r="A211" s="230" t="s">
        <v>492</v>
      </c>
      <c r="B211" s="193">
        <v>1</v>
      </c>
      <c r="C211" s="194">
        <v>7</v>
      </c>
      <c r="D211" s="195" t="str">
        <f>IF(C211=1,Leyenda!$C$3,IF(C211=2,Leyenda!$C$4,IF(C211=3,Leyenda!$C$5,IF(C211=4,Leyenda!$C$6,IF(C211=5,Leyenda!$C$7,IF(C211=6,Leyenda!$C$8,IF(C211=7,Leyenda!$C$9,IF(C211=8,Leyenda!$C$10," "))))))))&amp;IF(C211=9,Leyenda!$C$11,IF(C211=10,Leyenda!$C$12,IF(C211=11,Leyenda!$C$13,IF(C211=12,Leyenda!D268," "))))</f>
        <v xml:space="preserve">GASTOS FINANCIEROS </v>
      </c>
      <c r="E211" s="202" t="s">
        <v>1403</v>
      </c>
      <c r="F211" s="247">
        <v>45417</v>
      </c>
      <c r="G211" s="247" t="str">
        <f t="shared" si="17"/>
        <v>mayo</v>
      </c>
      <c r="H211" s="191">
        <v>16</v>
      </c>
      <c r="I211" s="148" t="str">
        <f>TEXT(gastos[[#This Row],[Fecha]],"DDDD")</f>
        <v>jueves</v>
      </c>
      <c r="J211" s="249">
        <f t="shared" si="19"/>
        <v>45428</v>
      </c>
      <c r="K211" s="249"/>
      <c r="L211" s="147"/>
      <c r="M211" s="197">
        <v>66.930000000000007</v>
      </c>
      <c r="N211" s="205">
        <v>0</v>
      </c>
      <c r="O211" s="222">
        <f t="shared" si="18"/>
        <v>66.930000000000007</v>
      </c>
      <c r="P211" s="197">
        <v>0</v>
      </c>
      <c r="Q211">
        <v>0</v>
      </c>
      <c r="R211" s="199">
        <v>0</v>
      </c>
      <c r="S211">
        <v>0</v>
      </c>
      <c r="T211" s="200" t="str">
        <f>IFERROR(VLOOKUP($A211,Tabla3[#All],2,0),"no esta registrado")</f>
        <v>Banco Dominicano del Progreso, S. A.//Banco Multiple</v>
      </c>
    </row>
    <row r="212" spans="1:20" ht="16.5" hidden="1" x14ac:dyDescent="0.3">
      <c r="A212" s="230" t="s">
        <v>492</v>
      </c>
      <c r="B212" s="193">
        <v>1</v>
      </c>
      <c r="C212" s="194">
        <v>7</v>
      </c>
      <c r="D212" s="195" t="str">
        <f>IF(C212=1,Leyenda!$C$3,IF(C212=2,Leyenda!$C$4,IF(C212=3,Leyenda!$C$5,IF(C212=4,Leyenda!$C$6,IF(C212=5,Leyenda!$C$7,IF(C212=6,Leyenda!$C$8,IF(C212=7,Leyenda!$C$9,IF(C212=8,Leyenda!$C$10," "))))))))&amp;IF(C212=9,Leyenda!$C$11,IF(C212=10,Leyenda!$C$12,IF(C212=11,Leyenda!$C$13,IF(C212=12,Leyenda!D269," "))))</f>
        <v xml:space="preserve">GASTOS FINANCIEROS </v>
      </c>
      <c r="E212" s="202" t="s">
        <v>1404</v>
      </c>
      <c r="F212" s="247">
        <v>45417</v>
      </c>
      <c r="G212" s="247" t="str">
        <f t="shared" si="17"/>
        <v>mayo</v>
      </c>
      <c r="H212" s="191">
        <v>21</v>
      </c>
      <c r="I212" s="148" t="str">
        <f>TEXT(gastos[[#This Row],[Fecha]],"DDDD")</f>
        <v>martes</v>
      </c>
      <c r="J212" s="249">
        <f t="shared" si="19"/>
        <v>45433</v>
      </c>
      <c r="K212" s="249"/>
      <c r="L212" s="147"/>
      <c r="M212" s="197">
        <v>179.95</v>
      </c>
      <c r="N212" s="205">
        <v>0</v>
      </c>
      <c r="O212" s="222">
        <f t="shared" si="18"/>
        <v>179.95</v>
      </c>
      <c r="P212" s="197">
        <v>0</v>
      </c>
      <c r="Q212">
        <v>0</v>
      </c>
      <c r="R212" s="199">
        <v>0</v>
      </c>
      <c r="S212">
        <v>0</v>
      </c>
      <c r="T212" s="200" t="str">
        <f>IFERROR(VLOOKUP($A212,Tabla3[#All],2,0),"no esta registrado")</f>
        <v>Banco Dominicano del Progreso, S. A.//Banco Multiple</v>
      </c>
    </row>
    <row r="213" spans="1:20" ht="16.5" hidden="1" x14ac:dyDescent="0.3">
      <c r="A213" s="230" t="s">
        <v>492</v>
      </c>
      <c r="B213" s="193">
        <v>1</v>
      </c>
      <c r="C213" s="194">
        <v>7</v>
      </c>
      <c r="D213" s="195" t="str">
        <f>IF(C213=1,Leyenda!$C$3,IF(C213=2,Leyenda!$C$4,IF(C213=3,Leyenda!$C$5,IF(C213=4,Leyenda!$C$6,IF(C213=5,Leyenda!$C$7,IF(C213=6,Leyenda!$C$8,IF(C213=7,Leyenda!$C$9,IF(C213=8,Leyenda!$C$10," "))))))))&amp;IF(C213=9,Leyenda!$C$11,IF(C213=10,Leyenda!$C$12,IF(C213=11,Leyenda!$C$13,IF(C213=12,Leyenda!D270," "))))</f>
        <v xml:space="preserve">GASTOS FINANCIEROS </v>
      </c>
      <c r="E213" s="202" t="s">
        <v>1405</v>
      </c>
      <c r="F213" s="247">
        <v>45417</v>
      </c>
      <c r="G213" s="247" t="str">
        <f t="shared" ref="G213:G276" si="20">TEXT(F213,"MMMM")</f>
        <v>mayo</v>
      </c>
      <c r="H213" s="191">
        <v>31</v>
      </c>
      <c r="I213" s="148" t="str">
        <f>TEXT(gastos[[#This Row],[Fecha]],"DDDD")</f>
        <v>viernes</v>
      </c>
      <c r="J213" s="249">
        <f t="shared" si="19"/>
        <v>45443</v>
      </c>
      <c r="K213" s="249"/>
      <c r="L213" s="147"/>
      <c r="M213" s="197">
        <v>400</v>
      </c>
      <c r="N213" s="205">
        <v>0</v>
      </c>
      <c r="O213" s="222">
        <f t="shared" si="18"/>
        <v>400</v>
      </c>
      <c r="P213" s="197">
        <v>0</v>
      </c>
      <c r="Q213">
        <v>0</v>
      </c>
      <c r="R213" s="199">
        <v>0</v>
      </c>
      <c r="S213">
        <v>0</v>
      </c>
      <c r="T213" s="200" t="str">
        <f>IFERROR(VLOOKUP($A213,Tabla3[#All],2,0),"no esta registrado")</f>
        <v>Banco Dominicano del Progreso, S. A.//Banco Multiple</v>
      </c>
    </row>
    <row r="214" spans="1:20" ht="16.5" hidden="1" x14ac:dyDescent="0.3">
      <c r="A214" s="230" t="s">
        <v>909</v>
      </c>
      <c r="B214" s="193">
        <v>1</v>
      </c>
      <c r="C214" s="194">
        <v>4</v>
      </c>
      <c r="D214" s="195" t="str">
        <f>IF(C214=1,Leyenda!$C$3,IF(C214=2,Leyenda!$C$4,IF(C214=3,Leyenda!$C$5,IF(C214=4,Leyenda!$C$6,IF(C214=5,Leyenda!$C$7,IF(C214=6,Leyenda!$C$8,IF(C214=7,Leyenda!$C$9,IF(C214=8,Leyenda!$C$10," "))))))))&amp;IF(C214=9,Leyenda!$C$11,IF(C214=10,Leyenda!$C$12,IF(C214=11,Leyenda!$C$13,IF(C214=12,Leyenda!D271," "))))</f>
        <v xml:space="preserve">GASTOS DE ACTIVOS FIJO </v>
      </c>
      <c r="E214" s="196" t="s">
        <v>1406</v>
      </c>
      <c r="F214" s="248">
        <v>45457</v>
      </c>
      <c r="G214" s="247" t="str">
        <f t="shared" si="20"/>
        <v>junio</v>
      </c>
      <c r="H214" s="191">
        <v>14</v>
      </c>
      <c r="I214" s="148" t="str">
        <f>TEXT(gastos[[#This Row],[Fecha]],"DDDD")</f>
        <v>viernes</v>
      </c>
      <c r="J214" s="249">
        <f t="shared" si="19"/>
        <v>45457</v>
      </c>
      <c r="K214" s="249"/>
      <c r="L214" s="147"/>
      <c r="M214" s="197">
        <v>0</v>
      </c>
      <c r="N214" s="197">
        <v>1000</v>
      </c>
      <c r="O214" s="198">
        <f t="shared" ref="O214:O253" si="21">SUM(M214:N214)</f>
        <v>1000</v>
      </c>
      <c r="P214" s="199">
        <v>0</v>
      </c>
      <c r="Q214" s="199">
        <v>0</v>
      </c>
      <c r="R214" s="199">
        <v>0</v>
      </c>
      <c r="S214">
        <v>0</v>
      </c>
      <c r="T214" s="200" t="str">
        <f>IFERROR(VLOOKUP($A214,Tabla3[#All],2,0),"no esta registrado")</f>
        <v>Strata, S.R.L.</v>
      </c>
    </row>
    <row r="215" spans="1:20" ht="16.5" hidden="1" x14ac:dyDescent="0.3">
      <c r="A215" s="230" t="s">
        <v>909</v>
      </c>
      <c r="B215" s="193">
        <v>1</v>
      </c>
      <c r="C215" s="194">
        <v>4</v>
      </c>
      <c r="D215" s="195" t="str">
        <f>IF(C215=1,Leyenda!$C$3,IF(C215=2,Leyenda!$C$4,IF(C215=3,Leyenda!$C$5,IF(C215=4,Leyenda!$C$6,IF(C215=5,Leyenda!$C$7,IF(C215=6,Leyenda!$C$8,IF(C215=7,Leyenda!$C$9,IF(C215=8,Leyenda!$C$10," "))))))))&amp;IF(C215=9,Leyenda!$C$11,IF(C215=10,Leyenda!$C$12,IF(C215=11,Leyenda!$C$13,IF(C215=12,Leyenda!D272," "))))</f>
        <v xml:space="preserve">GASTOS DE ACTIVOS FIJO </v>
      </c>
      <c r="E215" s="196" t="s">
        <v>1407</v>
      </c>
      <c r="F215" s="247">
        <v>45460</v>
      </c>
      <c r="G215" s="247" t="str">
        <f t="shared" si="20"/>
        <v>junio</v>
      </c>
      <c r="H215" s="191">
        <v>17</v>
      </c>
      <c r="I215" s="148" t="str">
        <f>TEXT(gastos[[#This Row],[Fecha]],"DDDD")</f>
        <v>lunes</v>
      </c>
      <c r="J215" s="249">
        <f t="shared" si="19"/>
        <v>45460</v>
      </c>
      <c r="K215" s="249"/>
      <c r="L215" s="147"/>
      <c r="M215" s="197">
        <v>0</v>
      </c>
      <c r="N215" s="197">
        <v>3247</v>
      </c>
      <c r="O215" s="198">
        <f t="shared" si="21"/>
        <v>3247</v>
      </c>
      <c r="P215" s="199">
        <v>0</v>
      </c>
      <c r="Q215" s="199">
        <v>0</v>
      </c>
      <c r="R215" s="199">
        <v>0</v>
      </c>
      <c r="S215">
        <v>0</v>
      </c>
      <c r="T215" s="200" t="str">
        <f>IFERROR(VLOOKUP($A215,Tabla3[#All],2,0),"no esta registrado")</f>
        <v>Strata, S.R.L.</v>
      </c>
    </row>
    <row r="216" spans="1:20" ht="16.5" hidden="1" x14ac:dyDescent="0.3">
      <c r="A216" s="230" t="s">
        <v>1128</v>
      </c>
      <c r="B216" s="193">
        <v>1</v>
      </c>
      <c r="C216" s="194">
        <v>2</v>
      </c>
      <c r="D216" s="195" t="str">
        <f>IF(C216=1,Leyenda!$C$3,IF(C216=2,Leyenda!$C$4,IF(C216=3,Leyenda!$C$5,IF(C216=4,Leyenda!$C$6,IF(C216=5,Leyenda!$C$7,IF(C216=6,Leyenda!$C$8,IF(C216=7,Leyenda!$C$9,IF(C216=8,Leyenda!$C$10," "))))))))&amp;IF(C216=9,Leyenda!$C$11,IF(C216=10,Leyenda!$C$12,IF(C216=11,Leyenda!$C$13,IF(C216=12,Leyenda!D273," "))))</f>
        <v xml:space="preserve">GASTOS POR TRABAJOS, SUMINISTROS Y SERVICIOS </v>
      </c>
      <c r="E216" s="196" t="s">
        <v>1408</v>
      </c>
      <c r="F216" s="247">
        <v>45460</v>
      </c>
      <c r="G216" s="247" t="str">
        <f t="shared" si="20"/>
        <v>junio</v>
      </c>
      <c r="H216" s="191">
        <v>2</v>
      </c>
      <c r="I216" s="148" t="str">
        <f>TEXT(gastos[[#This Row],[Fecha]],"DDDD")</f>
        <v>domingo</v>
      </c>
      <c r="J216" s="249">
        <f t="shared" si="19"/>
        <v>45445</v>
      </c>
      <c r="K216" s="249"/>
      <c r="L216" s="147"/>
      <c r="M216" s="197">
        <v>0</v>
      </c>
      <c r="N216" s="197">
        <f>499.98-76.27</f>
        <v>423.71000000000004</v>
      </c>
      <c r="O216" s="198">
        <f t="shared" si="21"/>
        <v>423.71000000000004</v>
      </c>
      <c r="P216" s="199">
        <v>76.27</v>
      </c>
      <c r="Q216" s="199">
        <v>0</v>
      </c>
      <c r="R216" s="199">
        <v>0</v>
      </c>
      <c r="S216">
        <v>0</v>
      </c>
      <c r="T216" s="200" t="str">
        <f>IFERROR(VLOOKUP($A216,Tabla3[#All],2,0),"no esta registrado")</f>
        <v>Abastek Marketing SRL</v>
      </c>
    </row>
    <row r="217" spans="1:20" ht="16.5" hidden="1" x14ac:dyDescent="0.3">
      <c r="A217" s="230" t="s">
        <v>1298</v>
      </c>
      <c r="B217" s="193">
        <v>1</v>
      </c>
      <c r="C217" s="194">
        <v>2</v>
      </c>
      <c r="D217" s="195" t="str">
        <f>IF(C217=1,Leyenda!$C$3,IF(C217=2,Leyenda!$C$4,IF(C217=3,Leyenda!$C$5,IF(C217=4,Leyenda!$C$6,IF(C217=5,Leyenda!$C$7,IF(C217=6,Leyenda!$C$8,IF(C217=7,Leyenda!$C$9,IF(C217=8,Leyenda!$C$10," "))))))))&amp;IF(C217=9,Leyenda!$C$11,IF(C217=10,Leyenda!$C$12,IF(C217=11,Leyenda!$C$13,IF(C217=12,Leyenda!D274," "))))</f>
        <v xml:space="preserve">GASTOS POR TRABAJOS, SUMINISTROS Y SERVICIOS </v>
      </c>
      <c r="E217" s="196" t="s">
        <v>1409</v>
      </c>
      <c r="F217" s="247">
        <v>45460</v>
      </c>
      <c r="G217" s="247" t="str">
        <f t="shared" si="20"/>
        <v>junio</v>
      </c>
      <c r="H217" s="191">
        <v>3</v>
      </c>
      <c r="I217" s="148" t="str">
        <f>TEXT(gastos[[#This Row],[Fecha]],"DDDD")</f>
        <v>lunes</v>
      </c>
      <c r="J217" s="249">
        <f t="shared" si="19"/>
        <v>45446</v>
      </c>
      <c r="K217" s="249"/>
      <c r="L217" s="147"/>
      <c r="M217" s="197">
        <v>0</v>
      </c>
      <c r="N217" s="197">
        <f>1150-175.42</f>
        <v>974.58</v>
      </c>
      <c r="O217" s="198">
        <f t="shared" si="21"/>
        <v>974.58</v>
      </c>
      <c r="P217" s="199">
        <v>175.42</v>
      </c>
      <c r="Q217" s="199">
        <v>0</v>
      </c>
      <c r="R217" s="199">
        <v>0</v>
      </c>
      <c r="S217">
        <v>0</v>
      </c>
      <c r="T217" s="200" t="str">
        <f>IFERROR(VLOOKUP($A217,Tabla3[#All],2,0),"no esta registrado")</f>
        <v>no esta registrado</v>
      </c>
    </row>
    <row r="218" spans="1:20" ht="16.5" hidden="1" x14ac:dyDescent="0.3">
      <c r="A218" s="230" t="s">
        <v>1124</v>
      </c>
      <c r="B218" s="193">
        <v>1</v>
      </c>
      <c r="C218" s="194">
        <v>2</v>
      </c>
      <c r="D218" s="195" t="str">
        <f>IF(C218=1,Leyenda!$C$3,IF(C218=2,Leyenda!$C$4,IF(C218=3,Leyenda!$C$5,IF(C218=4,Leyenda!$C$6,IF(C218=5,Leyenda!$C$7,IF(C218=6,Leyenda!$C$8,IF(C218=7,Leyenda!$C$9,IF(C218=8,Leyenda!$C$10," "))))))))&amp;IF(C218=9,Leyenda!$C$11,IF(C218=10,Leyenda!$C$12,IF(C218=11,Leyenda!$C$13,IF(C218=12,Leyenda!D275," "))))</f>
        <v xml:space="preserve">GASTOS POR TRABAJOS, SUMINISTROS Y SERVICIOS </v>
      </c>
      <c r="E218" s="196" t="s">
        <v>1410</v>
      </c>
      <c r="F218" s="247">
        <v>45460</v>
      </c>
      <c r="G218" s="247" t="str">
        <f t="shared" si="20"/>
        <v>junio</v>
      </c>
      <c r="H218" s="191">
        <v>3</v>
      </c>
      <c r="I218" s="148" t="str">
        <f>TEXT(gastos[[#This Row],[Fecha]],"DDDD")</f>
        <v>lunes</v>
      </c>
      <c r="J218" s="249">
        <f t="shared" si="19"/>
        <v>45446</v>
      </c>
      <c r="K218" s="249"/>
      <c r="L218" s="147"/>
      <c r="M218" s="197">
        <v>0</v>
      </c>
      <c r="N218" s="197">
        <v>1269.5</v>
      </c>
      <c r="O218" s="198">
        <f t="shared" si="21"/>
        <v>1269.5</v>
      </c>
      <c r="P218" s="199">
        <v>228.51</v>
      </c>
      <c r="Q218" s="199">
        <v>0</v>
      </c>
      <c r="R218" s="199">
        <v>0</v>
      </c>
      <c r="S218">
        <v>0</v>
      </c>
      <c r="T218" s="200" t="str">
        <f>IFERROR(VLOOKUP($A218,Tabla3[#All],2,0),"no esta registrado")</f>
        <v>Little Ceasars Pizza Alma Rosa</v>
      </c>
    </row>
    <row r="219" spans="1:20" ht="16.5" hidden="1" x14ac:dyDescent="0.3">
      <c r="A219" s="230" t="s">
        <v>533</v>
      </c>
      <c r="B219" s="193">
        <v>1</v>
      </c>
      <c r="C219" s="194">
        <v>2</v>
      </c>
      <c r="D219" s="195" t="str">
        <f>IF(C219=1,Leyenda!$C$3,IF(C219=2,Leyenda!$C$4,IF(C219=3,Leyenda!$C$5,IF(C219=4,Leyenda!$C$6,IF(C219=5,Leyenda!$C$7,IF(C219=6,Leyenda!$C$8,IF(C219=7,Leyenda!$C$9,IF(C219=8,Leyenda!$C$10," "))))))))&amp;IF(C219=9,Leyenda!$C$11,IF(C219=10,Leyenda!$C$12,IF(C219=11,Leyenda!$C$13,IF(C219=12,Leyenda!D276," "))))</f>
        <v xml:space="preserve">GASTOS POR TRABAJOS, SUMINISTROS Y SERVICIOS </v>
      </c>
      <c r="E219" s="196" t="s">
        <v>1411</v>
      </c>
      <c r="F219" s="247">
        <v>45460</v>
      </c>
      <c r="G219" s="247" t="str">
        <f t="shared" si="20"/>
        <v>junio</v>
      </c>
      <c r="H219" s="191">
        <v>4</v>
      </c>
      <c r="I219" s="148" t="str">
        <f>TEXT(gastos[[#This Row],[Fecha]],"DDDD")</f>
        <v>martes</v>
      </c>
      <c r="J219" s="249">
        <f t="shared" si="19"/>
        <v>45447</v>
      </c>
      <c r="K219" s="249"/>
      <c r="L219" s="147"/>
      <c r="M219" s="197">
        <v>0</v>
      </c>
      <c r="N219" s="197">
        <v>1386.42</v>
      </c>
      <c r="O219" s="198">
        <f t="shared" si="21"/>
        <v>1386.42</v>
      </c>
      <c r="P219" s="199">
        <v>157.5</v>
      </c>
      <c r="Q219" s="199">
        <v>0</v>
      </c>
      <c r="R219" s="199">
        <v>0</v>
      </c>
      <c r="S219">
        <v>0</v>
      </c>
      <c r="T219" s="200" t="str">
        <f>IFERROR(VLOOKUP($A219,Tabla3[#All],2,0),"no esta registrado")</f>
        <v>Farmacía Medicar GBC, A. H.</v>
      </c>
    </row>
    <row r="220" spans="1:20" ht="16.5" hidden="1" x14ac:dyDescent="0.3">
      <c r="A220" s="230" t="s">
        <v>1307</v>
      </c>
      <c r="B220" s="193">
        <v>1</v>
      </c>
      <c r="C220" s="194">
        <v>2</v>
      </c>
      <c r="D220" s="195" t="str">
        <f>IF(C220=1,Leyenda!$C$3,IF(C220=2,Leyenda!$C$4,IF(C220=3,Leyenda!$C$5,IF(C220=4,Leyenda!$C$6,IF(C220=5,Leyenda!$C$7,IF(C220=6,Leyenda!$C$8,IF(C220=7,Leyenda!$C$9,IF(C220=8,Leyenda!$C$10," "))))))))&amp;IF(C220=9,Leyenda!$C$11,IF(C220=10,Leyenda!$C$12,IF(C220=11,Leyenda!$C$13,IF(C220=12,Leyenda!D277," "))))</f>
        <v xml:space="preserve">GASTOS POR TRABAJOS, SUMINISTROS Y SERVICIOS </v>
      </c>
      <c r="E220" s="196" t="s">
        <v>1412</v>
      </c>
      <c r="F220" s="247">
        <v>45460</v>
      </c>
      <c r="G220" s="247" t="str">
        <f t="shared" si="20"/>
        <v>junio</v>
      </c>
      <c r="H220" s="191">
        <v>1</v>
      </c>
      <c r="I220" s="148" t="str">
        <f>TEXT(gastos[[#This Row],[Fecha]],"DDDD")</f>
        <v>sábado</v>
      </c>
      <c r="J220" s="249">
        <f t="shared" si="19"/>
        <v>45444</v>
      </c>
      <c r="K220" s="249"/>
      <c r="L220" s="147"/>
      <c r="M220" s="197">
        <v>3267</v>
      </c>
      <c r="N220" s="197">
        <v>0</v>
      </c>
      <c r="O220" s="198">
        <f t="shared" si="21"/>
        <v>3267</v>
      </c>
      <c r="P220" s="199">
        <v>0</v>
      </c>
      <c r="Q220" s="199">
        <v>0</v>
      </c>
      <c r="R220" s="199">
        <v>0</v>
      </c>
      <c r="S220">
        <v>0</v>
      </c>
      <c r="T220" s="200" t="str">
        <f>IFERROR(VLOOKUP($A220,Tabla3[#All],2,0),"no esta registrado")</f>
        <v>no esta registrado</v>
      </c>
    </row>
    <row r="221" spans="1:20" ht="16.5" hidden="1" x14ac:dyDescent="0.3">
      <c r="A221" s="230" t="s">
        <v>1307</v>
      </c>
      <c r="B221" s="193">
        <v>1</v>
      </c>
      <c r="C221" s="194">
        <v>2</v>
      </c>
      <c r="D221" s="195" t="str">
        <f>IF(C221=1,Leyenda!$C$3,IF(C221=2,Leyenda!$C$4,IF(C221=3,Leyenda!$C$5,IF(C221=4,Leyenda!$C$6,IF(C221=5,Leyenda!$C$7,IF(C221=6,Leyenda!$C$8,IF(C221=7,Leyenda!$C$9,IF(C221=8,Leyenda!$C$10," "))))))))&amp;IF(C221=9,Leyenda!$C$11,IF(C221=10,Leyenda!$C$12,IF(C221=11,Leyenda!$C$13,IF(C221=12,Leyenda!D278," "))))</f>
        <v xml:space="preserve">GASTOS POR TRABAJOS, SUMINISTROS Y SERVICIOS </v>
      </c>
      <c r="E221" s="196" t="s">
        <v>1413</v>
      </c>
      <c r="F221" s="247">
        <v>45460</v>
      </c>
      <c r="G221" s="247" t="str">
        <f t="shared" si="20"/>
        <v>junio</v>
      </c>
      <c r="H221" s="191">
        <v>12</v>
      </c>
      <c r="I221" s="148" t="str">
        <f>TEXT(gastos[[#This Row],[Fecha]],"DDDD")</f>
        <v>miércoles</v>
      </c>
      <c r="J221" s="249">
        <f t="shared" si="19"/>
        <v>45455</v>
      </c>
      <c r="K221" s="249"/>
      <c r="L221" s="147"/>
      <c r="M221" s="197">
        <v>1866.9</v>
      </c>
      <c r="N221" s="197">
        <v>0</v>
      </c>
      <c r="O221" s="198">
        <f t="shared" si="21"/>
        <v>1866.9</v>
      </c>
      <c r="P221" s="199">
        <v>0</v>
      </c>
      <c r="Q221" s="199">
        <v>0</v>
      </c>
      <c r="R221" s="199">
        <v>0</v>
      </c>
      <c r="S221">
        <v>0</v>
      </c>
      <c r="T221" s="200" t="str">
        <f>IFERROR(VLOOKUP($A221,Tabla3[#All],2,0),"no esta registrado")</f>
        <v>no esta registrado</v>
      </c>
    </row>
    <row r="222" spans="1:20" ht="16.5" hidden="1" x14ac:dyDescent="0.3">
      <c r="A222" s="231" t="s">
        <v>1414</v>
      </c>
      <c r="B222" s="193">
        <v>1</v>
      </c>
      <c r="C222" s="194">
        <v>2</v>
      </c>
      <c r="D222" s="195" t="str">
        <f>IF(C222=1,Leyenda!$C$3,IF(C222=2,Leyenda!$C$4,IF(C222=3,Leyenda!$C$5,IF(C222=4,Leyenda!$C$6,IF(C222=5,Leyenda!$C$7,IF(C222=6,Leyenda!$C$8,IF(C222=7,Leyenda!$C$9,IF(C222=8,Leyenda!$C$10," "))))))))&amp;IF(C222=9,Leyenda!$C$11,IF(C222=10,Leyenda!$C$12,IF(C222=11,Leyenda!$C$13,IF(C222=12,Leyenda!D279," "))))</f>
        <v xml:space="preserve">GASTOS POR TRABAJOS, SUMINISTROS Y SERVICIOS </v>
      </c>
      <c r="E222" s="196" t="s">
        <v>1415</v>
      </c>
      <c r="F222" s="247">
        <v>45460</v>
      </c>
      <c r="G222" s="247" t="str">
        <f t="shared" si="20"/>
        <v>junio</v>
      </c>
      <c r="H222" s="191">
        <v>11</v>
      </c>
      <c r="I222" s="148" t="str">
        <f>TEXT(gastos[[#This Row],[Fecha]],"DDDD")</f>
        <v>martes</v>
      </c>
      <c r="J222" s="249">
        <f t="shared" si="19"/>
        <v>45454</v>
      </c>
      <c r="K222" s="249"/>
      <c r="L222" s="147"/>
      <c r="M222" s="197">
        <v>0</v>
      </c>
      <c r="N222" s="197">
        <v>1063.56</v>
      </c>
      <c r="O222" s="198">
        <f t="shared" si="21"/>
        <v>1063.56</v>
      </c>
      <c r="P222" s="199">
        <v>191.44</v>
      </c>
      <c r="Q222" s="199">
        <v>0</v>
      </c>
      <c r="R222" s="199">
        <v>0</v>
      </c>
      <c r="S222">
        <v>0</v>
      </c>
      <c r="T222" s="200" t="str">
        <f>IFERROR(VLOOKUP($A222,Tabla3[#All],2,0),"no esta registrado")</f>
        <v>no esta registrado</v>
      </c>
    </row>
    <row r="223" spans="1:20" ht="16.5" hidden="1" x14ac:dyDescent="0.3">
      <c r="A223" s="230" t="s">
        <v>504</v>
      </c>
      <c r="B223" s="193">
        <v>1</v>
      </c>
      <c r="C223" s="194">
        <v>2</v>
      </c>
      <c r="D223" s="195" t="str">
        <f>IF(C223=1,Leyenda!$C$3,IF(C223=2,Leyenda!$C$4,IF(C223=3,Leyenda!$C$5,IF(C223=4,Leyenda!$C$6,IF(C223=5,Leyenda!$C$7,IF(C223=6,Leyenda!$C$8,IF(C223=7,Leyenda!$C$9,IF(C223=8,Leyenda!$C$10," "))))))))&amp;IF(C223=9,Leyenda!$C$11,IF(C223=10,Leyenda!$C$12,IF(C223=11,Leyenda!$C$13,IF(C223=12,Leyenda!D280," "))))</f>
        <v xml:space="preserve">GASTOS POR TRABAJOS, SUMINISTROS Y SERVICIOS </v>
      </c>
      <c r="E223" s="196" t="s">
        <v>1416</v>
      </c>
      <c r="F223" s="247">
        <v>45460</v>
      </c>
      <c r="G223" s="247" t="str">
        <f t="shared" si="20"/>
        <v>junio</v>
      </c>
      <c r="H223" s="191">
        <v>1</v>
      </c>
      <c r="I223" s="148" t="str">
        <f>TEXT(gastos[[#This Row],[Fecha]],"DDDD")</f>
        <v>sábado</v>
      </c>
      <c r="J223" s="249">
        <f t="shared" si="19"/>
        <v>45444</v>
      </c>
      <c r="K223" s="249"/>
      <c r="L223" s="147"/>
      <c r="M223" s="197">
        <v>0</v>
      </c>
      <c r="N223" s="197">
        <v>995</v>
      </c>
      <c r="O223" s="198">
        <f t="shared" si="21"/>
        <v>995</v>
      </c>
      <c r="P223" s="199">
        <v>0</v>
      </c>
      <c r="Q223" s="199">
        <v>0</v>
      </c>
      <c r="R223" s="199">
        <v>0</v>
      </c>
      <c r="S223">
        <v>0</v>
      </c>
      <c r="T223" s="200" t="str">
        <f>IFERROR(VLOOKUP($A223,Tabla3[#All],2,0),"no esta registrado")</f>
        <v>Centro Cuesta Nacional S.A.S.//Supermercados Nacional//Casa Cuesta//Ferretería Cuesta//JUMBO//Bebemundo</v>
      </c>
    </row>
    <row r="224" spans="1:20" ht="16.5" hidden="1" x14ac:dyDescent="0.3">
      <c r="A224" s="230" t="s">
        <v>504</v>
      </c>
      <c r="B224" s="193">
        <v>1</v>
      </c>
      <c r="C224" s="194">
        <v>2</v>
      </c>
      <c r="D224" s="195" t="str">
        <f>IF(C224=1,Leyenda!$C$3,IF(C224=2,Leyenda!$C$4,IF(C224=3,Leyenda!$C$5,IF(C224=4,Leyenda!$C$6,IF(C224=5,Leyenda!$C$7,IF(C224=6,Leyenda!$C$8,IF(C224=7,Leyenda!$C$9,IF(C224=8,Leyenda!$C$10," "))))))))&amp;IF(C224=9,Leyenda!$C$11,IF(C224=10,Leyenda!$C$12,IF(C224=11,Leyenda!$C$13,IF(C224=12,Leyenda!D281," "))))</f>
        <v xml:space="preserve">GASTOS POR TRABAJOS, SUMINISTROS Y SERVICIOS </v>
      </c>
      <c r="E224" s="196" t="s">
        <v>1417</v>
      </c>
      <c r="F224" s="247">
        <v>45460</v>
      </c>
      <c r="G224" s="247" t="str">
        <f t="shared" si="20"/>
        <v>junio</v>
      </c>
      <c r="H224" s="191">
        <v>2</v>
      </c>
      <c r="I224" s="148" t="str">
        <f>TEXT(gastos[[#This Row],[Fecha]],"DDDD")</f>
        <v>domingo</v>
      </c>
      <c r="J224" s="249">
        <f t="shared" si="19"/>
        <v>45445</v>
      </c>
      <c r="K224" s="249"/>
      <c r="L224" s="147"/>
      <c r="M224" s="197">
        <v>0</v>
      </c>
      <c r="N224" s="197">
        <f>959.95-146.44</f>
        <v>813.51</v>
      </c>
      <c r="O224" s="198">
        <f t="shared" si="21"/>
        <v>813.51</v>
      </c>
      <c r="P224" s="199">
        <v>146.44</v>
      </c>
      <c r="Q224" s="199">
        <v>0</v>
      </c>
      <c r="R224" s="199">
        <v>0</v>
      </c>
      <c r="S224">
        <v>0</v>
      </c>
      <c r="T224" s="200" t="str">
        <f>IFERROR(VLOOKUP($A224,Tabla3[#All],2,0),"no esta registrado")</f>
        <v>Centro Cuesta Nacional S.A.S.//Supermercados Nacional//Casa Cuesta//Ferretería Cuesta//JUMBO//Bebemundo</v>
      </c>
    </row>
    <row r="225" spans="1:20" ht="16.5" hidden="1" x14ac:dyDescent="0.3">
      <c r="A225" s="230" t="s">
        <v>1126</v>
      </c>
      <c r="B225" s="193">
        <v>1</v>
      </c>
      <c r="C225" s="194">
        <v>2</v>
      </c>
      <c r="D225" s="195" t="str">
        <f>IF(C225=1,Leyenda!$C$3,IF(C225=2,Leyenda!$C$4,IF(C225=3,Leyenda!$C$5,IF(C225=4,Leyenda!$C$6,IF(C225=5,Leyenda!$C$7,IF(C225=6,Leyenda!$C$8,IF(C225=7,Leyenda!$C$9,IF(C225=8,Leyenda!$C$10," "))))))))&amp;IF(C225=9,Leyenda!$C$11,IF(C225=10,Leyenda!$C$12,IF(C225=11,Leyenda!$C$13,IF(C225=12,Leyenda!D282," "))))</f>
        <v xml:space="preserve">GASTOS POR TRABAJOS, SUMINISTROS Y SERVICIOS </v>
      </c>
      <c r="E225" s="196" t="s">
        <v>1418</v>
      </c>
      <c r="F225" s="247">
        <v>45460</v>
      </c>
      <c r="G225" s="247" t="str">
        <f t="shared" si="20"/>
        <v>junio</v>
      </c>
      <c r="H225" s="191">
        <v>3</v>
      </c>
      <c r="I225" s="148" t="str">
        <f>TEXT(gastos[[#This Row],[Fecha]],"DDDD")</f>
        <v>lunes</v>
      </c>
      <c r="J225" s="249">
        <f t="shared" si="19"/>
        <v>45446</v>
      </c>
      <c r="K225" s="249"/>
      <c r="L225" s="147"/>
      <c r="M225" s="197">
        <v>0</v>
      </c>
      <c r="N225" s="197">
        <f>195+1381.36</f>
        <v>1576.36</v>
      </c>
      <c r="O225" s="198">
        <f t="shared" si="21"/>
        <v>1576.36</v>
      </c>
      <c r="P225" s="199">
        <v>248.65</v>
      </c>
      <c r="Q225" s="199">
        <v>0</v>
      </c>
      <c r="R225" s="199">
        <v>0</v>
      </c>
      <c r="S225">
        <v>0</v>
      </c>
      <c r="T225" s="200" t="str">
        <f>IFERROR(VLOOKUP($A225,Tabla3[#All],2,0),"no esta registrado")</f>
        <v>Floremch Importaciones SRL</v>
      </c>
    </row>
    <row r="226" spans="1:20" ht="16.5" hidden="1" x14ac:dyDescent="0.3">
      <c r="A226" s="230" t="s">
        <v>507</v>
      </c>
      <c r="B226" s="193">
        <v>1</v>
      </c>
      <c r="C226" s="194">
        <v>2</v>
      </c>
      <c r="D226" s="195" t="str">
        <f>IF(C226=1,Leyenda!$C$3,IF(C226=2,Leyenda!$C$4,IF(C226=3,Leyenda!$C$5,IF(C226=4,Leyenda!$C$6,IF(C226=5,Leyenda!$C$7,IF(C226=6,Leyenda!$C$8,IF(C226=7,Leyenda!$C$9,IF(C226=8,Leyenda!$C$10," "))))))))&amp;IF(C226=9,Leyenda!$C$11,IF(C226=10,Leyenda!$C$12,IF(C226=11,Leyenda!$C$13,IF(C226=12,Leyenda!D283," "))))</f>
        <v xml:space="preserve">GASTOS POR TRABAJOS, SUMINISTROS Y SERVICIOS </v>
      </c>
      <c r="E226" s="196" t="s">
        <v>1419</v>
      </c>
      <c r="F226" s="247">
        <v>45460</v>
      </c>
      <c r="G226" s="247" t="str">
        <f t="shared" si="20"/>
        <v>junio</v>
      </c>
      <c r="H226" s="191">
        <v>9</v>
      </c>
      <c r="I226" s="148" t="str">
        <f>TEXT(gastos[[#This Row],[Fecha]],"DDDD")</f>
        <v>domingo</v>
      </c>
      <c r="J226" s="249">
        <f t="shared" si="19"/>
        <v>45452</v>
      </c>
      <c r="K226" s="249"/>
      <c r="L226" s="147"/>
      <c r="M226" s="197">
        <v>0</v>
      </c>
      <c r="N226" s="197">
        <f>1664-238.73</f>
        <v>1425.27</v>
      </c>
      <c r="O226" s="198">
        <f t="shared" si="21"/>
        <v>1425.27</v>
      </c>
      <c r="P226" s="199">
        <v>238.73</v>
      </c>
      <c r="Q226" s="199">
        <v>0</v>
      </c>
      <c r="R226" s="199">
        <v>0</v>
      </c>
      <c r="S226">
        <v>0</v>
      </c>
      <c r="T226" s="200" t="str">
        <f>IFERROR(VLOOKUP($A226,Tabla3[#All],2,0),"no esta registrado")</f>
        <v>Grupo Ramos, S. A.//Super Pola//La Sirena</v>
      </c>
    </row>
    <row r="227" spans="1:20" ht="16.5" hidden="1" x14ac:dyDescent="0.3">
      <c r="A227" s="231" t="s">
        <v>1420</v>
      </c>
      <c r="B227" s="193">
        <v>1</v>
      </c>
      <c r="C227" s="194">
        <v>2</v>
      </c>
      <c r="D227" s="195" t="str">
        <f>IF(C227=1,Leyenda!$C$3,IF(C227=2,Leyenda!$C$4,IF(C227=3,Leyenda!$C$5,IF(C227=4,Leyenda!$C$6,IF(C227=5,Leyenda!$C$7,IF(C227=6,Leyenda!$C$8,IF(C227=7,Leyenda!$C$9,IF(C227=8,Leyenda!$C$10," "))))))))&amp;IF(C227=9,Leyenda!$C$11,IF(C227=10,Leyenda!$C$12,IF(C227=11,Leyenda!$C$13,IF(C227=12,Leyenda!D284," "))))</f>
        <v xml:space="preserve">GASTOS POR TRABAJOS, SUMINISTROS Y SERVICIOS </v>
      </c>
      <c r="E227" s="196" t="s">
        <v>1421</v>
      </c>
      <c r="F227" s="247">
        <v>45460</v>
      </c>
      <c r="G227" s="247" t="str">
        <f t="shared" si="20"/>
        <v>junio</v>
      </c>
      <c r="H227" s="191">
        <v>19</v>
      </c>
      <c r="I227" s="148" t="str">
        <f>TEXT(gastos[[#This Row],[Fecha]],"DDDD")</f>
        <v>miércoles</v>
      </c>
      <c r="J227" s="249">
        <f t="shared" si="19"/>
        <v>45462</v>
      </c>
      <c r="K227" s="249"/>
      <c r="L227" s="147"/>
      <c r="M227" s="197">
        <v>0</v>
      </c>
      <c r="N227" s="197">
        <v>2030</v>
      </c>
      <c r="O227" s="198">
        <f t="shared" si="21"/>
        <v>2030</v>
      </c>
      <c r="P227" s="199">
        <v>365.4</v>
      </c>
      <c r="Q227" s="199">
        <v>0</v>
      </c>
      <c r="R227" s="199">
        <v>0</v>
      </c>
      <c r="S227">
        <v>0</v>
      </c>
      <c r="T227" s="200" t="str">
        <f>IFERROR(VLOOKUP($A227,Tabla3[#All],2,0),"no esta registrado")</f>
        <v>no esta registrado</v>
      </c>
    </row>
    <row r="228" spans="1:20" ht="16.5" hidden="1" x14ac:dyDescent="0.3">
      <c r="A228" s="230" t="s">
        <v>533</v>
      </c>
      <c r="B228" s="193">
        <v>1</v>
      </c>
      <c r="C228" s="194">
        <v>2</v>
      </c>
      <c r="D228" s="195" t="str">
        <f>IF(C228=1,Leyenda!$C$3,IF(C228=2,Leyenda!$C$4,IF(C228=3,Leyenda!$C$5,IF(C228=4,Leyenda!$C$6,IF(C228=5,Leyenda!$C$7,IF(C228=6,Leyenda!$C$8,IF(C228=7,Leyenda!$C$9,IF(C228=8,Leyenda!$C$10," "))))))))&amp;IF(C228=9,Leyenda!$C$11,IF(C228=10,Leyenda!$C$12,IF(C228=11,Leyenda!$C$13,IF(C228=12,Leyenda!D285," "))))</f>
        <v xml:space="preserve">GASTOS POR TRABAJOS, SUMINISTROS Y SERVICIOS </v>
      </c>
      <c r="E228" s="196" t="s">
        <v>1422</v>
      </c>
      <c r="F228" s="247">
        <v>45460</v>
      </c>
      <c r="G228" s="247" t="str">
        <f t="shared" si="20"/>
        <v>junio</v>
      </c>
      <c r="H228" s="191">
        <v>24</v>
      </c>
      <c r="I228" s="148" t="str">
        <f>TEXT(gastos[[#This Row],[Fecha]],"DDDD")</f>
        <v>lunes</v>
      </c>
      <c r="J228" s="249">
        <f t="shared" si="19"/>
        <v>45467</v>
      </c>
      <c r="K228" s="249"/>
      <c r="L228" s="147"/>
      <c r="M228" s="197">
        <v>0</v>
      </c>
      <c r="N228" s="197">
        <v>2980.94</v>
      </c>
      <c r="O228" s="198">
        <f t="shared" si="21"/>
        <v>2980.94</v>
      </c>
      <c r="P228" s="199">
        <v>0</v>
      </c>
      <c r="Q228" s="199">
        <v>0</v>
      </c>
      <c r="R228" s="199">
        <v>0</v>
      </c>
      <c r="S228">
        <v>0</v>
      </c>
      <c r="T228" s="200" t="str">
        <f>IFERROR(VLOOKUP($A228,Tabla3[#All],2,0),"no esta registrado")</f>
        <v>Farmacía Medicar GBC, A. H.</v>
      </c>
    </row>
    <row r="229" spans="1:20" ht="16.5" hidden="1" x14ac:dyDescent="0.3">
      <c r="A229" s="230" t="s">
        <v>511</v>
      </c>
      <c r="B229" s="193">
        <v>1</v>
      </c>
      <c r="C229" s="194">
        <v>2</v>
      </c>
      <c r="D229" s="195" t="str">
        <f>IF(C229=1,Leyenda!$C$3,IF(C229=2,Leyenda!$C$4,IF(C229=3,Leyenda!$C$5,IF(C229=4,Leyenda!$C$6,IF(C229=5,Leyenda!$C$7,IF(C229=6,Leyenda!$C$8,IF(C229=7,Leyenda!$C$9,IF(C229=8,Leyenda!$C$10," "))))))))&amp;IF(C229=9,Leyenda!$C$11,IF(C229=10,Leyenda!$C$12,IF(C229=11,Leyenda!$C$13,IF(C229=12,Leyenda!D286," "))))</f>
        <v xml:space="preserve">GASTOS POR TRABAJOS, SUMINISTROS Y SERVICIOS </v>
      </c>
      <c r="E229" s="196" t="s">
        <v>1423</v>
      </c>
      <c r="F229" s="247">
        <v>45460</v>
      </c>
      <c r="G229" s="247" t="str">
        <f t="shared" si="20"/>
        <v>junio</v>
      </c>
      <c r="H229" s="191">
        <v>21</v>
      </c>
      <c r="I229" s="148" t="str">
        <f>TEXT(gastos[[#This Row],[Fecha]],"DDDD")</f>
        <v>viernes</v>
      </c>
      <c r="J229" s="249">
        <f t="shared" si="19"/>
        <v>45464</v>
      </c>
      <c r="K229" s="249"/>
      <c r="L229" s="147"/>
      <c r="M229" s="197">
        <v>0</v>
      </c>
      <c r="N229" s="197">
        <f>10181-816.87</f>
        <v>9364.1299999999992</v>
      </c>
      <c r="O229" s="198">
        <f t="shared" si="21"/>
        <v>9364.1299999999992</v>
      </c>
      <c r="P229" s="199">
        <v>816.87</v>
      </c>
      <c r="Q229" s="199">
        <v>0</v>
      </c>
      <c r="R229" s="199">
        <v>0</v>
      </c>
      <c r="S229">
        <v>0</v>
      </c>
      <c r="T229" s="200" t="str">
        <f>IFERROR(VLOOKUP($A229,Tabla3[#All],2,0),"no esta registrado")</f>
        <v>Bravo, S.A.//Supermercados Bravo</v>
      </c>
    </row>
    <row r="230" spans="1:20" ht="16.5" hidden="1" x14ac:dyDescent="0.3">
      <c r="A230" s="230" t="s">
        <v>511</v>
      </c>
      <c r="B230" s="193">
        <v>1</v>
      </c>
      <c r="C230" s="194">
        <v>2</v>
      </c>
      <c r="D230" s="195" t="str">
        <f>IF(C230=1,Leyenda!$C$3,IF(C230=2,Leyenda!$C$4,IF(C230=3,Leyenda!$C$5,IF(C230=4,Leyenda!$C$6,IF(C230=5,Leyenda!$C$7,IF(C230=6,Leyenda!$C$8,IF(C230=7,Leyenda!$C$9,IF(C230=8,Leyenda!$C$10," "))))))))&amp;IF(C230=9,Leyenda!$C$11,IF(C230=10,Leyenda!$C$12,IF(C230=11,Leyenda!$C$13,IF(C230=12,Leyenda!D287," "))))</f>
        <v xml:space="preserve">GASTOS POR TRABAJOS, SUMINISTROS Y SERVICIOS </v>
      </c>
      <c r="E230" s="196" t="s">
        <v>1424</v>
      </c>
      <c r="F230" s="247">
        <v>45460</v>
      </c>
      <c r="G230" s="247" t="str">
        <f t="shared" si="20"/>
        <v>junio</v>
      </c>
      <c r="H230" s="191">
        <v>12</v>
      </c>
      <c r="I230" s="148" t="str">
        <f>TEXT(gastos[[#This Row],[Fecha]],"DDDD")</f>
        <v>miércoles</v>
      </c>
      <c r="J230" s="249">
        <f t="shared" si="19"/>
        <v>45455</v>
      </c>
      <c r="K230" s="249"/>
      <c r="L230" s="147"/>
      <c r="M230" s="197">
        <v>0</v>
      </c>
      <c r="N230" s="197">
        <f>15088-1290.12</f>
        <v>13797.880000000001</v>
      </c>
      <c r="O230" s="198">
        <f t="shared" si="21"/>
        <v>13797.880000000001</v>
      </c>
      <c r="P230" s="199">
        <v>1290.1199999999999</v>
      </c>
      <c r="Q230" s="199">
        <v>0</v>
      </c>
      <c r="R230" s="199">
        <v>0</v>
      </c>
      <c r="S230">
        <v>0</v>
      </c>
      <c r="T230" s="200" t="str">
        <f>IFERROR(VLOOKUP($A230,Tabla3[#All],2,0),"no esta registrado")</f>
        <v>Bravo, S.A.//Supermercados Bravo</v>
      </c>
    </row>
    <row r="231" spans="1:20" ht="16.5" hidden="1" x14ac:dyDescent="0.3">
      <c r="A231" s="230" t="s">
        <v>511</v>
      </c>
      <c r="B231" s="193">
        <v>1</v>
      </c>
      <c r="C231" s="194">
        <v>2</v>
      </c>
      <c r="D231" s="195" t="str">
        <f>IF(C231=1,Leyenda!$C$3,IF(C231=2,Leyenda!$C$4,IF(C231=3,Leyenda!$C$5,IF(C231=4,Leyenda!$C$6,IF(C231=5,Leyenda!$C$7,IF(C231=6,Leyenda!$C$8,IF(C231=7,Leyenda!$C$9,IF(C231=8,Leyenda!$C$10," "))))))))&amp;IF(C231=9,Leyenda!$C$11,IF(C231=10,Leyenda!$C$12,IF(C231=11,Leyenda!$C$13,IF(C231=12,Leyenda!D288," "))))</f>
        <v xml:space="preserve">GASTOS POR TRABAJOS, SUMINISTROS Y SERVICIOS </v>
      </c>
      <c r="E231" s="196" t="s">
        <v>1425</v>
      </c>
      <c r="F231" s="247">
        <v>45460</v>
      </c>
      <c r="G231" s="247" t="str">
        <f t="shared" si="20"/>
        <v>junio</v>
      </c>
      <c r="H231" s="191">
        <v>17</v>
      </c>
      <c r="I231" s="148" t="str">
        <f>TEXT(gastos[[#This Row],[Fecha]],"DDDD")</f>
        <v>lunes</v>
      </c>
      <c r="J231" s="249">
        <f t="shared" si="19"/>
        <v>45460</v>
      </c>
      <c r="K231" s="249"/>
      <c r="L231" s="147"/>
      <c r="M231" s="197">
        <v>0</v>
      </c>
      <c r="N231" s="197">
        <f>3031-228.03</f>
        <v>2802.97</v>
      </c>
      <c r="O231" s="198">
        <f t="shared" si="21"/>
        <v>2802.97</v>
      </c>
      <c r="P231" s="199">
        <v>228.03</v>
      </c>
      <c r="Q231" s="199">
        <v>0</v>
      </c>
      <c r="R231" s="199">
        <v>0</v>
      </c>
      <c r="S231">
        <v>0</v>
      </c>
      <c r="T231" s="200" t="str">
        <f>IFERROR(VLOOKUP($A231,Tabla3[#All],2,0),"no esta registrado")</f>
        <v>Bravo, S.A.//Supermercados Bravo</v>
      </c>
    </row>
    <row r="232" spans="1:20" ht="16.5" hidden="1" x14ac:dyDescent="0.3">
      <c r="A232" s="230" t="s">
        <v>531</v>
      </c>
      <c r="B232" s="193">
        <v>1</v>
      </c>
      <c r="C232" s="194">
        <v>2</v>
      </c>
      <c r="D232" s="195" t="str">
        <f>IF(C232=1,Leyenda!$C$3,IF(C232=2,Leyenda!$C$4,IF(C232=3,Leyenda!$C$5,IF(C232=4,Leyenda!$C$6,IF(C232=5,Leyenda!$C$7,IF(C232=6,Leyenda!$C$8,IF(C232=7,Leyenda!$C$9,IF(C232=8,Leyenda!$C$10," "))))))))&amp;IF(C232=9,Leyenda!$C$11,IF(C232=10,Leyenda!$C$12,IF(C232=11,Leyenda!$C$13,IF(C232=12,Leyenda!D289," "))))</f>
        <v xml:space="preserve">GASTOS POR TRABAJOS, SUMINISTROS Y SERVICIOS </v>
      </c>
      <c r="E232" s="196" t="s">
        <v>1426</v>
      </c>
      <c r="F232" s="247">
        <v>45460</v>
      </c>
      <c r="G232" s="247" t="str">
        <f t="shared" si="20"/>
        <v>junio</v>
      </c>
      <c r="H232" s="191">
        <v>7</v>
      </c>
      <c r="I232" s="148" t="str">
        <f>TEXT(gastos[[#This Row],[Fecha]],"DDDD")</f>
        <v>viernes</v>
      </c>
      <c r="J232" s="249">
        <f t="shared" si="19"/>
        <v>45450</v>
      </c>
      <c r="K232" s="249"/>
      <c r="L232" s="147"/>
      <c r="M232" s="197">
        <v>0</v>
      </c>
      <c r="N232" s="197">
        <v>995.59</v>
      </c>
      <c r="O232" s="198">
        <f t="shared" si="21"/>
        <v>995.59</v>
      </c>
      <c r="P232" s="199">
        <v>0</v>
      </c>
      <c r="Q232" s="199">
        <v>0</v>
      </c>
      <c r="R232" s="199">
        <v>0</v>
      </c>
      <c r="S232">
        <v>0</v>
      </c>
      <c r="T232" s="200" t="str">
        <f>IFERROR(VLOOKUP($A232,Tabla3[#All],2,0),"no esta registrado")</f>
        <v>Grupo Carol, S. A.//Farmacia Carol</v>
      </c>
    </row>
    <row r="233" spans="1:20" ht="16.5" hidden="1" x14ac:dyDescent="0.3">
      <c r="A233" s="230" t="s">
        <v>511</v>
      </c>
      <c r="B233" s="193">
        <v>1</v>
      </c>
      <c r="C233" s="194">
        <v>2</v>
      </c>
      <c r="D233" s="195" t="str">
        <f>IF(C233=1,Leyenda!$C$3,IF(C233=2,Leyenda!$C$4,IF(C233=3,Leyenda!$C$5,IF(C233=4,Leyenda!$C$6,IF(C233=5,Leyenda!$C$7,IF(C233=6,Leyenda!$C$8,IF(C233=7,Leyenda!$C$9,IF(C233=8,Leyenda!$C$10," "))))))))&amp;IF(C233=9,Leyenda!$C$11,IF(C233=10,Leyenda!$C$12,IF(C233=11,Leyenda!$C$13,IF(C233=12,Leyenda!D290," "))))</f>
        <v xml:space="preserve">GASTOS POR TRABAJOS, SUMINISTROS Y SERVICIOS </v>
      </c>
      <c r="E233" s="196" t="s">
        <v>1427</v>
      </c>
      <c r="F233" s="247">
        <v>45460</v>
      </c>
      <c r="G233" s="247" t="str">
        <f t="shared" si="20"/>
        <v>junio</v>
      </c>
      <c r="H233" s="191">
        <v>9</v>
      </c>
      <c r="I233" s="148" t="str">
        <f>TEXT(gastos[[#This Row],[Fecha]],"DDDD")</f>
        <v>domingo</v>
      </c>
      <c r="J233" s="249">
        <f t="shared" si="19"/>
        <v>45452</v>
      </c>
      <c r="K233" s="249"/>
      <c r="L233" s="147"/>
      <c r="M233" s="197">
        <v>0</v>
      </c>
      <c r="N233" s="197">
        <f>4104-275.06</f>
        <v>3828.94</v>
      </c>
      <c r="O233" s="198">
        <f t="shared" si="21"/>
        <v>3828.94</v>
      </c>
      <c r="P233" s="199">
        <v>275.06</v>
      </c>
      <c r="Q233" s="199">
        <v>0</v>
      </c>
      <c r="R233" s="199">
        <v>0</v>
      </c>
      <c r="S233">
        <v>0</v>
      </c>
      <c r="T233" s="200" t="str">
        <f>IFERROR(VLOOKUP($A233,Tabla3[#All],2,0),"no esta registrado")</f>
        <v>Bravo, S.A.//Supermercados Bravo</v>
      </c>
    </row>
    <row r="234" spans="1:20" ht="16.5" hidden="1" x14ac:dyDescent="0.3">
      <c r="A234" s="230" t="s">
        <v>1114</v>
      </c>
      <c r="B234" s="193">
        <v>1</v>
      </c>
      <c r="C234" s="194">
        <v>2</v>
      </c>
      <c r="D234" s="195" t="str">
        <f>IF(C234=1,Leyenda!$C$3,IF(C234=2,Leyenda!$C$4,IF(C234=3,Leyenda!$C$5,IF(C234=4,Leyenda!$C$6,IF(C234=5,Leyenda!$C$7,IF(C234=6,Leyenda!$C$8,IF(C234=7,Leyenda!$C$9,IF(C234=8,Leyenda!$C$10," "))))))))&amp;IF(C234=9,Leyenda!$C$11,IF(C234=10,Leyenda!$C$12,IF(C234=11,Leyenda!$C$13,IF(C234=12,Leyenda!D291," "))))</f>
        <v xml:space="preserve">GASTOS POR TRABAJOS, SUMINISTROS Y SERVICIOS </v>
      </c>
      <c r="E234" s="196" t="s">
        <v>1428</v>
      </c>
      <c r="F234" s="247">
        <v>45460</v>
      </c>
      <c r="G234" s="247" t="str">
        <f t="shared" si="20"/>
        <v>junio</v>
      </c>
      <c r="H234" s="191">
        <v>21</v>
      </c>
      <c r="I234" s="148" t="str">
        <f>TEXT(gastos[[#This Row],[Fecha]],"DDDD")</f>
        <v>viernes</v>
      </c>
      <c r="J234" s="249">
        <f t="shared" si="19"/>
        <v>45464</v>
      </c>
      <c r="K234" s="249"/>
      <c r="L234" s="147"/>
      <c r="M234" s="197">
        <v>2876</v>
      </c>
      <c r="N234" s="197">
        <v>0</v>
      </c>
      <c r="O234" s="198">
        <f t="shared" si="21"/>
        <v>2876</v>
      </c>
      <c r="P234" s="199">
        <v>0</v>
      </c>
      <c r="Q234" s="199">
        <v>0</v>
      </c>
      <c r="R234" s="199">
        <v>0</v>
      </c>
      <c r="S234">
        <v>0</v>
      </c>
      <c r="T234" s="200" t="str">
        <f>IFERROR(VLOOKUP($A234,Tabla3[#All],2,0),"no esta registrado")</f>
        <v>ACADEMIA EUROPEA</v>
      </c>
    </row>
    <row r="235" spans="1:20" ht="16.5" hidden="1" x14ac:dyDescent="0.3">
      <c r="A235" s="230" t="s">
        <v>1114</v>
      </c>
      <c r="B235" s="193">
        <v>1</v>
      </c>
      <c r="C235" s="194">
        <v>2</v>
      </c>
      <c r="D235" s="195" t="str">
        <f>IF(C235=1,Leyenda!$C$3,IF(C235=2,Leyenda!$C$4,IF(C235=3,Leyenda!$C$5,IF(C235=4,Leyenda!$C$6,IF(C235=5,Leyenda!$C$7,IF(C235=6,Leyenda!$C$8,IF(C235=7,Leyenda!$C$9,IF(C235=8,Leyenda!$C$10," "))))))))&amp;IF(C235=9,Leyenda!$C$11,IF(C235=10,Leyenda!$C$12,IF(C235=11,Leyenda!$C$13,IF(C235=12,Leyenda!D292," "))))</f>
        <v xml:space="preserve">GASTOS POR TRABAJOS, SUMINISTROS Y SERVICIOS </v>
      </c>
      <c r="E235" s="196" t="s">
        <v>1429</v>
      </c>
      <c r="F235" s="247">
        <v>45460</v>
      </c>
      <c r="G235" s="247" t="str">
        <f t="shared" si="20"/>
        <v>junio</v>
      </c>
      <c r="H235" s="191">
        <v>7</v>
      </c>
      <c r="I235" s="148" t="str">
        <f>TEXT(gastos[[#This Row],[Fecha]],"DDDD")</f>
        <v>viernes</v>
      </c>
      <c r="J235" s="249">
        <f t="shared" si="19"/>
        <v>45450</v>
      </c>
      <c r="K235" s="249"/>
      <c r="L235" s="147"/>
      <c r="M235" s="197">
        <v>2606</v>
      </c>
      <c r="N235" s="197">
        <v>0</v>
      </c>
      <c r="O235" s="198">
        <f t="shared" si="21"/>
        <v>2606</v>
      </c>
      <c r="P235" s="199">
        <v>0</v>
      </c>
      <c r="Q235" s="199">
        <v>0</v>
      </c>
      <c r="R235" s="199">
        <v>0</v>
      </c>
      <c r="S235">
        <v>0</v>
      </c>
      <c r="T235" s="200" t="str">
        <f>IFERROR(VLOOKUP($A235,Tabla3[#All],2,0),"no esta registrado")</f>
        <v>ACADEMIA EUROPEA</v>
      </c>
    </row>
    <row r="236" spans="1:20" ht="16.5" hidden="1" x14ac:dyDescent="0.3">
      <c r="A236" s="230" t="s">
        <v>1114</v>
      </c>
      <c r="B236" s="193">
        <v>1</v>
      </c>
      <c r="C236" s="194">
        <v>2</v>
      </c>
      <c r="D236" s="195" t="str">
        <f>IF(C236=1,Leyenda!$C$3,IF(C236=2,Leyenda!$C$4,IF(C236=3,Leyenda!$C$5,IF(C236=4,Leyenda!$C$6,IF(C236=5,Leyenda!$C$7,IF(C236=6,Leyenda!$C$8,IF(C236=7,Leyenda!$C$9,IF(C236=8,Leyenda!$C$10," "))))))))&amp;IF(C236=9,Leyenda!$C$11,IF(C236=10,Leyenda!$C$12,IF(C236=11,Leyenda!$C$13,IF(C236=12,Leyenda!D293," "))))</f>
        <v xml:space="preserve">GASTOS POR TRABAJOS, SUMINISTROS Y SERVICIOS </v>
      </c>
      <c r="E236" s="196" t="s">
        <v>1430</v>
      </c>
      <c r="F236" s="247">
        <v>45460</v>
      </c>
      <c r="G236" s="247" t="str">
        <f t="shared" si="20"/>
        <v>junio</v>
      </c>
      <c r="H236" s="191">
        <v>7</v>
      </c>
      <c r="I236" s="148" t="str">
        <f>TEXT(gastos[[#This Row],[Fecha]],"DDDD")</f>
        <v>viernes</v>
      </c>
      <c r="J236" s="249">
        <f t="shared" si="19"/>
        <v>45450</v>
      </c>
      <c r="K236" s="249"/>
      <c r="L236" s="147"/>
      <c r="M236" s="197">
        <v>2876</v>
      </c>
      <c r="N236" s="197">
        <v>0</v>
      </c>
      <c r="O236" s="198">
        <f t="shared" si="21"/>
        <v>2876</v>
      </c>
      <c r="P236" s="199">
        <v>0</v>
      </c>
      <c r="Q236" s="199">
        <v>0</v>
      </c>
      <c r="R236" s="199">
        <v>0</v>
      </c>
      <c r="S236">
        <v>0</v>
      </c>
      <c r="T236" s="200" t="str">
        <f>IFERROR(VLOOKUP($A236,Tabla3[#All],2,0),"no esta registrado")</f>
        <v>ACADEMIA EUROPEA</v>
      </c>
    </row>
    <row r="237" spans="1:20" ht="16.5" hidden="1" x14ac:dyDescent="0.3">
      <c r="A237" s="230" t="s">
        <v>1116</v>
      </c>
      <c r="B237" s="193">
        <v>1</v>
      </c>
      <c r="C237" s="194">
        <v>2</v>
      </c>
      <c r="D237" s="195" t="str">
        <f>IF(C237=1,Leyenda!$C$3,IF(C237=2,Leyenda!$C$4,IF(C237=3,Leyenda!$C$5,IF(C237=4,Leyenda!$C$6,IF(C237=5,Leyenda!$C$7,IF(C237=6,Leyenda!$C$8,IF(C237=7,Leyenda!$C$9,IF(C237=8,Leyenda!$C$10," "))))))))&amp;IF(C237=9,Leyenda!$C$11,IF(C237=10,Leyenda!$C$12,IF(C237=11,Leyenda!$C$13,IF(C237=12,Leyenda!D294," "))))</f>
        <v xml:space="preserve">GASTOS POR TRABAJOS, SUMINISTROS Y SERVICIOS </v>
      </c>
      <c r="E237" s="196" t="s">
        <v>1431</v>
      </c>
      <c r="F237" s="247">
        <v>45460</v>
      </c>
      <c r="G237" s="247" t="str">
        <f t="shared" si="20"/>
        <v>junio</v>
      </c>
      <c r="H237" s="191">
        <v>26</v>
      </c>
      <c r="I237" s="148" t="str">
        <f>TEXT(gastos[[#This Row],[Fecha]],"DDDD")</f>
        <v>miércoles</v>
      </c>
      <c r="J237" s="249">
        <f t="shared" si="19"/>
        <v>45469</v>
      </c>
      <c r="K237" s="249"/>
      <c r="L237" s="147"/>
      <c r="M237" s="197">
        <v>7100</v>
      </c>
      <c r="N237" s="197">
        <v>0</v>
      </c>
      <c r="O237" s="198">
        <f t="shared" si="21"/>
        <v>7100</v>
      </c>
      <c r="P237" s="199">
        <v>0</v>
      </c>
      <c r="Q237" s="199">
        <v>0</v>
      </c>
      <c r="R237" s="199">
        <v>0</v>
      </c>
      <c r="S237">
        <v>0</v>
      </c>
      <c r="T237" s="200" t="str">
        <f>IFERROR(VLOOKUP($A237,Tabla3[#All],2,0),"no esta registrado")</f>
        <v>COLEGIO SANTA ROSA DE LIMA</v>
      </c>
    </row>
    <row r="238" spans="1:20" ht="16.5" hidden="1" x14ac:dyDescent="0.3">
      <c r="A238" s="230" t="s">
        <v>1116</v>
      </c>
      <c r="B238" s="193">
        <v>1</v>
      </c>
      <c r="C238" s="194">
        <v>2</v>
      </c>
      <c r="D238" s="195" t="str">
        <f>IF(C238=1,Leyenda!$C$3,IF(C238=2,Leyenda!$C$4,IF(C238=3,Leyenda!$C$5,IF(C238=4,Leyenda!$C$6,IF(C238=5,Leyenda!$C$7,IF(C238=6,Leyenda!$C$8,IF(C238=7,Leyenda!$C$9,IF(C238=8,Leyenda!$C$10," "))))))))&amp;IF(C238=9,Leyenda!$C$11,IF(C238=10,Leyenda!$C$12,IF(C238=11,Leyenda!$C$13,IF(C238=12,Leyenda!D295," "))))</f>
        <v xml:space="preserve">GASTOS POR TRABAJOS, SUMINISTROS Y SERVICIOS </v>
      </c>
      <c r="E238" s="196" t="s">
        <v>1432</v>
      </c>
      <c r="F238" s="247">
        <v>45460</v>
      </c>
      <c r="G238" s="247" t="str">
        <f t="shared" si="20"/>
        <v>junio</v>
      </c>
      <c r="H238" s="191">
        <v>26</v>
      </c>
      <c r="I238" s="148" t="str">
        <f>TEXT(gastos[[#This Row],[Fecha]],"DDDD")</f>
        <v>miércoles</v>
      </c>
      <c r="J238" s="249">
        <f t="shared" si="19"/>
        <v>45469</v>
      </c>
      <c r="K238" s="249"/>
      <c r="L238" s="147"/>
      <c r="M238" s="197">
        <v>6800</v>
      </c>
      <c r="N238" s="197">
        <v>0</v>
      </c>
      <c r="O238" s="198">
        <f t="shared" si="21"/>
        <v>6800</v>
      </c>
      <c r="P238" s="199">
        <v>0</v>
      </c>
      <c r="Q238" s="199">
        <v>0</v>
      </c>
      <c r="R238" s="199">
        <v>0</v>
      </c>
      <c r="S238">
        <v>0</v>
      </c>
      <c r="T238" s="200" t="str">
        <f>IFERROR(VLOOKUP($A238,Tabla3[#All],2,0),"no esta registrado")</f>
        <v>COLEGIO SANTA ROSA DE LIMA</v>
      </c>
    </row>
    <row r="239" spans="1:20" ht="16.5" hidden="1" x14ac:dyDescent="0.3">
      <c r="A239" s="230" t="s">
        <v>1116</v>
      </c>
      <c r="B239" s="193">
        <v>1</v>
      </c>
      <c r="C239" s="194">
        <v>2</v>
      </c>
      <c r="D239" s="195" t="str">
        <f>IF(C239=1,Leyenda!$C$3,IF(C239=2,Leyenda!$C$4,IF(C239=3,Leyenda!$C$5,IF(C239=4,Leyenda!$C$6,IF(C239=5,Leyenda!$C$7,IF(C239=6,Leyenda!$C$8,IF(C239=7,Leyenda!$C$9,IF(C239=8,Leyenda!$C$10," "))))))))&amp;IF(C239=9,Leyenda!$C$11,IF(C239=10,Leyenda!$C$12,IF(C239=11,Leyenda!$C$13,IF(C239=12,Leyenda!D296," "))))</f>
        <v xml:space="preserve">GASTOS POR TRABAJOS, SUMINISTROS Y SERVICIOS </v>
      </c>
      <c r="E239" s="196" t="s">
        <v>1433</v>
      </c>
      <c r="F239" s="247">
        <v>45460</v>
      </c>
      <c r="G239" s="247" t="str">
        <f t="shared" si="20"/>
        <v>junio</v>
      </c>
      <c r="H239" s="191">
        <v>26</v>
      </c>
      <c r="I239" s="148" t="str">
        <f>TEXT(gastos[[#This Row],[Fecha]],"DDDD")</f>
        <v>miércoles</v>
      </c>
      <c r="J239" s="249">
        <f t="shared" si="19"/>
        <v>45469</v>
      </c>
      <c r="K239" s="249"/>
      <c r="L239" s="147"/>
      <c r="M239" s="197">
        <v>6800</v>
      </c>
      <c r="N239" s="197">
        <v>0</v>
      </c>
      <c r="O239" s="198">
        <f t="shared" si="21"/>
        <v>6800</v>
      </c>
      <c r="P239" s="199">
        <v>0</v>
      </c>
      <c r="Q239" s="199">
        <v>0</v>
      </c>
      <c r="R239" s="199">
        <v>0</v>
      </c>
      <c r="S239">
        <v>0</v>
      </c>
      <c r="T239" s="200" t="str">
        <f>IFERROR(VLOOKUP($A239,Tabla3[#All],2,0),"no esta registrado")</f>
        <v>COLEGIO SANTA ROSA DE LIMA</v>
      </c>
    </row>
    <row r="240" spans="1:20" ht="16.5" hidden="1" x14ac:dyDescent="0.3">
      <c r="A240" s="231" t="s">
        <v>1116</v>
      </c>
      <c r="B240" s="193">
        <v>2</v>
      </c>
      <c r="C240" s="194">
        <v>2</v>
      </c>
      <c r="D240" s="195" t="str">
        <f>IF(C240=1,Leyenda!$C$3,IF(C240=2,Leyenda!$C$4,IF(C240=3,Leyenda!$C$5,IF(C240=4,Leyenda!$C$6,IF(C240=5,Leyenda!$C$7,IF(C240=6,Leyenda!$C$8,IF(C240=7,Leyenda!$C$9,IF(C240=8,Leyenda!$C$10," "))))))))&amp;IF(C240=9,Leyenda!$C$11,IF(C240=10,Leyenda!$C$12,IF(C240=11,Leyenda!$C$13,IF(C240=12,Leyenda!D297," "))))</f>
        <v xml:space="preserve">GASTOS POR TRABAJOS, SUMINISTROS Y SERVICIOS </v>
      </c>
      <c r="E240" s="202" t="s">
        <v>1434</v>
      </c>
      <c r="F240" s="247">
        <v>45460</v>
      </c>
      <c r="G240" s="247" t="str">
        <f t="shared" si="20"/>
        <v>junio</v>
      </c>
      <c r="H240" s="203">
        <v>26</v>
      </c>
      <c r="I240" s="250" t="str">
        <f>TEXT(gastos[[#This Row],[Fecha]],"DDDD")</f>
        <v>miércoles</v>
      </c>
      <c r="J240" s="249">
        <f t="shared" si="19"/>
        <v>45469</v>
      </c>
      <c r="K240" s="249"/>
      <c r="L240" s="147"/>
      <c r="M240" s="197">
        <v>19600</v>
      </c>
      <c r="N240" s="197">
        <v>0</v>
      </c>
      <c r="O240" s="198">
        <f t="shared" si="21"/>
        <v>19600</v>
      </c>
      <c r="P240" s="199">
        <v>0</v>
      </c>
      <c r="Q240" s="199">
        <v>0</v>
      </c>
      <c r="R240" s="199">
        <v>0</v>
      </c>
      <c r="S240">
        <v>0</v>
      </c>
      <c r="T240" s="200" t="str">
        <f>IFERROR(VLOOKUP($A240,Tabla3[#All],2,0),"no esta registrado")</f>
        <v>COLEGIO SANTA ROSA DE LIMA</v>
      </c>
    </row>
    <row r="241" spans="1:20" ht="16.5" hidden="1" x14ac:dyDescent="0.3">
      <c r="A241" s="230" t="s">
        <v>1283</v>
      </c>
      <c r="B241" s="193">
        <v>1</v>
      </c>
      <c r="C241" s="194">
        <v>2</v>
      </c>
      <c r="D241" s="195" t="str">
        <f>IF(C241=1,Leyenda!$C$3,IF(C241=2,Leyenda!$C$4,IF(C241=3,Leyenda!$C$5,IF(C241=4,Leyenda!$C$6,IF(C241=5,Leyenda!$C$7,IF(C241=6,Leyenda!$C$8,IF(C241=7,Leyenda!$C$9,IF(C241=8,Leyenda!$C$10," "))))))))&amp;IF(C241=9,Leyenda!$C$11,IF(C241=10,Leyenda!$C$12,IF(C241=11,Leyenda!$C$13,IF(C241=12,Leyenda!D298," "))))</f>
        <v xml:space="preserve">GASTOS POR TRABAJOS, SUMINISTROS Y SERVICIOS </v>
      </c>
      <c r="E241" s="196" t="s">
        <v>1435</v>
      </c>
      <c r="F241" s="247">
        <v>45460</v>
      </c>
      <c r="G241" s="247" t="str">
        <f t="shared" si="20"/>
        <v>junio</v>
      </c>
      <c r="H241" s="191">
        <v>1</v>
      </c>
      <c r="I241" s="148" t="str">
        <f>TEXT(gastos[[#This Row],[Fecha]],"DDDD")</f>
        <v>sábado</v>
      </c>
      <c r="J241" s="249">
        <f t="shared" si="19"/>
        <v>45444</v>
      </c>
      <c r="K241" s="249"/>
      <c r="L241" s="147"/>
      <c r="M241" s="197">
        <v>500</v>
      </c>
      <c r="N241" s="197">
        <v>0</v>
      </c>
      <c r="O241" s="198">
        <f t="shared" si="21"/>
        <v>500</v>
      </c>
      <c r="P241" s="199">
        <v>0</v>
      </c>
      <c r="Q241" s="199">
        <v>0</v>
      </c>
      <c r="R241" s="199">
        <v>0</v>
      </c>
      <c r="S241">
        <v>0</v>
      </c>
      <c r="T241" s="200" t="str">
        <f>IFERROR(VLOOKUP($A241,Tabla3[#All],2,0),"no esta registrado")</f>
        <v>no esta registrado</v>
      </c>
    </row>
    <row r="242" spans="1:20" ht="16.5" hidden="1" x14ac:dyDescent="0.3">
      <c r="A242" s="230" t="s">
        <v>1203</v>
      </c>
      <c r="B242" s="193">
        <v>1</v>
      </c>
      <c r="C242" s="194">
        <v>2</v>
      </c>
      <c r="D242" s="195" t="str">
        <f>IF(C242=1,Leyenda!$C$3,IF(C242=2,Leyenda!$C$4,IF(C242=3,Leyenda!$C$5,IF(C242=4,Leyenda!$C$6,IF(C242=5,Leyenda!$C$7,IF(C242=6,Leyenda!$C$8,IF(C242=7,Leyenda!$C$9,IF(C242=8,Leyenda!$C$10," "))))))))&amp;IF(C242=9,Leyenda!$C$11,IF(C242=10,Leyenda!$C$12,IF(C242=11,Leyenda!$C$13,IF(C242=12,Leyenda!D299," "))))</f>
        <v xml:space="preserve">GASTOS POR TRABAJOS, SUMINISTROS Y SERVICIOS </v>
      </c>
      <c r="E242" s="196" t="s">
        <v>1436</v>
      </c>
      <c r="F242" s="247">
        <v>45460</v>
      </c>
      <c r="G242" s="247" t="str">
        <f t="shared" si="20"/>
        <v>junio</v>
      </c>
      <c r="H242" s="191">
        <v>5</v>
      </c>
      <c r="I242" s="148" t="str">
        <f>TEXT(gastos[[#This Row],[Fecha]],"DDDD")</f>
        <v>miércoles</v>
      </c>
      <c r="J242" s="249">
        <f t="shared" si="19"/>
        <v>45448</v>
      </c>
      <c r="K242" s="249"/>
      <c r="L242" s="147"/>
      <c r="M242" s="197">
        <v>0</v>
      </c>
      <c r="N242" s="197">
        <v>1438.75</v>
      </c>
      <c r="O242" s="198">
        <f t="shared" si="21"/>
        <v>1438.75</v>
      </c>
      <c r="P242" s="199">
        <v>165.99</v>
      </c>
      <c r="Q242" s="199">
        <v>0</v>
      </c>
      <c r="R242" s="199">
        <v>0</v>
      </c>
      <c r="S242">
        <v>0</v>
      </c>
      <c r="T242" s="200" t="str">
        <f>IFERROR(VLOOKUP($A242,Tabla3[#All],2,0),"no esta registrado")</f>
        <v>no esta registrado</v>
      </c>
    </row>
    <row r="243" spans="1:20" ht="16.5" hidden="1" x14ac:dyDescent="0.3">
      <c r="A243" s="230" t="s">
        <v>495</v>
      </c>
      <c r="B243" s="193">
        <v>1</v>
      </c>
      <c r="C243" s="194">
        <v>2</v>
      </c>
      <c r="D243" s="195" t="str">
        <f>IF(C243=1,Leyenda!$C$3,IF(C243=2,Leyenda!$C$4,IF(C243=3,Leyenda!$C$5,IF(C243=4,Leyenda!$C$6,IF(C243=5,Leyenda!$C$7,IF(C243=6,Leyenda!$C$8,IF(C243=7,Leyenda!$C$9,IF(C243=8,Leyenda!$C$10," "))))))))&amp;IF(C243=9,Leyenda!$C$11,IF(C243=10,Leyenda!$C$12,IF(C243=11,Leyenda!$C$13,IF(C243=12,Leyenda!D300," "))))</f>
        <v xml:space="preserve">GASTOS POR TRABAJOS, SUMINISTROS Y SERVICIOS </v>
      </c>
      <c r="E243" s="196" t="s">
        <v>1437</v>
      </c>
      <c r="F243" s="247">
        <v>45460</v>
      </c>
      <c r="G243" s="247" t="str">
        <f t="shared" si="20"/>
        <v>junio</v>
      </c>
      <c r="H243" s="191">
        <v>7</v>
      </c>
      <c r="I243" s="148" t="str">
        <f>TEXT(gastos[[#This Row],[Fecha]],"DDDD")</f>
        <v>viernes</v>
      </c>
      <c r="J243" s="249">
        <f t="shared" si="19"/>
        <v>45450</v>
      </c>
      <c r="K243" s="249"/>
      <c r="L243" s="147"/>
      <c r="M243" s="197">
        <v>2407.69</v>
      </c>
      <c r="N243" s="197">
        <v>0</v>
      </c>
      <c r="O243" s="198">
        <f t="shared" si="21"/>
        <v>2407.69</v>
      </c>
      <c r="P243" s="199">
        <v>433.39</v>
      </c>
      <c r="Q243" s="199">
        <v>0</v>
      </c>
      <c r="R243" s="199">
        <v>0</v>
      </c>
      <c r="S243">
        <v>0</v>
      </c>
      <c r="T243" s="200" t="str">
        <f>IFERROR(VLOOKUP($A243,Tabla3[#All],2,0),"no esta registrado")</f>
        <v>CLARO//CODETEL</v>
      </c>
    </row>
    <row r="244" spans="1:20" ht="16.5" hidden="1" x14ac:dyDescent="0.3">
      <c r="A244" s="230" t="s">
        <v>495</v>
      </c>
      <c r="B244" s="193">
        <v>1</v>
      </c>
      <c r="C244" s="194">
        <v>2</v>
      </c>
      <c r="D244" s="195" t="str">
        <f>IF(C244=1,Leyenda!$C$3,IF(C244=2,Leyenda!$C$4,IF(C244=3,Leyenda!$C$5,IF(C244=4,Leyenda!$C$6,IF(C244=5,Leyenda!$C$7,IF(C244=6,Leyenda!$C$8,IF(C244=7,Leyenda!$C$9,IF(C244=8,Leyenda!$C$10," "))))))))&amp;IF(C244=9,Leyenda!$C$11,IF(C244=10,Leyenda!$C$12,IF(C244=11,Leyenda!$C$13,IF(C244=12,Leyenda!D301," "))))</f>
        <v xml:space="preserve">GASTOS POR TRABAJOS, SUMINISTROS Y SERVICIOS </v>
      </c>
      <c r="E244" s="196" t="s">
        <v>1438</v>
      </c>
      <c r="F244" s="247">
        <v>45460</v>
      </c>
      <c r="G244" s="247" t="str">
        <f t="shared" si="20"/>
        <v>junio</v>
      </c>
      <c r="H244" s="191">
        <v>7</v>
      </c>
      <c r="I244" s="148" t="str">
        <f>TEXT(gastos[[#This Row],[Fecha]],"DDDD")</f>
        <v>viernes</v>
      </c>
      <c r="J244" s="249">
        <f t="shared" si="19"/>
        <v>45450</v>
      </c>
      <c r="K244" s="249"/>
      <c r="L244" s="147"/>
      <c r="M244" s="197">
        <v>830</v>
      </c>
      <c r="N244" s="197">
        <v>0</v>
      </c>
      <c r="O244" s="198">
        <f t="shared" si="21"/>
        <v>830</v>
      </c>
      <c r="P244" s="199">
        <v>149.4</v>
      </c>
      <c r="Q244" s="199">
        <v>0</v>
      </c>
      <c r="R244" s="199">
        <v>0</v>
      </c>
      <c r="S244">
        <v>0</v>
      </c>
      <c r="T244" s="200" t="str">
        <f>IFERROR(VLOOKUP($A244,Tabla3[#All],2,0),"no esta registrado")</f>
        <v>CLARO//CODETEL</v>
      </c>
    </row>
    <row r="245" spans="1:20" ht="16.5" hidden="1" x14ac:dyDescent="0.3">
      <c r="A245" s="230" t="s">
        <v>486</v>
      </c>
      <c r="B245" s="193">
        <v>1</v>
      </c>
      <c r="C245" s="194">
        <v>7</v>
      </c>
      <c r="D245" s="195" t="str">
        <f>IF(C245=1,Leyenda!$C$3,IF(C245=2,Leyenda!$C$4,IF(C245=3,Leyenda!$C$5,IF(C245=4,Leyenda!$C$6,IF(C245=5,Leyenda!$C$7,IF(C245=6,Leyenda!$C$8,IF(C245=7,Leyenda!$C$9,IF(C245=8,Leyenda!$C$10," "))))))))&amp;IF(C245=9,Leyenda!$C$11,IF(C245=10,Leyenda!$C$12,IF(C245=11,Leyenda!$C$13,IF(C245=12,Leyenda!D302," "))))</f>
        <v xml:space="preserve">GASTOS FINANCIEROS </v>
      </c>
      <c r="E245" s="196" t="s">
        <v>1439</v>
      </c>
      <c r="F245" s="247">
        <v>45460</v>
      </c>
      <c r="G245" s="247" t="str">
        <f t="shared" si="20"/>
        <v>junio</v>
      </c>
      <c r="H245" s="191">
        <v>20</v>
      </c>
      <c r="I245" s="148" t="str">
        <f>TEXT(gastos[[#This Row],[Fecha]],"DDDD")</f>
        <v>jueves</v>
      </c>
      <c r="J245" s="249">
        <f t="shared" si="19"/>
        <v>45463</v>
      </c>
      <c r="K245" s="249"/>
      <c r="L245" s="147"/>
      <c r="M245" s="197">
        <f>15604.17+340.28</f>
        <v>15944.45</v>
      </c>
      <c r="N245" s="205">
        <v>0</v>
      </c>
      <c r="O245" s="198">
        <f t="shared" si="21"/>
        <v>15944.45</v>
      </c>
      <c r="P245" s="199">
        <v>0</v>
      </c>
      <c r="Q245" s="199">
        <v>0</v>
      </c>
      <c r="R245" s="199">
        <v>0</v>
      </c>
      <c r="S245">
        <v>0</v>
      </c>
      <c r="T245" s="200" t="str">
        <f>IFERROR(VLOOKUP($A245,Tabla3[#All],2,0),"no esta registrado")</f>
        <v>Banco Multiple BHD León, S. A.</v>
      </c>
    </row>
    <row r="246" spans="1:20" ht="16.5" hidden="1" x14ac:dyDescent="0.3">
      <c r="A246" s="230" t="s">
        <v>486</v>
      </c>
      <c r="B246" s="193">
        <v>1</v>
      </c>
      <c r="C246" s="194">
        <v>7</v>
      </c>
      <c r="D246" s="195" t="str">
        <f>IF(C246=1,Leyenda!$C$3,IF(C246=2,Leyenda!$C$4,IF(C246=3,Leyenda!$C$5,IF(C246=4,Leyenda!$C$6,IF(C246=5,Leyenda!$C$7,IF(C246=6,Leyenda!$C$8,IF(C246=7,Leyenda!$C$9,IF(C246=8,Leyenda!$C$10," "))))))))&amp;IF(C246=9,Leyenda!$C$11,IF(C246=10,Leyenda!$C$12,IF(C246=11,Leyenda!$C$13,IF(C246=12,Leyenda!D303," "))))</f>
        <v xml:space="preserve">GASTOS FINANCIEROS </v>
      </c>
      <c r="E246" s="196" t="s">
        <v>1440</v>
      </c>
      <c r="F246" s="247">
        <v>45460</v>
      </c>
      <c r="G246" s="247" t="str">
        <f t="shared" si="20"/>
        <v>junio</v>
      </c>
      <c r="H246" s="191">
        <v>4</v>
      </c>
      <c r="I246" s="148" t="str">
        <f>TEXT(gastos[[#This Row],[Fecha]],"DDDD")</f>
        <v>martes</v>
      </c>
      <c r="J246" s="249">
        <f t="shared" si="19"/>
        <v>45447</v>
      </c>
      <c r="K246" s="249"/>
      <c r="L246" s="147"/>
      <c r="M246" s="197">
        <v>7500</v>
      </c>
      <c r="N246" s="205">
        <v>0</v>
      </c>
      <c r="O246" s="198">
        <f t="shared" si="21"/>
        <v>7500</v>
      </c>
      <c r="P246" s="199">
        <v>0</v>
      </c>
      <c r="Q246" s="199">
        <v>0</v>
      </c>
      <c r="R246" s="199">
        <v>0</v>
      </c>
      <c r="S246">
        <v>0</v>
      </c>
      <c r="T246" s="200" t="str">
        <f>IFERROR(VLOOKUP($A246,Tabla3[#All],2,0),"no esta registrado")</f>
        <v>Banco Multiple BHD León, S. A.</v>
      </c>
    </row>
    <row r="247" spans="1:20" ht="16.5" hidden="1" x14ac:dyDescent="0.3">
      <c r="A247" s="230" t="s">
        <v>486</v>
      </c>
      <c r="B247" s="193">
        <v>1</v>
      </c>
      <c r="C247" s="194">
        <v>7</v>
      </c>
      <c r="D247" s="195" t="str">
        <f>IF(C247=1,Leyenda!$C$3,IF(C247=2,Leyenda!$C$4,IF(C247=3,Leyenda!$C$5,IF(C247=4,Leyenda!$C$6,IF(C247=5,Leyenda!$C$7,IF(C247=6,Leyenda!$C$8,IF(C247=7,Leyenda!$C$9,IF(C247=8,Leyenda!$C$10," "))))))))&amp;IF(C247=9,Leyenda!$C$11,IF(C247=10,Leyenda!$C$12,IF(C247=11,Leyenda!$C$13,IF(C247=12,Leyenda!D304," "))))</f>
        <v xml:space="preserve">GASTOS FINANCIEROS </v>
      </c>
      <c r="E247" s="202" t="s">
        <v>1441</v>
      </c>
      <c r="F247" s="247">
        <v>45460</v>
      </c>
      <c r="G247" s="247" t="str">
        <f t="shared" si="20"/>
        <v>junio</v>
      </c>
      <c r="H247" s="191">
        <v>7</v>
      </c>
      <c r="I247" s="148" t="str">
        <f>TEXT(gastos[[#This Row],[Fecha]],"DDDD")</f>
        <v>viernes</v>
      </c>
      <c r="J247" s="249">
        <f t="shared" si="19"/>
        <v>45450</v>
      </c>
      <c r="K247" s="249"/>
      <c r="L247" s="147"/>
      <c r="M247" s="197">
        <f>1479.8+7418.51</f>
        <v>8898.31</v>
      </c>
      <c r="N247" s="205">
        <v>0</v>
      </c>
      <c r="O247" s="198">
        <f t="shared" si="21"/>
        <v>8898.31</v>
      </c>
      <c r="P247" s="199">
        <v>0</v>
      </c>
      <c r="Q247" s="199">
        <v>0</v>
      </c>
      <c r="R247" s="199">
        <v>0</v>
      </c>
      <c r="S247">
        <v>0</v>
      </c>
      <c r="T247" s="200" t="str">
        <f>IFERROR(VLOOKUP($A247,Tabla3[#All],2,0),"no esta registrado")</f>
        <v>Banco Multiple BHD León, S. A.</v>
      </c>
    </row>
    <row r="248" spans="1:20" ht="16.5" hidden="1" x14ac:dyDescent="0.3">
      <c r="A248" s="231" t="s">
        <v>489</v>
      </c>
      <c r="B248" s="193">
        <v>1</v>
      </c>
      <c r="C248" s="194">
        <v>7</v>
      </c>
      <c r="D248" s="195" t="str">
        <f>IF(C248=1,Leyenda!$C$3,IF(C248=2,Leyenda!$C$4,IF(C248=3,Leyenda!$C$5,IF(C248=4,Leyenda!$C$6,IF(C248=5,Leyenda!$C$7,IF(C248=6,Leyenda!$C$8,IF(C248=7,Leyenda!$C$9,IF(C248=8,Leyenda!$C$10," "))))))))&amp;IF(C248=9,Leyenda!$C$11,IF(C248=10,Leyenda!$C$12,IF(C248=11,Leyenda!$C$13,IF(C248=12,Leyenda!D305," "))))</f>
        <v xml:space="preserve">GASTOS FINANCIEROS </v>
      </c>
      <c r="E248" s="202" t="s">
        <v>1442</v>
      </c>
      <c r="F248" s="247">
        <v>45460</v>
      </c>
      <c r="G248" s="247" t="str">
        <f t="shared" si="20"/>
        <v>junio</v>
      </c>
      <c r="H248" s="191">
        <v>30</v>
      </c>
      <c r="I248" s="148" t="str">
        <f>TEXT(gastos[[#This Row],[Fecha]],"DDDD")</f>
        <v>domingo</v>
      </c>
      <c r="J248" s="249">
        <f t="shared" si="19"/>
        <v>45473</v>
      </c>
      <c r="K248" s="249"/>
      <c r="L248" s="147"/>
      <c r="M248" s="197">
        <v>10818.29</v>
      </c>
      <c r="N248" s="205">
        <v>0</v>
      </c>
      <c r="O248" s="198">
        <f t="shared" si="21"/>
        <v>10818.29</v>
      </c>
      <c r="P248" s="199">
        <v>0</v>
      </c>
      <c r="Q248" s="199">
        <v>0</v>
      </c>
      <c r="R248" s="199">
        <v>0</v>
      </c>
      <c r="S248">
        <v>0</v>
      </c>
      <c r="T248" s="200" t="str">
        <f>IFERROR(VLOOKUP($A248,Tabla3[#All],2,0),"no esta registrado")</f>
        <v>Banco Popular Dominicano, S. A. Banco Multiple</v>
      </c>
    </row>
    <row r="249" spans="1:20" ht="16.5" hidden="1" x14ac:dyDescent="0.3">
      <c r="A249" s="231" t="s">
        <v>492</v>
      </c>
      <c r="B249" s="193">
        <v>1</v>
      </c>
      <c r="C249" s="194">
        <v>7</v>
      </c>
      <c r="D249" s="195" t="str">
        <f>IF(C249=1,Leyenda!$C$3,IF(C249=2,Leyenda!$C$4,IF(C249=3,Leyenda!$C$5,IF(C249=4,Leyenda!$C$6,IF(C249=5,Leyenda!$C$7,IF(C249=6,Leyenda!$C$8,IF(C249=7,Leyenda!$C$9,IF(C249=8,Leyenda!$C$10," "))))))))&amp;IF(C249=9,Leyenda!$C$11,IF(C249=10,Leyenda!$C$12,IF(C249=11,Leyenda!$C$13,IF(C249=12,Leyenda!D306," "))))</f>
        <v xml:space="preserve">GASTOS FINANCIEROS </v>
      </c>
      <c r="E249" s="202" t="s">
        <v>1443</v>
      </c>
      <c r="F249" s="247">
        <v>45460</v>
      </c>
      <c r="G249" s="247" t="str">
        <f t="shared" si="20"/>
        <v>junio</v>
      </c>
      <c r="H249" s="191">
        <v>17</v>
      </c>
      <c r="I249" s="148" t="str">
        <f>TEXT(gastos[[#This Row],[Fecha]],"DDDD")</f>
        <v>lunes</v>
      </c>
      <c r="J249" s="249">
        <f t="shared" si="19"/>
        <v>45460</v>
      </c>
      <c r="K249" s="249"/>
      <c r="L249" s="147"/>
      <c r="M249" s="197">
        <v>23850.84</v>
      </c>
      <c r="N249" s="205">
        <v>0</v>
      </c>
      <c r="O249" s="198">
        <f t="shared" si="21"/>
        <v>23850.84</v>
      </c>
      <c r="P249" s="199">
        <v>0</v>
      </c>
      <c r="Q249" s="199">
        <v>0</v>
      </c>
      <c r="R249" s="199">
        <v>0</v>
      </c>
      <c r="S249">
        <v>0</v>
      </c>
      <c r="T249" s="200" t="str">
        <f>IFERROR(VLOOKUP($A249,Tabla3[#All],2,0),"no esta registrado")</f>
        <v>Banco Dominicano del Progreso, S. A.//Banco Multiple</v>
      </c>
    </row>
    <row r="250" spans="1:20" ht="16.5" hidden="1" x14ac:dyDescent="0.3">
      <c r="A250" s="231" t="s">
        <v>492</v>
      </c>
      <c r="B250" s="193">
        <v>1</v>
      </c>
      <c r="C250" s="194">
        <v>7</v>
      </c>
      <c r="D250" s="195" t="str">
        <f>IF(C250=1,Leyenda!$C$3,IF(C250=2,Leyenda!$C$4,IF(C250=3,Leyenda!$C$5,IF(C250=4,Leyenda!$C$6,IF(C250=5,Leyenda!$C$7,IF(C250=6,Leyenda!$C$8,IF(C250=7,Leyenda!$C$9,IF(C250=8,Leyenda!$C$10," "))))))))&amp;IF(C250=9,Leyenda!$C$11,IF(C250=10,Leyenda!$C$12,IF(C250=11,Leyenda!$C$13,IF(C250=12,Leyenda!D307," "))))</f>
        <v xml:space="preserve">GASTOS FINANCIEROS </v>
      </c>
      <c r="E250" s="202" t="s">
        <v>1444</v>
      </c>
      <c r="F250" s="247">
        <v>45460</v>
      </c>
      <c r="G250" s="247" t="str">
        <f t="shared" si="20"/>
        <v>junio</v>
      </c>
      <c r="H250" s="191">
        <v>17</v>
      </c>
      <c r="I250" s="148" t="str">
        <f>TEXT(gastos[[#This Row],[Fecha]],"DDDD")</f>
        <v>lunes</v>
      </c>
      <c r="J250" s="249">
        <f t="shared" si="19"/>
        <v>45460</v>
      </c>
      <c r="K250" s="249"/>
      <c r="L250" s="147"/>
      <c r="M250" s="197">
        <v>2934.8</v>
      </c>
      <c r="N250" s="205">
        <v>0</v>
      </c>
      <c r="O250" s="198">
        <f t="shared" si="21"/>
        <v>2934.8</v>
      </c>
      <c r="P250" s="199">
        <v>0</v>
      </c>
      <c r="Q250" s="199">
        <v>0</v>
      </c>
      <c r="R250" s="199">
        <v>0</v>
      </c>
      <c r="S250">
        <v>0</v>
      </c>
      <c r="T250" s="200" t="str">
        <f>IFERROR(VLOOKUP($A250,Tabla3[#All],2,0),"no esta registrado")</f>
        <v>Banco Dominicano del Progreso, S. A.//Banco Multiple</v>
      </c>
    </row>
    <row r="251" spans="1:20" ht="16.5" hidden="1" x14ac:dyDescent="0.3">
      <c r="A251" s="231" t="s">
        <v>492</v>
      </c>
      <c r="B251" s="193">
        <v>1</v>
      </c>
      <c r="C251" s="194">
        <v>7</v>
      </c>
      <c r="D251" s="195" t="str">
        <f>IF(C251=1,Leyenda!$C$3,IF(C251=2,Leyenda!$C$4,IF(C251=3,Leyenda!$C$5,IF(C251=4,Leyenda!$C$6,IF(C251=5,Leyenda!$C$7,IF(C251=6,Leyenda!$C$8,IF(C251=7,Leyenda!$C$9,IF(C251=8,Leyenda!$C$10," "))))))))&amp;IF(C251=9,Leyenda!$C$11,IF(C251=10,Leyenda!$C$12,IF(C251=11,Leyenda!$C$13,IF(C251=12,Leyenda!D308," "))))</f>
        <v xml:space="preserve">GASTOS FINANCIEROS </v>
      </c>
      <c r="E251" s="202" t="s">
        <v>1445</v>
      </c>
      <c r="F251" s="247">
        <v>45460</v>
      </c>
      <c r="G251" s="247" t="str">
        <f t="shared" si="20"/>
        <v>junio</v>
      </c>
      <c r="H251" s="191">
        <v>17</v>
      </c>
      <c r="I251" s="148" t="str">
        <f>TEXT(gastos[[#This Row],[Fecha]],"DDDD")</f>
        <v>lunes</v>
      </c>
      <c r="J251" s="249">
        <f t="shared" si="19"/>
        <v>45460</v>
      </c>
      <c r="K251" s="249"/>
      <c r="L251" s="147"/>
      <c r="M251" s="197">
        <v>66.930000000000007</v>
      </c>
      <c r="N251" s="205">
        <v>0</v>
      </c>
      <c r="O251" s="198">
        <f t="shared" si="21"/>
        <v>66.930000000000007</v>
      </c>
      <c r="P251" s="199">
        <v>0</v>
      </c>
      <c r="Q251">
        <v>0</v>
      </c>
      <c r="R251" s="199">
        <v>0</v>
      </c>
      <c r="S251">
        <v>0</v>
      </c>
      <c r="T251" s="200" t="str">
        <f>IFERROR(VLOOKUP($A251,Tabla3[#All],2,0),"no esta registrado")</f>
        <v>Banco Dominicano del Progreso, S. A.//Banco Multiple</v>
      </c>
    </row>
    <row r="252" spans="1:20" ht="16.5" hidden="1" x14ac:dyDescent="0.3">
      <c r="A252" s="231" t="s">
        <v>492</v>
      </c>
      <c r="B252" s="193">
        <v>1</v>
      </c>
      <c r="C252" s="194">
        <v>7</v>
      </c>
      <c r="D252" s="195" t="str">
        <f>IF(C252=1,Leyenda!$C$3,IF(C252=2,Leyenda!$C$4,IF(C252=3,Leyenda!$C$5,IF(C252=4,Leyenda!$C$6,IF(C252=5,Leyenda!$C$7,IF(C252=6,Leyenda!$C$8,IF(C252=7,Leyenda!$C$9,IF(C252=8,Leyenda!$C$10," "))))))))&amp;IF(C252=9,Leyenda!$C$11,IF(C252=10,Leyenda!$C$12,IF(C252=11,Leyenda!$C$13,IF(C252=12,Leyenda!D309," "))))</f>
        <v xml:space="preserve">GASTOS FINANCIEROS </v>
      </c>
      <c r="E252" s="202" t="s">
        <v>1446</v>
      </c>
      <c r="F252" s="247">
        <v>45460</v>
      </c>
      <c r="G252" s="247" t="str">
        <f t="shared" si="20"/>
        <v>junio</v>
      </c>
      <c r="H252" s="191">
        <v>19</v>
      </c>
      <c r="I252" s="148" t="str">
        <f>TEXT(gastos[[#This Row],[Fecha]],"DDDD")</f>
        <v>miércoles</v>
      </c>
      <c r="J252" s="249">
        <f t="shared" si="19"/>
        <v>45462</v>
      </c>
      <c r="K252" s="249"/>
      <c r="L252" s="147"/>
      <c r="M252" s="197">
        <v>175.72</v>
      </c>
      <c r="N252" s="205">
        <v>0</v>
      </c>
      <c r="O252" s="198">
        <f t="shared" si="21"/>
        <v>175.72</v>
      </c>
      <c r="P252" s="199">
        <v>0</v>
      </c>
      <c r="Q252">
        <v>0</v>
      </c>
      <c r="R252" s="199">
        <v>0</v>
      </c>
      <c r="S252">
        <v>0</v>
      </c>
      <c r="T252" s="200" t="str">
        <f>IFERROR(VLOOKUP($A252,Tabla3[#All],2,0),"no esta registrado")</f>
        <v>Banco Dominicano del Progreso, S. A.//Banco Multiple</v>
      </c>
    </row>
    <row r="253" spans="1:20" ht="16.5" hidden="1" x14ac:dyDescent="0.3">
      <c r="A253" s="231" t="s">
        <v>492</v>
      </c>
      <c r="B253" s="193">
        <v>1</v>
      </c>
      <c r="C253" s="194">
        <v>7</v>
      </c>
      <c r="D253" s="195" t="str">
        <f>IF(C253=1,Leyenda!$C$3,IF(C253=2,Leyenda!$C$4,IF(C253=3,Leyenda!$C$5,IF(C253=4,Leyenda!$C$6,IF(C253=5,Leyenda!$C$7,IF(C253=6,Leyenda!$C$8,IF(C253=7,Leyenda!$C$9,IF(C253=8,Leyenda!$C$10," "))))))))&amp;IF(C253=9,Leyenda!$C$11,IF(C253=10,Leyenda!$C$12,IF(C253=11,Leyenda!$C$13,IF(C253=12,Leyenda!D310," "))))</f>
        <v xml:space="preserve">GASTOS FINANCIEROS </v>
      </c>
      <c r="E253" s="202" t="s">
        <v>1447</v>
      </c>
      <c r="F253" s="247">
        <v>45460</v>
      </c>
      <c r="G253" s="247" t="str">
        <f t="shared" si="20"/>
        <v>junio</v>
      </c>
      <c r="H253" s="191">
        <v>28</v>
      </c>
      <c r="I253" s="148" t="str">
        <f>TEXT(gastos[[#This Row],[Fecha]],"DDDD")</f>
        <v>viernes</v>
      </c>
      <c r="J253" s="249">
        <f t="shared" si="19"/>
        <v>45471</v>
      </c>
      <c r="K253" s="249"/>
      <c r="L253" s="147"/>
      <c r="M253" s="197">
        <v>400</v>
      </c>
      <c r="N253" s="205">
        <v>0</v>
      </c>
      <c r="O253" s="198">
        <f t="shared" si="21"/>
        <v>400</v>
      </c>
      <c r="P253" s="199">
        <v>0</v>
      </c>
      <c r="Q253">
        <v>0</v>
      </c>
      <c r="R253" s="199">
        <v>0</v>
      </c>
      <c r="S253">
        <v>0</v>
      </c>
      <c r="T253" s="200" t="str">
        <f>IFERROR(VLOOKUP($A253,Tabla3[#All],2,0),"no esta registrado")</f>
        <v>Banco Dominicano del Progreso, S. A.//Banco Multiple</v>
      </c>
    </row>
    <row r="254" spans="1:20" ht="16.5" hidden="1" x14ac:dyDescent="0.3">
      <c r="A254" s="230" t="s">
        <v>1448</v>
      </c>
      <c r="B254" s="193">
        <v>1</v>
      </c>
      <c r="C254" s="194">
        <v>4</v>
      </c>
      <c r="D254" s="195" t="str">
        <f>IF(C254=1,Leyenda!$C$3,IF(C254=2,Leyenda!$C$4,IF(C254=3,Leyenda!$C$5,IF(C254=4,Leyenda!$C$6,IF(C254=5,Leyenda!$C$7,IF(C254=6,Leyenda!$C$8,IF(C254=7,Leyenda!$C$9,IF(C254=8,Leyenda!$C$10," "))))))))&amp;IF(C254=9,Leyenda!$C$11,IF(C254=10,Leyenda!$C$12,IF(C254=11,Leyenda!$C$13,IF(C254=12,Leyenda!D311," "))))</f>
        <v xml:space="preserve">GASTOS DE ACTIVOS FIJO </v>
      </c>
      <c r="E254" s="196" t="s">
        <v>1449</v>
      </c>
      <c r="F254" s="248">
        <v>45476</v>
      </c>
      <c r="G254" s="247" t="str">
        <f t="shared" si="20"/>
        <v>julio</v>
      </c>
      <c r="H254" s="191">
        <v>3</v>
      </c>
      <c r="I254" s="148" t="str">
        <f>TEXT(gastos[[#This Row],[Fecha]],"DDDD")</f>
        <v>miércoles</v>
      </c>
      <c r="J254" s="249">
        <f t="shared" si="19"/>
        <v>45476</v>
      </c>
      <c r="K254" s="249"/>
      <c r="L254" s="147"/>
      <c r="M254" s="197">
        <v>0</v>
      </c>
      <c r="N254" s="197">
        <v>1591</v>
      </c>
      <c r="O254" s="198">
        <f t="shared" ref="O254:O292" si="22">SUM(M254:N254)</f>
        <v>1591</v>
      </c>
      <c r="P254" s="199">
        <v>0</v>
      </c>
      <c r="Q254" s="199">
        <v>0</v>
      </c>
      <c r="R254" s="199">
        <v>0</v>
      </c>
      <c r="S254">
        <v>0</v>
      </c>
      <c r="T254" s="200" t="str">
        <f>IFERROR(VLOOKUP($A254,Tabla3[#All],2,0),"no esta registrado")</f>
        <v>no esta registrado</v>
      </c>
    </row>
    <row r="255" spans="1:20" ht="16.5" hidden="1" x14ac:dyDescent="0.3">
      <c r="A255" s="230" t="s">
        <v>909</v>
      </c>
      <c r="B255" s="193">
        <v>1</v>
      </c>
      <c r="C255" s="194">
        <v>4</v>
      </c>
      <c r="D255" s="195" t="str">
        <f>IF(C255=1,Leyenda!$C$3,IF(C255=2,Leyenda!$C$4,IF(C255=3,Leyenda!$C$5,IF(C255=4,Leyenda!$C$6,IF(C255=5,Leyenda!$C$7,IF(C255=6,Leyenda!$C$8,IF(C255=7,Leyenda!$C$9,IF(C255=8,Leyenda!$C$10," "))))))))&amp;IF(C255=9,Leyenda!$C$11,IF(C255=10,Leyenda!$C$12,IF(C255=11,Leyenda!$C$13,IF(C255=12,Leyenda!D312," "))))</f>
        <v xml:space="preserve">GASTOS DE ACTIVOS FIJO </v>
      </c>
      <c r="E255" s="196" t="s">
        <v>1450</v>
      </c>
      <c r="F255" s="247">
        <v>45476</v>
      </c>
      <c r="G255" s="247" t="str">
        <f t="shared" si="20"/>
        <v>julio</v>
      </c>
      <c r="H255" s="191">
        <v>3</v>
      </c>
      <c r="I255" s="148" t="str">
        <f>TEXT(gastos[[#This Row],[Fecha]],"DDDD")</f>
        <v>miércoles</v>
      </c>
      <c r="J255" s="249">
        <f t="shared" si="19"/>
        <v>45476</v>
      </c>
      <c r="K255" s="249"/>
      <c r="L255" s="147"/>
      <c r="M255" s="197">
        <v>0</v>
      </c>
      <c r="N255" s="197">
        <v>4755</v>
      </c>
      <c r="O255" s="198">
        <f t="shared" si="22"/>
        <v>4755</v>
      </c>
      <c r="P255" s="199">
        <v>0</v>
      </c>
      <c r="Q255" s="199">
        <v>0</v>
      </c>
      <c r="R255" s="199">
        <v>0</v>
      </c>
      <c r="S255">
        <v>0</v>
      </c>
      <c r="T255" s="200" t="str">
        <f>IFERROR(VLOOKUP($A255,Tabla3[#All],2,0),"no esta registrado")</f>
        <v>Strata, S.R.L.</v>
      </c>
    </row>
    <row r="256" spans="1:20" ht="16.5" hidden="1" x14ac:dyDescent="0.3">
      <c r="A256" s="230" t="s">
        <v>909</v>
      </c>
      <c r="B256" s="193">
        <v>1</v>
      </c>
      <c r="C256" s="194">
        <v>4</v>
      </c>
      <c r="D256" s="195" t="str">
        <f>IF(C256=1,Leyenda!$C$3,IF(C256=2,Leyenda!$C$4,IF(C256=3,Leyenda!$C$5,IF(C256=4,Leyenda!$C$6,IF(C256=5,Leyenda!$C$7,IF(C256=6,Leyenda!$C$8,IF(C256=7,Leyenda!$C$9,IF(C256=8,Leyenda!$C$10," "))))))))&amp;IF(C256=9,Leyenda!$C$11,IF(C256=10,Leyenda!$C$12,IF(C256=11,Leyenda!$C$13,IF(C256=12,Leyenda!D313," "))))</f>
        <v xml:space="preserve">GASTOS DE ACTIVOS FIJO </v>
      </c>
      <c r="E256" s="196" t="s">
        <v>1451</v>
      </c>
      <c r="F256" s="247">
        <v>45476</v>
      </c>
      <c r="G256" s="247" t="str">
        <f t="shared" si="20"/>
        <v>julio</v>
      </c>
      <c r="H256" s="191">
        <v>3</v>
      </c>
      <c r="I256" s="148" t="str">
        <f>TEXT(gastos[[#This Row],[Fecha]],"DDDD")</f>
        <v>miércoles</v>
      </c>
      <c r="J256" s="249">
        <f t="shared" si="19"/>
        <v>45476</v>
      </c>
      <c r="K256" s="249"/>
      <c r="L256" s="147"/>
      <c r="M256" s="197">
        <v>0</v>
      </c>
      <c r="N256" s="197">
        <v>4732</v>
      </c>
      <c r="O256" s="198">
        <f t="shared" si="22"/>
        <v>4732</v>
      </c>
      <c r="P256" s="199">
        <v>0</v>
      </c>
      <c r="Q256" s="199">
        <v>0</v>
      </c>
      <c r="R256" s="199">
        <v>0</v>
      </c>
      <c r="S256">
        <v>0</v>
      </c>
      <c r="T256" s="200" t="str">
        <f>IFERROR(VLOOKUP($A256,Tabla3[#All],2,0),"no esta registrado")</f>
        <v>Strata, S.R.L.</v>
      </c>
    </row>
    <row r="257" spans="1:20" ht="16.5" hidden="1" x14ac:dyDescent="0.3">
      <c r="A257" s="230" t="s">
        <v>909</v>
      </c>
      <c r="B257" s="193">
        <v>1</v>
      </c>
      <c r="C257" s="194">
        <v>4</v>
      </c>
      <c r="D257" s="195" t="str">
        <f>IF(C257=1,Leyenda!$C$3,IF(C257=2,Leyenda!$C$4,IF(C257=3,Leyenda!$C$5,IF(C257=4,Leyenda!$C$6,IF(C257=5,Leyenda!$C$7,IF(C257=6,Leyenda!$C$8,IF(C257=7,Leyenda!$C$9,IF(C257=8,Leyenda!$C$10," "))))))))&amp;IF(C257=9,Leyenda!$C$11,IF(C257=10,Leyenda!$C$12,IF(C257=11,Leyenda!$C$13,IF(C257=12,Leyenda!D314," "))))</f>
        <v xml:space="preserve">GASTOS DE ACTIVOS FIJO </v>
      </c>
      <c r="E257" s="196" t="s">
        <v>1452</v>
      </c>
      <c r="F257" s="247">
        <v>45476</v>
      </c>
      <c r="G257" s="247" t="str">
        <f t="shared" si="20"/>
        <v>julio</v>
      </c>
      <c r="H257" s="191">
        <v>4</v>
      </c>
      <c r="I257" s="148" t="str">
        <f>TEXT(gastos[[#This Row],[Fecha]],"DDDD")</f>
        <v>jueves</v>
      </c>
      <c r="J257" s="249">
        <f t="shared" si="19"/>
        <v>45477</v>
      </c>
      <c r="K257" s="249"/>
      <c r="L257" s="147"/>
      <c r="M257" s="197">
        <v>0</v>
      </c>
      <c r="N257" s="197">
        <v>3500</v>
      </c>
      <c r="O257" s="198">
        <f t="shared" si="22"/>
        <v>3500</v>
      </c>
      <c r="P257" s="199">
        <v>0</v>
      </c>
      <c r="Q257" s="199">
        <v>0</v>
      </c>
      <c r="R257" s="199">
        <v>0</v>
      </c>
      <c r="S257">
        <v>0</v>
      </c>
      <c r="T257" s="200" t="str">
        <f>IFERROR(VLOOKUP($A257,Tabla3[#All],2,0),"no esta registrado")</f>
        <v>Strata, S.R.L.</v>
      </c>
    </row>
    <row r="258" spans="1:20" ht="16.5" hidden="1" x14ac:dyDescent="0.3">
      <c r="A258" s="230" t="s">
        <v>909</v>
      </c>
      <c r="B258" s="193">
        <v>1</v>
      </c>
      <c r="C258" s="194">
        <v>4</v>
      </c>
      <c r="D258" s="195" t="str">
        <f>IF(C258=1,Leyenda!$C$3,IF(C258=2,Leyenda!$C$4,IF(C258=3,Leyenda!$C$5,IF(C258=4,Leyenda!$C$6,IF(C258=5,Leyenda!$C$7,IF(C258=6,Leyenda!$C$8,IF(C258=7,Leyenda!$C$9,IF(C258=8,Leyenda!$C$10," "))))))))&amp;IF(C258=9,Leyenda!$C$11,IF(C258=10,Leyenda!$C$12,IF(C258=11,Leyenda!$C$13,IF(C258=12,Leyenda!D315," "))))</f>
        <v xml:space="preserve">GASTOS DE ACTIVOS FIJO </v>
      </c>
      <c r="E258" s="196" t="s">
        <v>1453</v>
      </c>
      <c r="F258" s="247">
        <v>45476</v>
      </c>
      <c r="G258" s="247" t="str">
        <f t="shared" si="20"/>
        <v>julio</v>
      </c>
      <c r="H258" s="191">
        <v>12</v>
      </c>
      <c r="I258" s="148" t="str">
        <f>TEXT(gastos[[#This Row],[Fecha]],"DDDD")</f>
        <v>viernes</v>
      </c>
      <c r="J258" s="249">
        <f t="shared" si="19"/>
        <v>45485</v>
      </c>
      <c r="K258" s="249"/>
      <c r="L258" s="147"/>
      <c r="M258" s="197">
        <v>0</v>
      </c>
      <c r="N258" s="197">
        <v>4659</v>
      </c>
      <c r="O258" s="198">
        <f t="shared" si="22"/>
        <v>4659</v>
      </c>
      <c r="P258" s="199">
        <v>0</v>
      </c>
      <c r="Q258" s="199">
        <v>0</v>
      </c>
      <c r="R258" s="199">
        <v>0</v>
      </c>
      <c r="S258">
        <v>0</v>
      </c>
      <c r="T258" s="200" t="str">
        <f>IFERROR(VLOOKUP($A258,Tabla3[#All],2,0),"no esta registrado")</f>
        <v>Strata, S.R.L.</v>
      </c>
    </row>
    <row r="259" spans="1:20" ht="16.5" hidden="1" x14ac:dyDescent="0.3">
      <c r="A259" s="230" t="s">
        <v>909</v>
      </c>
      <c r="B259" s="193">
        <v>1</v>
      </c>
      <c r="C259" s="194">
        <v>4</v>
      </c>
      <c r="D259" s="195" t="str">
        <f>IF(C259=1,Leyenda!$C$3,IF(C259=2,Leyenda!$C$4,IF(C259=3,Leyenda!$C$5,IF(C259=4,Leyenda!$C$6,IF(C259=5,Leyenda!$C$7,IF(C259=6,Leyenda!$C$8,IF(C259=7,Leyenda!$C$9,IF(C259=8,Leyenda!$C$10," "))))))))&amp;IF(C259=9,Leyenda!$C$11,IF(C259=10,Leyenda!$C$12,IF(C259=11,Leyenda!$C$13,IF(C259=12,Leyenda!D316," "))))</f>
        <v xml:space="preserve">GASTOS DE ACTIVOS FIJO </v>
      </c>
      <c r="E259" s="196" t="s">
        <v>1454</v>
      </c>
      <c r="F259" s="247">
        <v>45476</v>
      </c>
      <c r="G259" s="247" t="str">
        <f t="shared" si="20"/>
        <v>julio</v>
      </c>
      <c r="H259" s="191">
        <v>28</v>
      </c>
      <c r="I259" s="148" t="str">
        <f>TEXT(gastos[[#This Row],[Fecha]],"DDDD")</f>
        <v>domingo</v>
      </c>
      <c r="J259" s="249">
        <f t="shared" si="19"/>
        <v>45501</v>
      </c>
      <c r="K259" s="249"/>
      <c r="L259" s="147"/>
      <c r="M259" s="197">
        <v>0</v>
      </c>
      <c r="N259" s="197">
        <v>3377</v>
      </c>
      <c r="O259" s="198">
        <f t="shared" si="22"/>
        <v>3377</v>
      </c>
      <c r="P259" s="199">
        <v>0</v>
      </c>
      <c r="Q259" s="199">
        <v>0</v>
      </c>
      <c r="R259" s="199">
        <v>0</v>
      </c>
      <c r="S259">
        <v>0</v>
      </c>
      <c r="T259" s="200" t="str">
        <f>IFERROR(VLOOKUP($A259,Tabla3[#All],2,0),"no esta registrado")</f>
        <v>Strata, S.R.L.</v>
      </c>
    </row>
    <row r="260" spans="1:20" ht="16.5" hidden="1" x14ac:dyDescent="0.3">
      <c r="A260" s="230" t="s">
        <v>909</v>
      </c>
      <c r="B260" s="193">
        <v>1</v>
      </c>
      <c r="C260" s="194">
        <v>4</v>
      </c>
      <c r="D260" s="195" t="str">
        <f>IF(C260=1,Leyenda!$C$3,IF(C260=2,Leyenda!$C$4,IF(C260=3,Leyenda!$C$5,IF(C260=4,Leyenda!$C$6,IF(C260=5,Leyenda!$C$7,IF(C260=6,Leyenda!$C$8,IF(C260=7,Leyenda!$C$9,IF(C260=8,Leyenda!$C$10," "))))))))&amp;IF(C260=9,Leyenda!$C$11,IF(C260=10,Leyenda!$C$12,IF(C260=11,Leyenda!$C$13,IF(C260=12,Leyenda!D317," "))))</f>
        <v xml:space="preserve">GASTOS DE ACTIVOS FIJO </v>
      </c>
      <c r="E260" s="196" t="s">
        <v>1455</v>
      </c>
      <c r="F260" s="247">
        <v>45476</v>
      </c>
      <c r="G260" s="247" t="str">
        <f t="shared" si="20"/>
        <v>julio</v>
      </c>
      <c r="H260" s="191">
        <v>29</v>
      </c>
      <c r="I260" s="148" t="str">
        <f>TEXT(gastos[[#This Row],[Fecha]],"DDDD")</f>
        <v>lunes</v>
      </c>
      <c r="J260" s="249">
        <f t="shared" si="19"/>
        <v>45502</v>
      </c>
      <c r="K260" s="249"/>
      <c r="L260" s="147"/>
      <c r="M260" s="197">
        <v>0</v>
      </c>
      <c r="N260" s="197">
        <v>4657</v>
      </c>
      <c r="O260" s="198">
        <f t="shared" si="22"/>
        <v>4657</v>
      </c>
      <c r="P260" s="199">
        <v>0</v>
      </c>
      <c r="Q260" s="199">
        <v>0</v>
      </c>
      <c r="R260" s="199">
        <v>0</v>
      </c>
      <c r="S260">
        <v>0</v>
      </c>
      <c r="T260" s="200" t="str">
        <f>IFERROR(VLOOKUP($A260,Tabla3[#All],2,0),"no esta registrado")</f>
        <v>Strata, S.R.L.</v>
      </c>
    </row>
    <row r="261" spans="1:20" ht="16.5" hidden="1" x14ac:dyDescent="0.3">
      <c r="A261" s="230" t="s">
        <v>1456</v>
      </c>
      <c r="B261" s="193">
        <v>1</v>
      </c>
      <c r="C261" s="194">
        <v>2</v>
      </c>
      <c r="D261" s="195" t="str">
        <f>IF(C261=1,Leyenda!$C$3,IF(C261=2,Leyenda!$C$4,IF(C261=3,Leyenda!$C$5,IF(C261=4,Leyenda!$C$6,IF(C261=5,Leyenda!$C$7,IF(C261=6,Leyenda!$C$8,IF(C261=7,Leyenda!$C$9,IF(C261=8,Leyenda!$C$10," "))))))))&amp;IF(C261=9,Leyenda!$C$11,IF(C261=10,Leyenda!$C$12,IF(C261=11,Leyenda!$C$13,IF(C261=12,Leyenda!D318," "))))</f>
        <v xml:space="preserve">GASTOS POR TRABAJOS, SUMINISTROS Y SERVICIOS </v>
      </c>
      <c r="E261" s="196" t="s">
        <v>1457</v>
      </c>
      <c r="F261" s="247">
        <v>45476</v>
      </c>
      <c r="G261" s="247" t="str">
        <f t="shared" si="20"/>
        <v>julio</v>
      </c>
      <c r="H261" s="191">
        <v>25</v>
      </c>
      <c r="I261" s="148" t="str">
        <f>TEXT(gastos[[#This Row],[Fecha]],"DDDD")</f>
        <v>jueves</v>
      </c>
      <c r="J261" s="249">
        <f t="shared" si="19"/>
        <v>45498</v>
      </c>
      <c r="K261" s="249"/>
      <c r="L261" s="147"/>
      <c r="M261" s="197">
        <v>0</v>
      </c>
      <c r="N261" s="197">
        <f>5000-762.72</f>
        <v>4237.28</v>
      </c>
      <c r="O261" s="198">
        <f t="shared" si="22"/>
        <v>4237.28</v>
      </c>
      <c r="P261" s="199">
        <v>762.72</v>
      </c>
      <c r="Q261" s="199">
        <v>0</v>
      </c>
      <c r="R261" s="199">
        <v>0</v>
      </c>
      <c r="S261">
        <v>0</v>
      </c>
      <c r="T261" s="200" t="str">
        <f>IFERROR(VLOOKUP($A261,Tabla3[#All],2,0),"no esta registrado")</f>
        <v>no esta registrado</v>
      </c>
    </row>
    <row r="262" spans="1:20" ht="16.5" hidden="1" x14ac:dyDescent="0.3">
      <c r="A262" s="231" t="s">
        <v>1124</v>
      </c>
      <c r="B262" s="193">
        <v>1</v>
      </c>
      <c r="C262" s="194">
        <v>2</v>
      </c>
      <c r="D262" s="195" t="str">
        <f>IF(C262=1,Leyenda!$C$3,IF(C262=2,Leyenda!$C$4,IF(C262=3,Leyenda!$C$5,IF(C262=4,Leyenda!$C$6,IF(C262=5,Leyenda!$C$7,IF(C262=6,Leyenda!$C$8,IF(C262=7,Leyenda!$C$9,IF(C262=8,Leyenda!$C$10," "))))))))&amp;IF(C262=9,Leyenda!$C$11,IF(C262=10,Leyenda!$C$12,IF(C262=11,Leyenda!$C$13,IF(C262=12,Leyenda!D319," "))))</f>
        <v xml:space="preserve">GASTOS POR TRABAJOS, SUMINISTROS Y SERVICIOS </v>
      </c>
      <c r="E262" s="196" t="s">
        <v>1458</v>
      </c>
      <c r="F262" s="247">
        <v>45476</v>
      </c>
      <c r="G262" s="247" t="str">
        <f t="shared" si="20"/>
        <v>julio</v>
      </c>
      <c r="H262" s="191">
        <v>19</v>
      </c>
      <c r="I262" s="148" t="str">
        <f>TEXT(gastos[[#This Row],[Fecha]],"DDDD")</f>
        <v>viernes</v>
      </c>
      <c r="J262" s="249">
        <f t="shared" si="19"/>
        <v>45492</v>
      </c>
      <c r="K262" s="249"/>
      <c r="L262" s="147"/>
      <c r="M262" s="197">
        <v>0</v>
      </c>
      <c r="N262" s="197">
        <v>762.71</v>
      </c>
      <c r="O262" s="198">
        <f t="shared" si="22"/>
        <v>762.71</v>
      </c>
      <c r="P262" s="199">
        <v>137.29</v>
      </c>
      <c r="Q262" s="199">
        <v>0</v>
      </c>
      <c r="R262" s="199">
        <v>0</v>
      </c>
      <c r="S262">
        <v>0</v>
      </c>
      <c r="T262" s="200" t="str">
        <f>IFERROR(VLOOKUP($A262,Tabla3[#All],2,0),"no esta registrado")</f>
        <v>Little Ceasars Pizza Alma Rosa</v>
      </c>
    </row>
    <row r="263" spans="1:20" ht="16.5" hidden="1" x14ac:dyDescent="0.3">
      <c r="A263" s="230" t="s">
        <v>1459</v>
      </c>
      <c r="B263" s="193">
        <v>1</v>
      </c>
      <c r="C263" s="194">
        <v>2</v>
      </c>
      <c r="D263" s="195" t="str">
        <f>IF(C263=1,Leyenda!$C$3,IF(C263=2,Leyenda!$C$4,IF(C263=3,Leyenda!$C$5,IF(C263=4,Leyenda!$C$6,IF(C263=5,Leyenda!$C$7,IF(C263=6,Leyenda!$C$8,IF(C263=7,Leyenda!$C$9,IF(C263=8,Leyenda!$C$10," "))))))))&amp;IF(C263=9,Leyenda!$C$11,IF(C263=10,Leyenda!$C$12,IF(C263=11,Leyenda!$C$13,IF(C263=12,Leyenda!D320," "))))</f>
        <v xml:space="preserve">GASTOS POR TRABAJOS, SUMINISTROS Y SERVICIOS </v>
      </c>
      <c r="E263" s="196" t="s">
        <v>1460</v>
      </c>
      <c r="F263" s="247">
        <v>45476</v>
      </c>
      <c r="G263" s="247" t="str">
        <f t="shared" si="20"/>
        <v>julio</v>
      </c>
      <c r="H263" s="191">
        <v>7</v>
      </c>
      <c r="I263" s="148" t="str">
        <f>TEXT(gastos[[#This Row],[Fecha]],"DDDD")</f>
        <v>domingo</v>
      </c>
      <c r="J263" s="249">
        <f t="shared" si="19"/>
        <v>45480</v>
      </c>
      <c r="K263" s="249"/>
      <c r="L263" s="147"/>
      <c r="M263" s="197">
        <v>0</v>
      </c>
      <c r="N263" s="197">
        <v>2038.14</v>
      </c>
      <c r="O263" s="198">
        <f t="shared" si="22"/>
        <v>2038.14</v>
      </c>
      <c r="P263" s="199">
        <v>366.87</v>
      </c>
      <c r="Q263" s="199">
        <v>0</v>
      </c>
      <c r="R263" s="199">
        <v>0</v>
      </c>
      <c r="S263">
        <v>0</v>
      </c>
      <c r="T263" s="200" t="str">
        <f>IFERROR(VLOOKUP($A263,Tabla3[#All],2,0),"no esta registrado")</f>
        <v>no esta registrado</v>
      </c>
    </row>
    <row r="264" spans="1:20" ht="16.5" hidden="1" x14ac:dyDescent="0.3">
      <c r="A264" s="230" t="s">
        <v>1461</v>
      </c>
      <c r="B264" s="193">
        <v>1</v>
      </c>
      <c r="C264" s="194">
        <v>2</v>
      </c>
      <c r="D264" s="195" t="str">
        <f>IF(C264=1,Leyenda!$C$3,IF(C264=2,Leyenda!$C$4,IF(C264=3,Leyenda!$C$5,IF(C264=4,Leyenda!$C$6,IF(C264=5,Leyenda!$C$7,IF(C264=6,Leyenda!$C$8,IF(C264=7,Leyenda!$C$9,IF(C264=8,Leyenda!$C$10," "))))))))&amp;IF(C264=9,Leyenda!$C$11,IF(C264=10,Leyenda!$C$12,IF(C264=11,Leyenda!$C$13,IF(C264=12,Leyenda!D321," "))))</f>
        <v xml:space="preserve">GASTOS POR TRABAJOS, SUMINISTROS Y SERVICIOS </v>
      </c>
      <c r="E264" s="196" t="s">
        <v>1462</v>
      </c>
      <c r="F264" s="247">
        <v>45476</v>
      </c>
      <c r="G264" s="247" t="str">
        <f t="shared" si="20"/>
        <v>julio</v>
      </c>
      <c r="H264" s="191">
        <v>2</v>
      </c>
      <c r="I264" s="148" t="str">
        <f>TEXT(gastos[[#This Row],[Fecha]],"DDDD")</f>
        <v>martes</v>
      </c>
      <c r="J264" s="249">
        <f t="shared" ref="J264:J327" si="23">DATE(YEAR(F264),MONTH(F264),H264)</f>
        <v>45475</v>
      </c>
      <c r="K264" s="249"/>
      <c r="L264" s="147"/>
      <c r="M264" s="197">
        <v>0</v>
      </c>
      <c r="N264" s="197">
        <f>425+487.29</f>
        <v>912.29</v>
      </c>
      <c r="O264" s="198">
        <f t="shared" si="22"/>
        <v>912.29</v>
      </c>
      <c r="P264" s="199">
        <v>87.71</v>
      </c>
      <c r="Q264" s="199">
        <v>0</v>
      </c>
      <c r="R264" s="199">
        <v>0</v>
      </c>
      <c r="S264">
        <v>0</v>
      </c>
      <c r="T264" s="200" t="str">
        <f>IFERROR(VLOOKUP($A264,Tabla3[#All],2,0),"no esta registrado")</f>
        <v>no esta registrado</v>
      </c>
    </row>
    <row r="265" spans="1:20" ht="16.5" hidden="1" x14ac:dyDescent="0.3">
      <c r="A265" s="230" t="s">
        <v>1463</v>
      </c>
      <c r="B265" s="193">
        <v>1</v>
      </c>
      <c r="C265" s="194">
        <v>2</v>
      </c>
      <c r="D265" s="195" t="str">
        <f>IF(C265=1,Leyenda!$C$3,IF(C265=2,Leyenda!$C$4,IF(C265=3,Leyenda!$C$5,IF(C265=4,Leyenda!$C$6,IF(C265=5,Leyenda!$C$7,IF(C265=6,Leyenda!$C$8,IF(C265=7,Leyenda!$C$9,IF(C265=8,Leyenda!$C$10," "))))))))&amp;IF(C265=9,Leyenda!$C$11,IF(C265=10,Leyenda!$C$12,IF(C265=11,Leyenda!$C$13,IF(C265=12,Leyenda!D322," "))))</f>
        <v xml:space="preserve">GASTOS POR TRABAJOS, SUMINISTROS Y SERVICIOS </v>
      </c>
      <c r="E265" s="196" t="s">
        <v>1464</v>
      </c>
      <c r="F265" s="247">
        <v>45476</v>
      </c>
      <c r="G265" s="247" t="str">
        <f t="shared" si="20"/>
        <v>julio</v>
      </c>
      <c r="H265" s="191">
        <v>12</v>
      </c>
      <c r="I265" s="148" t="str">
        <f>TEXT(gastos[[#This Row],[Fecha]],"DDDD")</f>
        <v>viernes</v>
      </c>
      <c r="J265" s="249">
        <f t="shared" si="23"/>
        <v>45485</v>
      </c>
      <c r="K265" s="249"/>
      <c r="L265" s="147"/>
      <c r="M265" s="197">
        <v>0</v>
      </c>
      <c r="N265" s="197">
        <f>3590-547.63</f>
        <v>3042.37</v>
      </c>
      <c r="O265" s="198">
        <f t="shared" si="22"/>
        <v>3042.37</v>
      </c>
      <c r="P265" s="199">
        <v>547.63</v>
      </c>
      <c r="Q265" s="199">
        <v>0</v>
      </c>
      <c r="R265" s="199">
        <v>0</v>
      </c>
      <c r="S265">
        <v>0</v>
      </c>
      <c r="T265" s="200" t="str">
        <f>IFERROR(VLOOKUP($A265,Tabla3[#All],2,0),"no esta registrado")</f>
        <v>no esta registrado</v>
      </c>
    </row>
    <row r="266" spans="1:20" ht="16.5" hidden="1" x14ac:dyDescent="0.3">
      <c r="A266" s="230" t="s">
        <v>1465</v>
      </c>
      <c r="B266" s="193">
        <v>1</v>
      </c>
      <c r="C266" s="194">
        <v>2</v>
      </c>
      <c r="D266" s="195" t="str">
        <f>IF(C266=1,Leyenda!$C$3,IF(C266=2,Leyenda!$C$4,IF(C266=3,Leyenda!$C$5,IF(C266=4,Leyenda!$C$6,IF(C266=5,Leyenda!$C$7,IF(C266=6,Leyenda!$C$8,IF(C266=7,Leyenda!$C$9,IF(C266=8,Leyenda!$C$10," "))))))))&amp;IF(C266=9,Leyenda!$C$11,IF(C266=10,Leyenda!$C$12,IF(C266=11,Leyenda!$C$13,IF(C266=12,Leyenda!D323," "))))</f>
        <v xml:space="preserve">GASTOS POR TRABAJOS, SUMINISTROS Y SERVICIOS </v>
      </c>
      <c r="E266" s="196" t="s">
        <v>1466</v>
      </c>
      <c r="F266" s="247">
        <v>45476</v>
      </c>
      <c r="G266" s="247" t="str">
        <f t="shared" si="20"/>
        <v>julio</v>
      </c>
      <c r="H266" s="191">
        <v>28</v>
      </c>
      <c r="I266" s="148" t="str">
        <f>TEXT(gastos[[#This Row],[Fecha]],"DDDD")</f>
        <v>domingo</v>
      </c>
      <c r="J266" s="249">
        <f t="shared" si="23"/>
        <v>45501</v>
      </c>
      <c r="K266" s="249"/>
      <c r="L266" s="147"/>
      <c r="M266" s="197">
        <v>0</v>
      </c>
      <c r="N266" s="197">
        <v>822.04</v>
      </c>
      <c r="O266" s="198">
        <f t="shared" si="22"/>
        <v>822.04</v>
      </c>
      <c r="P266" s="199">
        <v>147.96</v>
      </c>
      <c r="Q266" s="199">
        <v>0</v>
      </c>
      <c r="R266" s="199">
        <v>0</v>
      </c>
      <c r="S266">
        <v>0</v>
      </c>
      <c r="T266" s="200" t="str">
        <f>IFERROR(VLOOKUP($A266,Tabla3[#All],2,0),"no esta registrado")</f>
        <v>no esta registrado</v>
      </c>
    </row>
    <row r="267" spans="1:20" ht="16.5" hidden="1" x14ac:dyDescent="0.3">
      <c r="A267" s="231" t="s">
        <v>1467</v>
      </c>
      <c r="B267" s="193">
        <v>1</v>
      </c>
      <c r="C267" s="194">
        <v>2</v>
      </c>
      <c r="D267" s="195" t="str">
        <f>IF(C267=1,Leyenda!$C$3,IF(C267=2,Leyenda!$C$4,IF(C267=3,Leyenda!$C$5,IF(C267=4,Leyenda!$C$6,IF(C267=5,Leyenda!$C$7,IF(C267=6,Leyenda!$C$8,IF(C267=7,Leyenda!$C$9,IF(C267=8,Leyenda!$C$10," "))))))))&amp;IF(C267=9,Leyenda!$C$11,IF(C267=10,Leyenda!$C$12,IF(C267=11,Leyenda!$C$13,IF(C267=12,Leyenda!D324," "))))</f>
        <v xml:space="preserve">GASTOS POR TRABAJOS, SUMINISTROS Y SERVICIOS </v>
      </c>
      <c r="E267" s="196" t="s">
        <v>1468</v>
      </c>
      <c r="F267" s="247">
        <v>45476</v>
      </c>
      <c r="G267" s="247" t="str">
        <f t="shared" si="20"/>
        <v>julio</v>
      </c>
      <c r="H267" s="191">
        <v>31</v>
      </c>
      <c r="I267" s="148" t="str">
        <f>TEXT(gastos[[#This Row],[Fecha]],"DDDD")</f>
        <v>miércoles</v>
      </c>
      <c r="J267" s="249">
        <f t="shared" si="23"/>
        <v>45504</v>
      </c>
      <c r="K267" s="249"/>
      <c r="L267" s="147"/>
      <c r="M267" s="197">
        <v>0</v>
      </c>
      <c r="N267" s="197">
        <v>1850</v>
      </c>
      <c r="O267" s="198">
        <f t="shared" si="22"/>
        <v>1850</v>
      </c>
      <c r="P267" s="199">
        <v>0</v>
      </c>
      <c r="Q267" s="199">
        <v>0</v>
      </c>
      <c r="R267" s="199">
        <v>0</v>
      </c>
      <c r="S267">
        <v>0</v>
      </c>
      <c r="T267" s="200" t="str">
        <f>IFERROR(VLOOKUP($A267,Tabla3[#All],2,0),"no esta registrado")</f>
        <v>no esta registrado</v>
      </c>
    </row>
    <row r="268" spans="1:20" ht="16.5" hidden="1" x14ac:dyDescent="0.3">
      <c r="A268" s="230" t="s">
        <v>1370</v>
      </c>
      <c r="B268" s="193">
        <v>1</v>
      </c>
      <c r="C268" s="194">
        <v>2</v>
      </c>
      <c r="D268" s="195" t="str">
        <f>IF(C268=1,Leyenda!$C$3,IF(C268=2,Leyenda!$C$4,IF(C268=3,Leyenda!$C$5,IF(C268=4,Leyenda!$C$6,IF(C268=5,Leyenda!$C$7,IF(C268=6,Leyenda!$C$8,IF(C268=7,Leyenda!$C$9,IF(C268=8,Leyenda!$C$10," "))))))))&amp;IF(C268=9,Leyenda!$C$11,IF(C268=10,Leyenda!$C$12,IF(C268=11,Leyenda!$C$13,IF(C268=12,Leyenda!D325," "))))</f>
        <v xml:space="preserve">GASTOS POR TRABAJOS, SUMINISTROS Y SERVICIOS </v>
      </c>
      <c r="E268" s="196" t="s">
        <v>1469</v>
      </c>
      <c r="F268" s="247">
        <v>45476</v>
      </c>
      <c r="G268" s="247" t="str">
        <f t="shared" si="20"/>
        <v>julio</v>
      </c>
      <c r="H268" s="191">
        <v>28</v>
      </c>
      <c r="I268" s="148" t="str">
        <f>TEXT(gastos[[#This Row],[Fecha]],"DDDD")</f>
        <v>domingo</v>
      </c>
      <c r="J268" s="249">
        <f t="shared" si="23"/>
        <v>45501</v>
      </c>
      <c r="K268" s="249"/>
      <c r="L268" s="147"/>
      <c r="M268" s="197">
        <v>0</v>
      </c>
      <c r="N268" s="197">
        <v>6165</v>
      </c>
      <c r="O268" s="198">
        <f t="shared" si="22"/>
        <v>6165</v>
      </c>
      <c r="P268" s="199">
        <v>1109.7</v>
      </c>
      <c r="Q268" s="199">
        <v>0</v>
      </c>
      <c r="R268" s="199">
        <v>617</v>
      </c>
      <c r="S268">
        <v>0</v>
      </c>
      <c r="T268" s="200" t="str">
        <f>IFERROR(VLOOKUP($A268,Tabla3[#All],2,0),"no esta registrado")</f>
        <v>no esta registrado</v>
      </c>
    </row>
    <row r="269" spans="1:20" ht="16.5" hidden="1" x14ac:dyDescent="0.3">
      <c r="A269" s="230" t="s">
        <v>1361</v>
      </c>
      <c r="B269" s="193">
        <v>1</v>
      </c>
      <c r="C269" s="194">
        <v>2</v>
      </c>
      <c r="D269" s="195" t="str">
        <f>IF(C269=1,Leyenda!$C$3,IF(C269=2,Leyenda!$C$4,IF(C269=3,Leyenda!$C$5,IF(C269=4,Leyenda!$C$6,IF(C269=5,Leyenda!$C$7,IF(C269=6,Leyenda!$C$8,IF(C269=7,Leyenda!$C$9,IF(C269=8,Leyenda!$C$10," "))))))))&amp;IF(C269=9,Leyenda!$C$11,IF(C269=10,Leyenda!$C$12,IF(C269=11,Leyenda!$C$13,IF(C269=12,Leyenda!D326," "))))</f>
        <v xml:space="preserve">GASTOS POR TRABAJOS, SUMINISTROS Y SERVICIOS </v>
      </c>
      <c r="E269" s="196" t="s">
        <v>1470</v>
      </c>
      <c r="F269" s="247">
        <v>45476</v>
      </c>
      <c r="G269" s="247" t="str">
        <f t="shared" si="20"/>
        <v>julio</v>
      </c>
      <c r="H269" s="191">
        <v>17</v>
      </c>
      <c r="I269" s="148" t="str">
        <f>TEXT(gastos[[#This Row],[Fecha]],"DDDD")</f>
        <v>miércoles</v>
      </c>
      <c r="J269" s="249">
        <f t="shared" si="23"/>
        <v>45490</v>
      </c>
      <c r="K269" s="249"/>
      <c r="L269" s="147"/>
      <c r="M269" s="197">
        <v>0</v>
      </c>
      <c r="N269" s="197">
        <v>1441.15</v>
      </c>
      <c r="O269" s="198">
        <f t="shared" si="22"/>
        <v>1441.15</v>
      </c>
      <c r="P269" s="199">
        <v>0</v>
      </c>
      <c r="Q269" s="199">
        <v>0</v>
      </c>
      <c r="R269" s="199">
        <v>0</v>
      </c>
      <c r="S269">
        <v>0</v>
      </c>
      <c r="T269" s="200" t="str">
        <f>IFERROR(VLOOKUP($A269,Tabla3[#All],2,0),"no esta registrado")</f>
        <v>no esta registrado</v>
      </c>
    </row>
    <row r="270" spans="1:20" ht="16.5" hidden="1" x14ac:dyDescent="0.3">
      <c r="A270" s="230" t="s">
        <v>633</v>
      </c>
      <c r="B270" s="193">
        <v>1</v>
      </c>
      <c r="C270" s="194">
        <v>2</v>
      </c>
      <c r="D270" s="195" t="str">
        <f>IF(C270=1,Leyenda!$C$3,IF(C270=2,Leyenda!$C$4,IF(C270=3,Leyenda!$C$5,IF(C270=4,Leyenda!$C$6,IF(C270=5,Leyenda!$C$7,IF(C270=6,Leyenda!$C$8,IF(C270=7,Leyenda!$C$9,IF(C270=8,Leyenda!$C$10," "))))))))&amp;IF(C270=9,Leyenda!$C$11,IF(C270=10,Leyenda!$C$12,IF(C270=11,Leyenda!$C$13,IF(C270=12,Leyenda!D327," "))))</f>
        <v xml:space="preserve">GASTOS POR TRABAJOS, SUMINISTROS Y SERVICIOS </v>
      </c>
      <c r="E270" s="196" t="s">
        <v>1471</v>
      </c>
      <c r="F270" s="247">
        <v>45476</v>
      </c>
      <c r="G270" s="247" t="str">
        <f t="shared" si="20"/>
        <v>julio</v>
      </c>
      <c r="H270" s="191">
        <v>23</v>
      </c>
      <c r="I270" s="148" t="str">
        <f>TEXT(gastos[[#This Row],[Fecha]],"DDDD")</f>
        <v>martes</v>
      </c>
      <c r="J270" s="249">
        <f t="shared" si="23"/>
        <v>45496</v>
      </c>
      <c r="K270" s="249"/>
      <c r="L270" s="147"/>
      <c r="M270" s="197">
        <v>0</v>
      </c>
      <c r="N270" s="197">
        <v>515.62</v>
      </c>
      <c r="O270" s="198">
        <f t="shared" si="22"/>
        <v>515.62</v>
      </c>
      <c r="P270" s="199">
        <v>92.81</v>
      </c>
      <c r="Q270" s="199">
        <v>0</v>
      </c>
      <c r="R270" s="199">
        <v>51.56</v>
      </c>
      <c r="S270">
        <v>0</v>
      </c>
      <c r="T270" s="200" t="str">
        <f>IFERROR(VLOOKUP($A270,Tabla3[#All],2,0),"no esta registrado")</f>
        <v>Raya Food Dominicana,S.R.L.//Wendys</v>
      </c>
    </row>
    <row r="271" spans="1:20" ht="16.5" hidden="1" x14ac:dyDescent="0.3">
      <c r="A271" s="230" t="s">
        <v>511</v>
      </c>
      <c r="B271" s="193">
        <v>1</v>
      </c>
      <c r="C271" s="194">
        <v>2</v>
      </c>
      <c r="D271" s="195" t="str">
        <f>IF(C271=1,Leyenda!$C$3,IF(C271=2,Leyenda!$C$4,IF(C271=3,Leyenda!$C$5,IF(C271=4,Leyenda!$C$6,IF(C271=5,Leyenda!$C$7,IF(C271=6,Leyenda!$C$8,IF(C271=7,Leyenda!$C$9,IF(C271=8,Leyenda!$C$10," "))))))))&amp;IF(C271=9,Leyenda!$C$11,IF(C271=10,Leyenda!$C$12,IF(C271=11,Leyenda!$C$13,IF(C271=12,Leyenda!D328," "))))</f>
        <v xml:space="preserve">GASTOS POR TRABAJOS, SUMINISTROS Y SERVICIOS </v>
      </c>
      <c r="E271" s="196" t="s">
        <v>1472</v>
      </c>
      <c r="F271" s="247">
        <v>45476</v>
      </c>
      <c r="G271" s="247" t="str">
        <f t="shared" si="20"/>
        <v>julio</v>
      </c>
      <c r="H271" s="191">
        <v>29</v>
      </c>
      <c r="I271" s="148" t="str">
        <f>TEXT(gastos[[#This Row],[Fecha]],"DDDD")</f>
        <v>lunes</v>
      </c>
      <c r="J271" s="249">
        <f t="shared" si="23"/>
        <v>45502</v>
      </c>
      <c r="K271" s="249"/>
      <c r="L271" s="147"/>
      <c r="M271" s="197">
        <v>0</v>
      </c>
      <c r="N271" s="197">
        <f>13622-1131.75</f>
        <v>12490.25</v>
      </c>
      <c r="O271" s="198">
        <f t="shared" si="22"/>
        <v>12490.25</v>
      </c>
      <c r="P271" s="199">
        <v>1131.75</v>
      </c>
      <c r="Q271" s="199">
        <v>0</v>
      </c>
      <c r="R271" s="199">
        <v>0</v>
      </c>
      <c r="S271">
        <v>0</v>
      </c>
      <c r="T271" s="200" t="str">
        <f>IFERROR(VLOOKUP($A271,Tabla3[#All],2,0),"no esta registrado")</f>
        <v>Bravo, S.A.//Supermercados Bravo</v>
      </c>
    </row>
    <row r="272" spans="1:20" ht="16.5" hidden="1" x14ac:dyDescent="0.3">
      <c r="A272" s="230" t="s">
        <v>521</v>
      </c>
      <c r="B272" s="193">
        <v>1</v>
      </c>
      <c r="C272" s="194">
        <v>2</v>
      </c>
      <c r="D272" s="195" t="str">
        <f>IF(C272=1,Leyenda!$C$3,IF(C272=2,Leyenda!$C$4,IF(C272=3,Leyenda!$C$5,IF(C272=4,Leyenda!$C$6,IF(C272=5,Leyenda!$C$7,IF(C272=6,Leyenda!$C$8,IF(C272=7,Leyenda!$C$9,IF(C272=8,Leyenda!$C$10," "))))))))&amp;IF(C272=9,Leyenda!$C$11,IF(C272=10,Leyenda!$C$12,IF(C272=11,Leyenda!$C$13,IF(C272=12,Leyenda!D329," "))))</f>
        <v xml:space="preserve">GASTOS POR TRABAJOS, SUMINISTROS Y SERVICIOS </v>
      </c>
      <c r="E272" s="196" t="s">
        <v>1473</v>
      </c>
      <c r="F272" s="247">
        <v>45476</v>
      </c>
      <c r="G272" s="247" t="str">
        <f t="shared" si="20"/>
        <v>julio</v>
      </c>
      <c r="H272" s="191">
        <v>10</v>
      </c>
      <c r="I272" s="148" t="str">
        <f>TEXT(gastos[[#This Row],[Fecha]],"DDDD")</f>
        <v>miércoles</v>
      </c>
      <c r="J272" s="249">
        <f t="shared" si="23"/>
        <v>45483</v>
      </c>
      <c r="K272" s="249"/>
      <c r="L272" s="147"/>
      <c r="M272" s="197">
        <v>0</v>
      </c>
      <c r="N272" s="197">
        <f>18010.27-211.28</f>
        <v>17798.990000000002</v>
      </c>
      <c r="O272" s="198">
        <f t="shared" si="22"/>
        <v>17798.990000000002</v>
      </c>
      <c r="P272" s="199">
        <v>211.28</v>
      </c>
      <c r="Q272" s="199">
        <v>0</v>
      </c>
      <c r="R272" s="199">
        <v>0</v>
      </c>
      <c r="S272">
        <v>0</v>
      </c>
      <c r="T272" s="200" t="str">
        <f>IFERROR(VLOOKUP($A272,Tabla3[#All],2,0),"no esta registrado")</f>
        <v>Hipermercados, Ole, S. A.</v>
      </c>
    </row>
    <row r="273" spans="1:20" ht="16.5" hidden="1" x14ac:dyDescent="0.3">
      <c r="A273" s="230" t="s">
        <v>647</v>
      </c>
      <c r="B273" s="193">
        <v>1</v>
      </c>
      <c r="C273" s="194">
        <v>2</v>
      </c>
      <c r="D273" s="195" t="str">
        <f>IF(C273=1,Leyenda!$C$3,IF(C273=2,Leyenda!$C$4,IF(C273=3,Leyenda!$C$5,IF(C273=4,Leyenda!$C$6,IF(C273=5,Leyenda!$C$7,IF(C273=6,Leyenda!$C$8,IF(C273=7,Leyenda!$C$9,IF(C273=8,Leyenda!$C$10," "))))))))&amp;IF(C273=9,Leyenda!$C$11,IF(C273=10,Leyenda!$C$12,IF(C273=11,Leyenda!$C$13,IF(C273=12,Leyenda!D330," "))))</f>
        <v xml:space="preserve">GASTOS POR TRABAJOS, SUMINISTROS Y SERVICIOS </v>
      </c>
      <c r="E273" s="196" t="s">
        <v>1474</v>
      </c>
      <c r="F273" s="247">
        <v>45476</v>
      </c>
      <c r="G273" s="247" t="str">
        <f t="shared" si="20"/>
        <v>julio</v>
      </c>
      <c r="H273" s="191">
        <v>13</v>
      </c>
      <c r="I273" s="148" t="str">
        <f>TEXT(gastos[[#This Row],[Fecha]],"DDDD")</f>
        <v>sábado</v>
      </c>
      <c r="J273" s="249">
        <f t="shared" si="23"/>
        <v>45486</v>
      </c>
      <c r="K273" s="249"/>
      <c r="L273" s="147"/>
      <c r="M273" s="197">
        <v>0</v>
      </c>
      <c r="N273" s="197">
        <v>1520.36</v>
      </c>
      <c r="O273" s="198">
        <f t="shared" si="22"/>
        <v>1520.36</v>
      </c>
      <c r="P273" s="199">
        <v>273.66000000000003</v>
      </c>
      <c r="Q273" s="199">
        <v>0</v>
      </c>
      <c r="R273" s="199">
        <v>0</v>
      </c>
      <c r="S273">
        <v>0</v>
      </c>
      <c r="T273" s="200" t="str">
        <f>IFERROR(VLOOKUP($A273,Tabla3[#All],2,0),"no esta registrado")</f>
        <v>Kentucky Foods Group Limited//KFC</v>
      </c>
    </row>
    <row r="274" spans="1:20" ht="16.5" hidden="1" x14ac:dyDescent="0.3">
      <c r="A274" s="230" t="s">
        <v>507</v>
      </c>
      <c r="B274" s="193">
        <v>1</v>
      </c>
      <c r="C274" s="194">
        <v>2</v>
      </c>
      <c r="D274" s="195" t="str">
        <f>IF(C274=1,Leyenda!$C$3,IF(C274=2,Leyenda!$C$4,IF(C274=3,Leyenda!$C$5,IF(C274=4,Leyenda!$C$6,IF(C274=5,Leyenda!$C$7,IF(C274=6,Leyenda!$C$8,IF(C274=7,Leyenda!$C$9,IF(C274=8,Leyenda!$C$10," "))))))))&amp;IF(C274=9,Leyenda!$C$11,IF(C274=10,Leyenda!$C$12,IF(C274=11,Leyenda!$C$13,IF(C274=12,Leyenda!D331," "))))</f>
        <v xml:space="preserve">GASTOS POR TRABAJOS, SUMINISTROS Y SERVICIOS </v>
      </c>
      <c r="E274" s="196" t="s">
        <v>1475</v>
      </c>
      <c r="F274" s="247">
        <v>45476</v>
      </c>
      <c r="G274" s="247" t="str">
        <f t="shared" si="20"/>
        <v>julio</v>
      </c>
      <c r="H274" s="191">
        <v>12</v>
      </c>
      <c r="I274" s="148" t="str">
        <f>TEXT(gastos[[#This Row],[Fecha]],"DDDD")</f>
        <v>viernes</v>
      </c>
      <c r="J274" s="249">
        <f t="shared" si="23"/>
        <v>45485</v>
      </c>
      <c r="K274" s="249"/>
      <c r="L274" s="147"/>
      <c r="M274" s="197">
        <v>0</v>
      </c>
      <c r="N274" s="197">
        <f>2000-160.93</f>
        <v>1839.07</v>
      </c>
      <c r="O274" s="198">
        <f t="shared" si="22"/>
        <v>1839.07</v>
      </c>
      <c r="P274" s="199">
        <v>160.93</v>
      </c>
      <c r="Q274" s="199">
        <v>0</v>
      </c>
      <c r="R274" s="199">
        <v>0</v>
      </c>
      <c r="S274">
        <v>0</v>
      </c>
      <c r="T274" s="200" t="str">
        <f>IFERROR(VLOOKUP($A274,Tabla3[#All],2,0),"no esta registrado")</f>
        <v>Grupo Ramos, S. A.//Super Pola//La Sirena</v>
      </c>
    </row>
    <row r="275" spans="1:20" ht="16.5" hidden="1" x14ac:dyDescent="0.3">
      <c r="A275" s="230" t="s">
        <v>511</v>
      </c>
      <c r="B275" s="193">
        <v>1</v>
      </c>
      <c r="C275" s="194">
        <v>2</v>
      </c>
      <c r="D275" s="195" t="str">
        <f>IF(C275=1,Leyenda!$C$3,IF(C275=2,Leyenda!$C$4,IF(C275=3,Leyenda!$C$5,IF(C275=4,Leyenda!$C$6,IF(C275=5,Leyenda!$C$7,IF(C275=6,Leyenda!$C$8,IF(C275=7,Leyenda!$C$9,IF(C275=8,Leyenda!$C$10," "))))))))&amp;IF(C275=9,Leyenda!$C$11,IF(C275=10,Leyenda!$C$12,IF(C275=11,Leyenda!$C$13,IF(C275=12,Leyenda!D332," "))))</f>
        <v xml:space="preserve">GASTOS POR TRABAJOS, SUMINISTROS Y SERVICIOS </v>
      </c>
      <c r="E275" s="196" t="s">
        <v>1476</v>
      </c>
      <c r="F275" s="247">
        <v>45476</v>
      </c>
      <c r="G275" s="247" t="str">
        <f t="shared" si="20"/>
        <v>julio</v>
      </c>
      <c r="H275" s="191">
        <v>2</v>
      </c>
      <c r="I275" s="148" t="str">
        <f>TEXT(gastos[[#This Row],[Fecha]],"DDDD")</f>
        <v>martes</v>
      </c>
      <c r="J275" s="249">
        <f t="shared" si="23"/>
        <v>45475</v>
      </c>
      <c r="K275" s="249"/>
      <c r="L275" s="147"/>
      <c r="M275" s="197">
        <v>0</v>
      </c>
      <c r="N275" s="197">
        <f>14550-1140.92</f>
        <v>13409.08</v>
      </c>
      <c r="O275" s="198">
        <f t="shared" si="22"/>
        <v>13409.08</v>
      </c>
      <c r="P275" s="199">
        <v>1140.92</v>
      </c>
      <c r="Q275" s="199">
        <v>0</v>
      </c>
      <c r="R275" s="199">
        <v>0</v>
      </c>
      <c r="S275">
        <v>0</v>
      </c>
      <c r="T275" s="200" t="str">
        <f>IFERROR(VLOOKUP($A275,Tabla3[#All],2,0),"no esta registrado")</f>
        <v>Bravo, S.A.//Supermercados Bravo</v>
      </c>
    </row>
    <row r="276" spans="1:20" ht="16.5" hidden="1" x14ac:dyDescent="0.3">
      <c r="A276" s="230" t="s">
        <v>742</v>
      </c>
      <c r="B276" s="193">
        <v>1</v>
      </c>
      <c r="C276" s="194">
        <v>2</v>
      </c>
      <c r="D276" s="195" t="str">
        <f>IF(C276=1,Leyenda!$C$3,IF(C276=2,Leyenda!$C$4,IF(C276=3,Leyenda!$C$5,IF(C276=4,Leyenda!$C$6,IF(C276=5,Leyenda!$C$7,IF(C276=6,Leyenda!$C$8,IF(C276=7,Leyenda!$C$9,IF(C276=8,Leyenda!$C$10," "))))))))&amp;IF(C276=9,Leyenda!$C$11,IF(C276=10,Leyenda!$C$12,IF(C276=11,Leyenda!$C$13,IF(C276=12,Leyenda!D333," "))))</f>
        <v xml:space="preserve">GASTOS POR TRABAJOS, SUMINISTROS Y SERVICIOS </v>
      </c>
      <c r="E276" s="196" t="s">
        <v>1477</v>
      </c>
      <c r="F276" s="247">
        <v>45476</v>
      </c>
      <c r="G276" s="247" t="str">
        <f t="shared" si="20"/>
        <v>julio</v>
      </c>
      <c r="H276" s="191">
        <v>25</v>
      </c>
      <c r="I276" s="148" t="str">
        <f>TEXT(gastos[[#This Row],[Fecha]],"DDDD")</f>
        <v>jueves</v>
      </c>
      <c r="J276" s="249">
        <f t="shared" si="23"/>
        <v>45498</v>
      </c>
      <c r="K276" s="249"/>
      <c r="L276" s="147"/>
      <c r="M276" s="197">
        <v>0</v>
      </c>
      <c r="N276" s="197">
        <v>1316.4</v>
      </c>
      <c r="O276" s="198">
        <f t="shared" si="22"/>
        <v>1316.4</v>
      </c>
      <c r="P276" s="199">
        <v>236.95</v>
      </c>
      <c r="Q276" s="199">
        <v>0</v>
      </c>
      <c r="R276" s="199">
        <v>131.63999999999999</v>
      </c>
      <c r="S276">
        <v>0</v>
      </c>
      <c r="T276" s="200" t="str">
        <f>IFERROR(VLOOKUP($A276,Tabla3[#All],2,0),"no esta registrado")</f>
        <v>Narex, S.A.//Pizza Hut</v>
      </c>
    </row>
    <row r="277" spans="1:20" ht="16.5" hidden="1" x14ac:dyDescent="0.3">
      <c r="A277" s="230" t="s">
        <v>529</v>
      </c>
      <c r="B277" s="193">
        <v>1</v>
      </c>
      <c r="C277" s="194">
        <v>2</v>
      </c>
      <c r="D277" s="195" t="str">
        <f>IF(C277=1,Leyenda!$C$3,IF(C277=2,Leyenda!$C$4,IF(C277=3,Leyenda!$C$5,IF(C277=4,Leyenda!$C$6,IF(C277=5,Leyenda!$C$7,IF(C277=6,Leyenda!$C$8,IF(C277=7,Leyenda!$C$9,IF(C277=8,Leyenda!$C$10," "))))))))&amp;IF(C277=9,Leyenda!$C$11,IF(C277=10,Leyenda!$C$12,IF(C277=11,Leyenda!$C$13,IF(C277=12,Leyenda!D334," "))))</f>
        <v xml:space="preserve">GASTOS POR TRABAJOS, SUMINISTROS Y SERVICIOS </v>
      </c>
      <c r="E277" s="196" t="s">
        <v>1478</v>
      </c>
      <c r="F277" s="247">
        <v>45476</v>
      </c>
      <c r="G277" s="247" t="str">
        <f t="shared" ref="G277:G340" si="24">TEXT(F277,"MMMM")</f>
        <v>julio</v>
      </c>
      <c r="H277" s="191">
        <v>24</v>
      </c>
      <c r="I277" s="148" t="str">
        <f>TEXT(gastos[[#This Row],[Fecha]],"DDDD")</f>
        <v>miércoles</v>
      </c>
      <c r="J277" s="249">
        <f t="shared" si="23"/>
        <v>45497</v>
      </c>
      <c r="K277" s="249"/>
      <c r="L277" s="147"/>
      <c r="M277" s="197">
        <v>0</v>
      </c>
      <c r="N277" s="197">
        <v>3110.17</v>
      </c>
      <c r="O277" s="198">
        <f t="shared" si="22"/>
        <v>3110.17</v>
      </c>
      <c r="P277" s="199">
        <v>559.83000000000004</v>
      </c>
      <c r="Q277" s="199">
        <v>0</v>
      </c>
      <c r="R277" s="199">
        <v>0</v>
      </c>
      <c r="S277">
        <v>0</v>
      </c>
      <c r="T277" s="200" t="str">
        <f>IFERROR(VLOOKUP($A277,Tabla3[#All],2,0),"no esta registrado")</f>
        <v>Farmaco Quimica Nacional, S.A.//Farmaconal</v>
      </c>
    </row>
    <row r="278" spans="1:20" ht="16.5" hidden="1" x14ac:dyDescent="0.3">
      <c r="A278" s="230" t="s">
        <v>511</v>
      </c>
      <c r="B278" s="193">
        <v>1</v>
      </c>
      <c r="C278" s="194">
        <v>2</v>
      </c>
      <c r="D278" s="195" t="str">
        <f>IF(C278=1,Leyenda!$C$3,IF(C278=2,Leyenda!$C$4,IF(C278=3,Leyenda!$C$5,IF(C278=4,Leyenda!$C$6,IF(C278=5,Leyenda!$C$7,IF(C278=6,Leyenda!$C$8,IF(C278=7,Leyenda!$C$9,IF(C278=8,Leyenda!$C$10," "))))))))&amp;IF(C278=9,Leyenda!$C$11,IF(C278=10,Leyenda!$C$12,IF(C278=11,Leyenda!$C$13,IF(C278=12,Leyenda!D335," "))))</f>
        <v xml:space="preserve">GASTOS POR TRABAJOS, SUMINISTROS Y SERVICIOS </v>
      </c>
      <c r="E278" s="196" t="s">
        <v>1479</v>
      </c>
      <c r="F278" s="247">
        <v>45476</v>
      </c>
      <c r="G278" s="247" t="str">
        <f t="shared" si="24"/>
        <v>julio</v>
      </c>
      <c r="H278" s="191">
        <v>16</v>
      </c>
      <c r="I278" s="148" t="str">
        <f>TEXT(gastos[[#This Row],[Fecha]],"DDDD")</f>
        <v>martes</v>
      </c>
      <c r="J278" s="249">
        <f t="shared" si="23"/>
        <v>45489</v>
      </c>
      <c r="K278" s="249"/>
      <c r="L278" s="147"/>
      <c r="M278" s="197">
        <v>0</v>
      </c>
      <c r="N278" s="197">
        <f>16871-1415.34</f>
        <v>15455.66</v>
      </c>
      <c r="O278" s="198">
        <f t="shared" si="22"/>
        <v>15455.66</v>
      </c>
      <c r="P278" s="199">
        <v>1415.34</v>
      </c>
      <c r="Q278" s="199">
        <v>0</v>
      </c>
      <c r="R278" s="199">
        <v>0</v>
      </c>
      <c r="S278">
        <v>0</v>
      </c>
      <c r="T278" s="200" t="str">
        <f>IFERROR(VLOOKUP($A278,Tabla3[#All],2,0),"no esta registrado")</f>
        <v>Bravo, S.A.//Supermercados Bravo</v>
      </c>
    </row>
    <row r="279" spans="1:20" ht="16.5" hidden="1" x14ac:dyDescent="0.3">
      <c r="A279" s="230">
        <v>0</v>
      </c>
      <c r="B279" s="193">
        <v>1</v>
      </c>
      <c r="C279" s="194">
        <v>2</v>
      </c>
      <c r="D279" s="195" t="str">
        <f>IF(C279=1,Leyenda!$C$3,IF(C279=2,Leyenda!$C$4,IF(C279=3,Leyenda!$C$5,IF(C279=4,Leyenda!$C$6,IF(C279=5,Leyenda!$C$7,IF(C279=6,Leyenda!$C$8,IF(C279=7,Leyenda!$C$9,IF(C279=8,Leyenda!$C$10," "))))))))&amp;IF(C279=9,Leyenda!$C$11,IF(C279=10,Leyenda!$C$12,IF(C279=11,Leyenda!$C$13,IF(C279=12,Leyenda!D336," "))))</f>
        <v xml:space="preserve">GASTOS POR TRABAJOS, SUMINISTROS Y SERVICIOS </v>
      </c>
      <c r="E279" s="196">
        <v>0</v>
      </c>
      <c r="F279" s="247">
        <v>45476</v>
      </c>
      <c r="G279" s="247" t="str">
        <f t="shared" si="24"/>
        <v>julio</v>
      </c>
      <c r="H279" s="191">
        <v>18</v>
      </c>
      <c r="I279" s="148" t="str">
        <f>TEXT(gastos[[#This Row],[Fecha]],"DDDD")</f>
        <v>jueves</v>
      </c>
      <c r="J279" s="249">
        <f t="shared" si="23"/>
        <v>45491</v>
      </c>
      <c r="K279" s="249"/>
      <c r="L279" s="147"/>
      <c r="M279" s="197">
        <v>0</v>
      </c>
      <c r="N279" s="207">
        <f>6809.33+663.6</f>
        <v>7472.93</v>
      </c>
      <c r="O279" s="198">
        <f t="shared" si="22"/>
        <v>7472.93</v>
      </c>
      <c r="P279" s="199">
        <v>1225.67</v>
      </c>
      <c r="Q279" s="199">
        <v>0</v>
      </c>
      <c r="R279" s="199">
        <v>0</v>
      </c>
      <c r="S279">
        <v>0</v>
      </c>
      <c r="T279" s="200" t="str">
        <f>IFERROR(VLOOKUP($A279,Tabla3[#All],2,0),"no esta registrado")</f>
        <v>no esta registrado</v>
      </c>
    </row>
    <row r="280" spans="1:20" ht="16.5" hidden="1" x14ac:dyDescent="0.3">
      <c r="A280" s="231" t="s">
        <v>1114</v>
      </c>
      <c r="B280" s="193">
        <v>2</v>
      </c>
      <c r="C280" s="194">
        <v>2</v>
      </c>
      <c r="D280" s="195" t="str">
        <f>IF(C280=1,Leyenda!$C$3,IF(C280=2,Leyenda!$C$4,IF(C280=3,Leyenda!$C$5,IF(C280=4,Leyenda!$C$6,IF(C280=5,Leyenda!$C$7,IF(C280=6,Leyenda!$C$8,IF(C280=7,Leyenda!$C$9,IF(C280=8,Leyenda!$C$10," "))))))))&amp;IF(C280=9,Leyenda!$C$11,IF(C280=10,Leyenda!$C$12,IF(C280=11,Leyenda!$C$13,IF(C280=12,Leyenda!D337," "))))</f>
        <v xml:space="preserve">GASTOS POR TRABAJOS, SUMINISTROS Y SERVICIOS </v>
      </c>
      <c r="E280" s="202" t="s">
        <v>1480</v>
      </c>
      <c r="F280" s="247">
        <v>45476</v>
      </c>
      <c r="G280" s="247" t="str">
        <f t="shared" si="24"/>
        <v>julio</v>
      </c>
      <c r="H280" s="203">
        <v>26</v>
      </c>
      <c r="I280" s="250" t="str">
        <f>TEXT(gastos[[#This Row],[Fecha]],"DDDD")</f>
        <v>viernes</v>
      </c>
      <c r="J280" s="249">
        <f t="shared" si="23"/>
        <v>45499</v>
      </c>
      <c r="K280" s="249"/>
      <c r="L280" s="147"/>
      <c r="M280" s="197">
        <v>3195</v>
      </c>
      <c r="N280" s="197">
        <v>0</v>
      </c>
      <c r="O280" s="198">
        <f t="shared" si="22"/>
        <v>3195</v>
      </c>
      <c r="P280" s="199">
        <v>0</v>
      </c>
      <c r="Q280" s="199">
        <v>0</v>
      </c>
      <c r="R280" s="199">
        <v>0</v>
      </c>
      <c r="S280">
        <v>0</v>
      </c>
      <c r="T280" s="200" t="str">
        <f>IFERROR(VLOOKUP($A280,Tabla3[#All],2,0),"no esta registrado")</f>
        <v>ACADEMIA EUROPEA</v>
      </c>
    </row>
    <row r="281" spans="1:20" ht="16.5" hidden="1" x14ac:dyDescent="0.3">
      <c r="A281" s="230" t="s">
        <v>1114</v>
      </c>
      <c r="B281" s="193">
        <v>1</v>
      </c>
      <c r="C281" s="194">
        <v>2</v>
      </c>
      <c r="D281" s="195" t="str">
        <f>IF(C281=1,Leyenda!$C$3,IF(C281=2,Leyenda!$C$4,IF(C281=3,Leyenda!$C$5,IF(C281=4,Leyenda!$C$6,IF(C281=5,Leyenda!$C$7,IF(C281=6,Leyenda!$C$8,IF(C281=7,Leyenda!$C$9,IF(C281=8,Leyenda!$C$10," "))))))))&amp;IF(C281=9,Leyenda!$C$11,IF(C281=10,Leyenda!$C$12,IF(C281=11,Leyenda!$C$13,IF(C281=12,Leyenda!D338," "))))</f>
        <v xml:space="preserve">GASTOS POR TRABAJOS, SUMINISTROS Y SERVICIOS </v>
      </c>
      <c r="E281" s="196" t="s">
        <v>1481</v>
      </c>
      <c r="F281" s="247">
        <v>45476</v>
      </c>
      <c r="G281" s="247" t="str">
        <f t="shared" si="24"/>
        <v>julio</v>
      </c>
      <c r="H281" s="191">
        <v>12</v>
      </c>
      <c r="I281" s="148" t="str">
        <f>TEXT(gastos[[#This Row],[Fecha]],"DDDD")</f>
        <v>viernes</v>
      </c>
      <c r="J281" s="249">
        <f t="shared" si="23"/>
        <v>45485</v>
      </c>
      <c r="K281" s="249"/>
      <c r="L281" s="147"/>
      <c r="M281" s="197">
        <v>1438</v>
      </c>
      <c r="N281" s="197">
        <v>0</v>
      </c>
      <c r="O281" s="198">
        <f t="shared" si="22"/>
        <v>1438</v>
      </c>
      <c r="P281" s="199">
        <v>0</v>
      </c>
      <c r="Q281" s="199">
        <v>0</v>
      </c>
      <c r="R281" s="199">
        <v>0</v>
      </c>
      <c r="S281">
        <v>0</v>
      </c>
      <c r="T281" s="200" t="str">
        <f>IFERROR(VLOOKUP($A281,Tabla3[#All],2,0),"no esta registrado")</f>
        <v>ACADEMIA EUROPEA</v>
      </c>
    </row>
    <row r="282" spans="1:20" ht="16.5" hidden="1" x14ac:dyDescent="0.3">
      <c r="A282" s="230" t="s">
        <v>1114</v>
      </c>
      <c r="B282" s="193">
        <v>1</v>
      </c>
      <c r="C282" s="194">
        <v>2</v>
      </c>
      <c r="D282" s="195" t="str">
        <f>IF(C282=1,Leyenda!$C$3,IF(C282=2,Leyenda!$C$4,IF(C282=3,Leyenda!$C$5,IF(C282=4,Leyenda!$C$6,IF(C282=5,Leyenda!$C$7,IF(C282=6,Leyenda!$C$8,IF(C282=7,Leyenda!$C$9,IF(C282=8,Leyenda!$C$10," "))))))))&amp;IF(C282=9,Leyenda!$C$11,IF(C282=10,Leyenda!$C$12,IF(C282=11,Leyenda!$C$13,IF(C282=12,Leyenda!D339," "))))</f>
        <v xml:space="preserve">GASTOS POR TRABAJOS, SUMINISTROS Y SERVICIOS </v>
      </c>
      <c r="E282" s="196" t="s">
        <v>1482</v>
      </c>
      <c r="F282" s="247">
        <v>45476</v>
      </c>
      <c r="G282" s="247" t="str">
        <f t="shared" si="24"/>
        <v>julio</v>
      </c>
      <c r="H282" s="191">
        <v>12</v>
      </c>
      <c r="I282" s="148" t="str">
        <f>TEXT(gastos[[#This Row],[Fecha]],"DDDD")</f>
        <v>viernes</v>
      </c>
      <c r="J282" s="249">
        <f t="shared" si="23"/>
        <v>45485</v>
      </c>
      <c r="K282" s="249"/>
      <c r="L282" s="147"/>
      <c r="M282" s="197">
        <v>2867</v>
      </c>
      <c r="N282" s="197">
        <v>0</v>
      </c>
      <c r="O282" s="198">
        <f t="shared" si="22"/>
        <v>2867</v>
      </c>
      <c r="P282" s="199">
        <v>0</v>
      </c>
      <c r="Q282" s="199">
        <v>0</v>
      </c>
      <c r="R282" s="199">
        <v>0</v>
      </c>
      <c r="S282">
        <v>0</v>
      </c>
      <c r="T282" s="200" t="str">
        <f>IFERROR(VLOOKUP($A282,Tabla3[#All],2,0),"no esta registrado")</f>
        <v>ACADEMIA EUROPEA</v>
      </c>
    </row>
    <row r="283" spans="1:20" ht="16.5" hidden="1" x14ac:dyDescent="0.3">
      <c r="A283" s="230" t="s">
        <v>1114</v>
      </c>
      <c r="B283" s="193">
        <v>1</v>
      </c>
      <c r="C283" s="194">
        <v>2</v>
      </c>
      <c r="D283" s="195" t="str">
        <f>IF(C283=1,Leyenda!$C$3,IF(C283=2,Leyenda!$C$4,IF(C283=3,Leyenda!$C$5,IF(C283=4,Leyenda!$C$6,IF(C283=5,Leyenda!$C$7,IF(C283=6,Leyenda!$C$8,IF(C283=7,Leyenda!$C$9,IF(C283=8,Leyenda!$C$10," "))))))))&amp;IF(C283=9,Leyenda!$C$11,IF(C283=10,Leyenda!$C$12,IF(C283=11,Leyenda!$C$13,IF(C283=12,Leyenda!D340," "))))</f>
        <v xml:space="preserve">GASTOS POR TRABAJOS, SUMINISTROS Y SERVICIOS </v>
      </c>
      <c r="E283" s="196" t="s">
        <v>1483</v>
      </c>
      <c r="F283" s="247">
        <v>45476</v>
      </c>
      <c r="G283" s="247" t="str">
        <f t="shared" si="24"/>
        <v>julio</v>
      </c>
      <c r="H283" s="191">
        <v>12</v>
      </c>
      <c r="I283" s="148" t="str">
        <f>TEXT(gastos[[#This Row],[Fecha]],"DDDD")</f>
        <v>viernes</v>
      </c>
      <c r="J283" s="249">
        <f t="shared" si="23"/>
        <v>45485</v>
      </c>
      <c r="K283" s="249"/>
      <c r="L283" s="147"/>
      <c r="M283" s="197">
        <v>3164</v>
      </c>
      <c r="N283" s="197">
        <v>0</v>
      </c>
      <c r="O283" s="198">
        <f t="shared" si="22"/>
        <v>3164</v>
      </c>
      <c r="P283" s="199">
        <v>0</v>
      </c>
      <c r="Q283" s="199">
        <v>0</v>
      </c>
      <c r="R283" s="199">
        <v>0</v>
      </c>
      <c r="S283">
        <v>0</v>
      </c>
      <c r="T283" s="200" t="str">
        <f>IFERROR(VLOOKUP($A283,Tabla3[#All],2,0),"no esta registrado")</f>
        <v>ACADEMIA EUROPEA</v>
      </c>
    </row>
    <row r="284" spans="1:20" ht="16.5" hidden="1" x14ac:dyDescent="0.3">
      <c r="A284" s="230" t="s">
        <v>1136</v>
      </c>
      <c r="B284" s="193">
        <v>1</v>
      </c>
      <c r="C284" s="194">
        <v>2</v>
      </c>
      <c r="D284" s="195" t="str">
        <f>IF(C284=1,Leyenda!$C$3,IF(C284=2,Leyenda!$C$4,IF(C284=3,Leyenda!$C$5,IF(C284=4,Leyenda!$C$6,IF(C284=5,Leyenda!$C$7,IF(C284=6,Leyenda!$C$8,IF(C284=7,Leyenda!$C$9,IF(C284=8,Leyenda!$C$10," "))))))))&amp;IF(C284=9,Leyenda!$C$11,IF(C284=10,Leyenda!$C$12,IF(C284=11,Leyenda!$C$13,IF(C284=12,Leyenda!D341," "))))</f>
        <v xml:space="preserve">GASTOS POR TRABAJOS, SUMINISTROS Y SERVICIOS </v>
      </c>
      <c r="E284" s="196" t="s">
        <v>1484</v>
      </c>
      <c r="F284" s="247">
        <v>45476</v>
      </c>
      <c r="G284" s="247" t="str">
        <f t="shared" si="24"/>
        <v>julio</v>
      </c>
      <c r="H284" s="191">
        <v>26</v>
      </c>
      <c r="I284" s="148" t="str">
        <f>TEXT(gastos[[#This Row],[Fecha]],"DDDD")</f>
        <v>viernes</v>
      </c>
      <c r="J284" s="249">
        <f t="shared" si="23"/>
        <v>45499</v>
      </c>
      <c r="K284" s="249"/>
      <c r="L284" s="147"/>
      <c r="M284" s="197">
        <v>0</v>
      </c>
      <c r="N284" s="205">
        <v>491.53</v>
      </c>
      <c r="O284" s="198">
        <f t="shared" si="22"/>
        <v>491.53</v>
      </c>
      <c r="P284" s="199">
        <v>38.47</v>
      </c>
      <c r="Q284" s="199">
        <v>0</v>
      </c>
      <c r="R284" s="199">
        <v>0</v>
      </c>
      <c r="S284">
        <v>0</v>
      </c>
      <c r="T284" s="200" t="str">
        <f>IFERROR(VLOOKUP($A284,Tabla3[#All],2,0),"no esta registrado")</f>
        <v>FERRETERIA Y ELECTODOSMETICOS PUERTO RICO SRL</v>
      </c>
    </row>
    <row r="285" spans="1:20" ht="16.5" hidden="1" x14ac:dyDescent="0.3">
      <c r="A285" s="230" t="s">
        <v>1112</v>
      </c>
      <c r="B285" s="193">
        <v>1</v>
      </c>
      <c r="C285" s="194">
        <v>2</v>
      </c>
      <c r="D285" s="195" t="str">
        <f>IF(C285=1,Leyenda!$C$3,IF(C285=2,Leyenda!$C$4,IF(C285=3,Leyenda!$C$5,IF(C285=4,Leyenda!$C$6,IF(C285=5,Leyenda!$C$7,IF(C285=6,Leyenda!$C$8,IF(C285=7,Leyenda!$C$9,IF(C285=8,Leyenda!$C$10," "))))))))&amp;IF(C285=9,Leyenda!$C$11,IF(C285=10,Leyenda!$C$12,IF(C285=11,Leyenda!$C$13,IF(C285=12,Leyenda!D342," "))))</f>
        <v xml:space="preserve">GASTOS POR TRABAJOS, SUMINISTROS Y SERVICIOS </v>
      </c>
      <c r="E285" s="196" t="s">
        <v>1485</v>
      </c>
      <c r="F285" s="247">
        <v>45476</v>
      </c>
      <c r="G285" s="247" t="str">
        <f t="shared" si="24"/>
        <v>julio</v>
      </c>
      <c r="H285" s="191">
        <v>20</v>
      </c>
      <c r="I285" s="148" t="str">
        <f>TEXT(gastos[[#This Row],[Fecha]],"DDDD")</f>
        <v>sábado</v>
      </c>
      <c r="J285" s="249">
        <f t="shared" si="23"/>
        <v>45493</v>
      </c>
      <c r="K285" s="249"/>
      <c r="L285" s="147"/>
      <c r="M285" s="197">
        <v>11306.01</v>
      </c>
      <c r="N285" s="205">
        <v>0</v>
      </c>
      <c r="O285" s="198">
        <f t="shared" si="22"/>
        <v>11306.01</v>
      </c>
      <c r="P285" s="199">
        <v>0</v>
      </c>
      <c r="Q285" s="199">
        <v>0</v>
      </c>
      <c r="R285" s="199">
        <v>0</v>
      </c>
      <c r="S285">
        <v>0</v>
      </c>
      <c r="T285" s="200" t="str">
        <f>IFERROR(VLOOKUP($A285,Tabla3[#All],2,0),"no esta registrado")</f>
        <v>EDEESTE</v>
      </c>
    </row>
    <row r="286" spans="1:20" ht="16.5" hidden="1" x14ac:dyDescent="0.3">
      <c r="A286" s="231" t="s">
        <v>495</v>
      </c>
      <c r="B286" s="193">
        <v>0</v>
      </c>
      <c r="C286" s="194">
        <v>2</v>
      </c>
      <c r="D286" s="195" t="str">
        <f>IF(C286=1,Leyenda!$C$3,IF(C286=2,Leyenda!$C$4,IF(C286=3,Leyenda!$C$5,IF(C286=4,Leyenda!$C$6,IF(C286=5,Leyenda!$C$7,IF(C286=6,Leyenda!$C$8,IF(C286=7,Leyenda!$C$9,IF(C286=8,Leyenda!$C$10," "))))))))&amp;IF(C286=9,Leyenda!$C$11,IF(C286=10,Leyenda!$C$12,IF(C286=11,Leyenda!$C$13,IF(C286=12,Leyenda!D343," "))))</f>
        <v xml:space="preserve">GASTOS POR TRABAJOS, SUMINISTROS Y SERVICIOS </v>
      </c>
      <c r="E286" s="202" t="s">
        <v>1486</v>
      </c>
      <c r="F286" s="247">
        <v>45476</v>
      </c>
      <c r="G286" s="247" t="str">
        <f t="shared" si="24"/>
        <v>julio</v>
      </c>
      <c r="H286" s="191">
        <v>7</v>
      </c>
      <c r="I286" s="148" t="str">
        <f>TEXT(gastos[[#This Row],[Fecha]],"DDDD")</f>
        <v>domingo</v>
      </c>
      <c r="J286" s="249">
        <f t="shared" si="23"/>
        <v>45480</v>
      </c>
      <c r="K286" s="249"/>
      <c r="L286" s="147"/>
      <c r="M286" s="197">
        <v>830</v>
      </c>
      <c r="N286" s="205">
        <v>0</v>
      </c>
      <c r="O286" s="198">
        <f>SUM(M286:N286)</f>
        <v>830</v>
      </c>
      <c r="P286" s="199">
        <v>149.4</v>
      </c>
      <c r="Q286" s="199">
        <v>0</v>
      </c>
      <c r="R286" s="199">
        <v>0</v>
      </c>
      <c r="S286">
        <v>0</v>
      </c>
      <c r="T286" s="200" t="str">
        <f>IFERROR(VLOOKUP($A286,Tabla3[#All],2,0),"no esta registrado")</f>
        <v>CLARO//CODETEL</v>
      </c>
    </row>
    <row r="287" spans="1:20" ht="16.5" hidden="1" x14ac:dyDescent="0.3">
      <c r="A287" s="230" t="s">
        <v>486</v>
      </c>
      <c r="B287" s="193">
        <v>1</v>
      </c>
      <c r="C287" s="194">
        <v>7</v>
      </c>
      <c r="D287" s="195" t="str">
        <f>IF(C287=1,Leyenda!$C$3,IF(C287=2,Leyenda!$C$4,IF(C287=3,Leyenda!$C$5,IF(C287=4,Leyenda!$C$6,IF(C287=5,Leyenda!$C$7,IF(C287=6,Leyenda!$C$8,IF(C287=7,Leyenda!$C$9,IF(C287=8,Leyenda!$C$10," "))))))))&amp;IF(C287=9,Leyenda!$C$11,IF(C287=10,Leyenda!$C$12,IF(C287=11,Leyenda!$C$13,IF(C287=12,Leyenda!D344," "))))</f>
        <v xml:space="preserve">GASTOS FINANCIEROS </v>
      </c>
      <c r="E287" s="202" t="s">
        <v>1487</v>
      </c>
      <c r="F287" s="247">
        <v>45476</v>
      </c>
      <c r="G287" s="247" t="str">
        <f t="shared" si="24"/>
        <v>julio</v>
      </c>
      <c r="H287" s="191">
        <v>3</v>
      </c>
      <c r="I287" s="148" t="str">
        <f>TEXT(gastos[[#This Row],[Fecha]],"DDDD")</f>
        <v>miércoles</v>
      </c>
      <c r="J287" s="249">
        <f t="shared" si="23"/>
        <v>45476</v>
      </c>
      <c r="K287" s="249"/>
      <c r="L287" s="147"/>
      <c r="M287" s="197">
        <v>7500</v>
      </c>
      <c r="N287" s="205">
        <v>0</v>
      </c>
      <c r="O287" s="198">
        <f t="shared" si="22"/>
        <v>7500</v>
      </c>
      <c r="P287" s="199">
        <v>0</v>
      </c>
      <c r="Q287" s="199">
        <v>0</v>
      </c>
      <c r="R287" s="199">
        <v>0</v>
      </c>
      <c r="S287">
        <v>0</v>
      </c>
      <c r="T287" s="200" t="str">
        <f>IFERROR(VLOOKUP($A287,Tabla3[#All],2,0),"no esta registrado")</f>
        <v>Banco Multiple BHD León, S. A.</v>
      </c>
    </row>
    <row r="288" spans="1:20" ht="16.5" hidden="1" x14ac:dyDescent="0.3">
      <c r="A288" s="231" t="s">
        <v>486</v>
      </c>
      <c r="B288" s="193">
        <v>1</v>
      </c>
      <c r="C288" s="194">
        <v>7</v>
      </c>
      <c r="D288" s="195" t="str">
        <f>IF(C288=1,Leyenda!$C$3,IF(C288=2,Leyenda!$C$4,IF(C288=3,Leyenda!$C$5,IF(C288=4,Leyenda!$C$6,IF(C288=5,Leyenda!$C$7,IF(C288=6,Leyenda!$C$8,IF(C288=7,Leyenda!$C$9,IF(C288=8,Leyenda!$C$10," "))))))))&amp;IF(C288=9,Leyenda!$C$11,IF(C288=10,Leyenda!$C$12,IF(C288=11,Leyenda!$C$13,IF(C288=12,Leyenda!D345," "))))</f>
        <v xml:space="preserve">GASTOS FINANCIEROS </v>
      </c>
      <c r="E288" s="202" t="s">
        <v>1488</v>
      </c>
      <c r="F288" s="247">
        <v>45476</v>
      </c>
      <c r="G288" s="247" t="str">
        <f t="shared" si="24"/>
        <v>julio</v>
      </c>
      <c r="H288" s="191">
        <v>25</v>
      </c>
      <c r="I288" s="148" t="str">
        <f>TEXT(gastos[[#This Row],[Fecha]],"DDDD")</f>
        <v>jueves</v>
      </c>
      <c r="J288" s="249">
        <f t="shared" si="23"/>
        <v>45498</v>
      </c>
      <c r="K288" s="249"/>
      <c r="L288" s="147"/>
      <c r="M288" s="197">
        <v>22687.5</v>
      </c>
      <c r="N288" s="205">
        <v>0</v>
      </c>
      <c r="O288" s="198">
        <f t="shared" si="22"/>
        <v>22687.5</v>
      </c>
      <c r="P288">
        <v>0</v>
      </c>
      <c r="Q288" s="199">
        <v>0</v>
      </c>
      <c r="R288" s="199">
        <v>0</v>
      </c>
      <c r="S288">
        <v>0</v>
      </c>
      <c r="T288" s="200" t="str">
        <f>IFERROR(VLOOKUP($A288,Tabla3[#All],2,0),"no esta registrado")</f>
        <v>Banco Multiple BHD León, S. A.</v>
      </c>
    </row>
    <row r="289" spans="1:20" ht="16.5" hidden="1" x14ac:dyDescent="0.3">
      <c r="A289" s="231" t="s">
        <v>489</v>
      </c>
      <c r="B289" s="193">
        <v>1</v>
      </c>
      <c r="C289" s="194">
        <v>7</v>
      </c>
      <c r="D289" s="195" t="str">
        <f>IF(C289=1,Leyenda!$C$3,IF(C289=2,Leyenda!$C$4,IF(C289=3,Leyenda!$C$5,IF(C289=4,Leyenda!$C$6,IF(C289=5,Leyenda!$C$7,IF(C289=6,Leyenda!$C$8,IF(C289=7,Leyenda!$C$9,IF(C289=8,Leyenda!$C$10," "))))))))&amp;IF(C289=9,Leyenda!$C$11,IF(C289=10,Leyenda!$C$12,IF(C289=11,Leyenda!$C$13,IF(C289=12,Leyenda!D346," "))))</f>
        <v xml:space="preserve">GASTOS FINANCIEROS </v>
      </c>
      <c r="E289" s="202" t="s">
        <v>1489</v>
      </c>
      <c r="F289" s="247">
        <v>45476</v>
      </c>
      <c r="G289" s="247" t="str">
        <f t="shared" si="24"/>
        <v>julio</v>
      </c>
      <c r="H289" s="191">
        <v>7</v>
      </c>
      <c r="I289" s="148" t="str">
        <f>TEXT(gastos[[#This Row],[Fecha]],"DDDD")</f>
        <v>domingo</v>
      </c>
      <c r="J289" s="249">
        <f t="shared" si="23"/>
        <v>45480</v>
      </c>
      <c r="K289" s="249"/>
      <c r="L289" s="147"/>
      <c r="M289" s="197">
        <v>10999.41</v>
      </c>
      <c r="N289" s="205">
        <v>0</v>
      </c>
      <c r="O289" s="198">
        <f t="shared" si="22"/>
        <v>10999.41</v>
      </c>
      <c r="P289" s="199">
        <v>0</v>
      </c>
      <c r="Q289" s="199">
        <v>0</v>
      </c>
      <c r="R289" s="199">
        <v>0</v>
      </c>
      <c r="S289" s="199">
        <v>0</v>
      </c>
      <c r="T289" s="200" t="str">
        <f>IFERROR(VLOOKUP($A289,Tabla3[#All],2,0),"no esta registrado")</f>
        <v>Banco Popular Dominicano, S. A. Banco Multiple</v>
      </c>
    </row>
    <row r="290" spans="1:20" ht="16.5" hidden="1" x14ac:dyDescent="0.3">
      <c r="A290" s="231" t="s">
        <v>492</v>
      </c>
      <c r="B290" s="193">
        <v>1</v>
      </c>
      <c r="C290" s="194">
        <v>7</v>
      </c>
      <c r="D290" s="195" t="str">
        <f>IF(C290=1,Leyenda!$C$3,IF(C290=2,Leyenda!$C$4,IF(C290=3,Leyenda!$C$5,IF(C290=4,Leyenda!$C$6,IF(C290=5,Leyenda!$C$7,IF(C290=6,Leyenda!$C$8,IF(C290=7,Leyenda!$C$9,IF(C290=8,Leyenda!$C$10," "))))))))&amp;IF(C290=9,Leyenda!$C$11,IF(C290=10,Leyenda!$C$12,IF(C290=11,Leyenda!$C$13,IF(C290=12,Leyenda!D347," "))))</f>
        <v xml:space="preserve">GASTOS FINANCIEROS </v>
      </c>
      <c r="E290" s="202" t="s">
        <v>1490</v>
      </c>
      <c r="F290" s="247">
        <v>45476</v>
      </c>
      <c r="G290" s="247" t="str">
        <f t="shared" si="24"/>
        <v>julio</v>
      </c>
      <c r="H290" s="191">
        <v>16</v>
      </c>
      <c r="I290" s="148" t="str">
        <f>TEXT(gastos[[#This Row],[Fecha]],"DDDD")</f>
        <v>martes</v>
      </c>
      <c r="J290" s="249">
        <f t="shared" si="23"/>
        <v>45489</v>
      </c>
      <c r="K290" s="249"/>
      <c r="L290" s="147"/>
      <c r="M290" s="197">
        <v>23757.45</v>
      </c>
      <c r="N290" s="205">
        <v>0</v>
      </c>
      <c r="O290" s="198">
        <f t="shared" si="22"/>
        <v>23757.45</v>
      </c>
      <c r="P290" s="197">
        <v>0</v>
      </c>
      <c r="Q290">
        <v>0</v>
      </c>
      <c r="R290" s="199">
        <v>0</v>
      </c>
      <c r="S290">
        <v>0</v>
      </c>
      <c r="T290" s="200" t="str">
        <f>IFERROR(VLOOKUP($A290,Tabla3[#All],2,0),"no esta registrado")</f>
        <v>Banco Dominicano del Progreso, S. A.//Banco Multiple</v>
      </c>
    </row>
    <row r="291" spans="1:20" ht="16.5" hidden="1" x14ac:dyDescent="0.3">
      <c r="A291" s="230" t="s">
        <v>492</v>
      </c>
      <c r="B291" s="193">
        <v>1</v>
      </c>
      <c r="C291" s="194">
        <v>7</v>
      </c>
      <c r="D291" s="195" t="str">
        <f>IF(C291=1,Leyenda!$C$3,IF(C291=2,Leyenda!$C$4,IF(C291=3,Leyenda!$C$5,IF(C291=4,Leyenda!$C$6,IF(C291=5,Leyenda!$C$7,IF(C291=6,Leyenda!$C$8,IF(C291=7,Leyenda!$C$9,IF(C291=8,Leyenda!$C$10," "))))))))&amp;IF(C291=9,Leyenda!$C$11,IF(C291=10,Leyenda!$C$12,IF(C291=11,Leyenda!$C$13,IF(C291=12,Leyenda!D348," "))))</f>
        <v xml:space="preserve">GASTOS FINANCIEROS </v>
      </c>
      <c r="E291" s="202" t="s">
        <v>1491</v>
      </c>
      <c r="F291" s="247">
        <v>45476</v>
      </c>
      <c r="G291" s="247" t="str">
        <f t="shared" si="24"/>
        <v>julio</v>
      </c>
      <c r="H291" s="191">
        <v>16</v>
      </c>
      <c r="I291" s="148" t="str">
        <f>TEXT(gastos[[#This Row],[Fecha]],"DDDD")</f>
        <v>martes</v>
      </c>
      <c r="J291" s="249">
        <f t="shared" si="23"/>
        <v>45489</v>
      </c>
      <c r="K291" s="249"/>
      <c r="L291" s="147"/>
      <c r="M291" s="197">
        <v>66.930000000000007</v>
      </c>
      <c r="N291" s="205">
        <v>0</v>
      </c>
      <c r="O291" s="198">
        <f t="shared" si="22"/>
        <v>66.930000000000007</v>
      </c>
      <c r="P291" s="197">
        <v>0</v>
      </c>
      <c r="Q291">
        <v>0</v>
      </c>
      <c r="R291" s="199">
        <v>0</v>
      </c>
      <c r="S291">
        <v>0</v>
      </c>
      <c r="T291" s="200" t="str">
        <f>IFERROR(VLOOKUP($A291,Tabla3[#All],2,0),"no esta registrado")</f>
        <v>Banco Dominicano del Progreso, S. A.//Banco Multiple</v>
      </c>
    </row>
    <row r="292" spans="1:20" ht="16.5" hidden="1" x14ac:dyDescent="0.3">
      <c r="A292" s="230" t="s">
        <v>492</v>
      </c>
      <c r="B292" s="193">
        <v>1</v>
      </c>
      <c r="C292" s="194">
        <v>7</v>
      </c>
      <c r="D292" s="195" t="str">
        <f>IF(C292=1,Leyenda!$C$3,IF(C292=2,Leyenda!$C$4,IF(C292=3,Leyenda!$C$5,IF(C292=4,Leyenda!$C$6,IF(C292=5,Leyenda!$C$7,IF(C292=6,Leyenda!$C$8,IF(C292=7,Leyenda!$C$9,IF(C292=8,Leyenda!$C$10," "))))))))&amp;IF(C292=9,Leyenda!$C$11,IF(C292=10,Leyenda!$C$12,IF(C292=11,Leyenda!$C$13,IF(C292=12,Leyenda!D349," "))))</f>
        <v xml:space="preserve">GASTOS FINANCIEROS </v>
      </c>
      <c r="E292" s="202" t="s">
        <v>1492</v>
      </c>
      <c r="F292" s="247">
        <v>45476</v>
      </c>
      <c r="G292" s="247" t="str">
        <f t="shared" si="24"/>
        <v>julio</v>
      </c>
      <c r="H292" s="191">
        <v>31</v>
      </c>
      <c r="I292" s="148" t="str">
        <f>TEXT(gastos[[#This Row],[Fecha]],"DDDD")</f>
        <v>miércoles</v>
      </c>
      <c r="J292" s="249">
        <f t="shared" si="23"/>
        <v>45504</v>
      </c>
      <c r="K292" s="249"/>
      <c r="L292" s="147"/>
      <c r="M292" s="197">
        <v>400</v>
      </c>
      <c r="N292" s="205">
        <v>0</v>
      </c>
      <c r="O292" s="198">
        <f t="shared" si="22"/>
        <v>400</v>
      </c>
      <c r="P292" s="197">
        <v>0</v>
      </c>
      <c r="Q292">
        <v>0</v>
      </c>
      <c r="R292" s="199">
        <v>0</v>
      </c>
      <c r="S292">
        <v>0</v>
      </c>
      <c r="T292" s="200" t="str">
        <f>IFERROR(VLOOKUP($A292,Tabla3[#All],2,0),"no esta registrado")</f>
        <v>Banco Dominicano del Progreso, S. A.//Banco Multiple</v>
      </c>
    </row>
    <row r="293" spans="1:20" ht="16.5" hidden="1" x14ac:dyDescent="0.3">
      <c r="A293" s="230" t="s">
        <v>909</v>
      </c>
      <c r="B293" s="193">
        <v>1</v>
      </c>
      <c r="C293" s="194">
        <v>4</v>
      </c>
      <c r="D293" s="195" t="str">
        <f>IF(C293=1,Leyenda!$C$3,IF(C293=2,Leyenda!$C$4,IF(C293=3,Leyenda!$C$5,IF(C293=4,Leyenda!$C$6,IF(C293=5,Leyenda!$C$7,IF(C293=6,Leyenda!$C$8,IF(C293=7,Leyenda!$C$9,IF(C293=8,Leyenda!$C$10," "))))))))&amp;IF(C293=9,Leyenda!$C$11,IF(C293=10,Leyenda!$C$12,IF(C293=11,Leyenda!$C$13,IF(C293=12,Leyenda!D350," "))))</f>
        <v xml:space="preserve">GASTOS DE ACTIVOS FIJO </v>
      </c>
      <c r="E293" s="196" t="s">
        <v>1493</v>
      </c>
      <c r="F293" s="248">
        <v>45519</v>
      </c>
      <c r="G293" s="247" t="str">
        <f t="shared" si="24"/>
        <v>agosto</v>
      </c>
      <c r="H293" s="191">
        <v>15</v>
      </c>
      <c r="I293" s="148" t="str">
        <f>TEXT(gastos[[#This Row],[Fecha]],"DDDD")</f>
        <v>jueves</v>
      </c>
      <c r="J293" s="249">
        <f t="shared" si="23"/>
        <v>45519</v>
      </c>
      <c r="K293" s="249"/>
      <c r="L293" s="147"/>
      <c r="M293" s="197">
        <v>0</v>
      </c>
      <c r="N293" s="197">
        <v>4763</v>
      </c>
      <c r="O293" s="198">
        <f t="shared" ref="O293:O347" si="25">SUM(M293:N293)</f>
        <v>4763</v>
      </c>
      <c r="P293" s="199">
        <v>0</v>
      </c>
      <c r="Q293" s="199">
        <v>0</v>
      </c>
      <c r="R293" s="199">
        <v>0</v>
      </c>
      <c r="S293">
        <v>0</v>
      </c>
      <c r="T293" s="200" t="str">
        <f>IFERROR(VLOOKUP($A293,Tabla3[#All],2,0),"no esta registrado")</f>
        <v>Strata, S.R.L.</v>
      </c>
    </row>
    <row r="294" spans="1:20" ht="16.5" hidden="1" x14ac:dyDescent="0.3">
      <c r="A294" s="230" t="s">
        <v>909</v>
      </c>
      <c r="B294" s="193">
        <v>1</v>
      </c>
      <c r="C294" s="194">
        <v>4</v>
      </c>
      <c r="D294" s="195" t="str">
        <f>IF(C294=1,Leyenda!$C$3,IF(C294=2,Leyenda!$C$4,IF(C294=3,Leyenda!$C$5,IF(C294=4,Leyenda!$C$6,IF(C294=5,Leyenda!$C$7,IF(C294=6,Leyenda!$C$8,IF(C294=7,Leyenda!$C$9,IF(C294=8,Leyenda!$C$10," "))))))))&amp;IF(C294=9,Leyenda!$C$11,IF(C294=10,Leyenda!$C$12,IF(C294=11,Leyenda!$C$13,IF(C294=12,Leyenda!D351," "))))</f>
        <v xml:space="preserve">GASTOS DE ACTIVOS FIJO </v>
      </c>
      <c r="E294" s="196" t="s">
        <v>1494</v>
      </c>
      <c r="F294" s="247">
        <v>45517</v>
      </c>
      <c r="G294" s="247" t="str">
        <f t="shared" si="24"/>
        <v>agosto</v>
      </c>
      <c r="H294" s="191">
        <v>13</v>
      </c>
      <c r="I294" s="148" t="str">
        <f>TEXT(gastos[[#This Row],[Fecha]],"DDDD")</f>
        <v>martes</v>
      </c>
      <c r="J294" s="249">
        <f t="shared" si="23"/>
        <v>45517</v>
      </c>
      <c r="K294" s="249"/>
      <c r="L294" s="147"/>
      <c r="M294" s="197">
        <v>0</v>
      </c>
      <c r="N294" s="197">
        <v>3420</v>
      </c>
      <c r="O294" s="198">
        <f t="shared" si="25"/>
        <v>3420</v>
      </c>
      <c r="P294" s="199">
        <v>0</v>
      </c>
      <c r="Q294" s="199">
        <v>0</v>
      </c>
      <c r="R294" s="199">
        <v>0</v>
      </c>
      <c r="S294" s="199">
        <v>0</v>
      </c>
      <c r="T294" s="200" t="str">
        <f>IFERROR(VLOOKUP($A294,Tabla3[#All],2,0),"no esta registrado")</f>
        <v>Strata, S.R.L.</v>
      </c>
    </row>
    <row r="295" spans="1:20" ht="16.5" hidden="1" x14ac:dyDescent="0.3">
      <c r="A295" s="230" t="s">
        <v>834</v>
      </c>
      <c r="B295" s="193">
        <v>1</v>
      </c>
      <c r="C295" s="194">
        <v>2</v>
      </c>
      <c r="D295" s="195" t="str">
        <f>IF(C295=1,Leyenda!$C$3,IF(C295=2,Leyenda!$C$4,IF(C295=3,Leyenda!$C$5,IF(C295=4,Leyenda!$C$6,IF(C295=5,Leyenda!$C$7,IF(C295=6,Leyenda!$C$8,IF(C295=7,Leyenda!$C$9,IF(C295=8,Leyenda!$C$10," "))))))))&amp;IF(C295=9,Leyenda!$C$11,IF(C295=10,Leyenda!$C$12,IF(C295=11,Leyenda!$C$13,IF(C295=12,Leyenda!D352," "))))</f>
        <v xml:space="preserve">GASTOS POR TRABAJOS, SUMINISTROS Y SERVICIOS </v>
      </c>
      <c r="E295" s="196" t="s">
        <v>1495</v>
      </c>
      <c r="F295" s="247">
        <v>45517</v>
      </c>
      <c r="G295" s="247" t="str">
        <f t="shared" si="24"/>
        <v>agosto</v>
      </c>
      <c r="H295" s="191">
        <v>4</v>
      </c>
      <c r="I295" s="148" t="str">
        <f>TEXT(gastos[[#This Row],[Fecha]],"DDDD")</f>
        <v>domingo</v>
      </c>
      <c r="J295" s="249">
        <f t="shared" si="23"/>
        <v>45508</v>
      </c>
      <c r="K295" s="249"/>
      <c r="L295" s="147"/>
      <c r="M295" s="197">
        <v>0</v>
      </c>
      <c r="N295" s="197">
        <f>4125-629.24</f>
        <v>3495.76</v>
      </c>
      <c r="O295" s="198">
        <f t="shared" si="25"/>
        <v>3495.76</v>
      </c>
      <c r="P295" s="199">
        <v>629.24</v>
      </c>
      <c r="Q295" s="199">
        <v>0</v>
      </c>
      <c r="R295" s="199">
        <v>0</v>
      </c>
      <c r="S295" s="199">
        <v>0</v>
      </c>
      <c r="T295" s="200" t="str">
        <f>IFERROR(VLOOKUP($A295,Tabla3[#All],2,0),"no esta registrado")</f>
        <v>A.T. Internacional, S.R.L.</v>
      </c>
    </row>
    <row r="296" spans="1:20" ht="16.5" hidden="1" x14ac:dyDescent="0.3">
      <c r="A296" s="230" t="s">
        <v>1496</v>
      </c>
      <c r="B296" s="193">
        <v>1</v>
      </c>
      <c r="C296" s="194">
        <v>2</v>
      </c>
      <c r="D296" s="195" t="str">
        <f>IF(C296=1,Leyenda!$C$3,IF(C296=2,Leyenda!$C$4,IF(C296=3,Leyenda!$C$5,IF(C296=4,Leyenda!$C$6,IF(C296=5,Leyenda!$C$7,IF(C296=6,Leyenda!$C$8,IF(C296=7,Leyenda!$C$9,IF(C296=8,Leyenda!$C$10," "))))))))&amp;IF(C296=9,Leyenda!$C$11,IF(C296=10,Leyenda!$C$12,IF(C296=11,Leyenda!$C$13,IF(C296=12,Leyenda!D353," "))))</f>
        <v xml:space="preserve">GASTOS POR TRABAJOS, SUMINISTROS Y SERVICIOS </v>
      </c>
      <c r="E296" s="196" t="s">
        <v>1497</v>
      </c>
      <c r="F296" s="247">
        <v>45517</v>
      </c>
      <c r="G296" s="247" t="str">
        <f t="shared" si="24"/>
        <v>agosto</v>
      </c>
      <c r="H296" s="191">
        <v>4</v>
      </c>
      <c r="I296" s="148" t="str">
        <f>TEXT(gastos[[#This Row],[Fecha]],"DDDD")</f>
        <v>domingo</v>
      </c>
      <c r="J296" s="249">
        <f t="shared" si="23"/>
        <v>45508</v>
      </c>
      <c r="K296" s="249"/>
      <c r="L296" s="147"/>
      <c r="M296" s="197">
        <v>0</v>
      </c>
      <c r="N296" s="197">
        <f>812-123.86</f>
        <v>688.14</v>
      </c>
      <c r="O296" s="198">
        <f t="shared" si="25"/>
        <v>688.14</v>
      </c>
      <c r="P296" s="199">
        <v>123.86</v>
      </c>
      <c r="Q296" s="199">
        <v>0</v>
      </c>
      <c r="R296" s="199">
        <v>0</v>
      </c>
      <c r="S296" s="199">
        <v>0</v>
      </c>
      <c r="T296" s="200" t="str">
        <f>IFERROR(VLOOKUP($A296,Tabla3[#All],2,0),"no esta registrado")</f>
        <v>no esta registrado</v>
      </c>
    </row>
    <row r="297" spans="1:20" ht="16.5" hidden="1" x14ac:dyDescent="0.3">
      <c r="A297" s="230" t="s">
        <v>533</v>
      </c>
      <c r="B297" s="193">
        <v>1</v>
      </c>
      <c r="C297" s="194">
        <v>2</v>
      </c>
      <c r="D297" s="195" t="str">
        <f>IF(C297=1,Leyenda!$C$3,IF(C297=2,Leyenda!$C$4,IF(C297=3,Leyenda!$C$5,IF(C297=4,Leyenda!$C$6,IF(C297=5,Leyenda!$C$7,IF(C297=6,Leyenda!$C$8,IF(C297=7,Leyenda!$C$9,IF(C297=8,Leyenda!$C$10," "))))))))&amp;IF(C297=9,Leyenda!$C$11,IF(C297=10,Leyenda!$C$12,IF(C297=11,Leyenda!$C$13,IF(C297=12,Leyenda!D354," "))))</f>
        <v xml:space="preserve">GASTOS POR TRABAJOS, SUMINISTROS Y SERVICIOS </v>
      </c>
      <c r="E297" s="196" t="s">
        <v>1498</v>
      </c>
      <c r="F297" s="247">
        <v>45517</v>
      </c>
      <c r="G297" s="247" t="str">
        <f t="shared" si="24"/>
        <v>agosto</v>
      </c>
      <c r="H297" s="191">
        <v>15</v>
      </c>
      <c r="I297" s="148" t="str">
        <f>TEXT(gastos[[#This Row],[Fecha]],"DDDD")</f>
        <v>jueves</v>
      </c>
      <c r="J297" s="249">
        <f t="shared" si="23"/>
        <v>45519</v>
      </c>
      <c r="K297" s="249"/>
      <c r="L297" s="147"/>
      <c r="M297" s="197">
        <v>0</v>
      </c>
      <c r="N297" s="197">
        <v>1386.42</v>
      </c>
      <c r="O297" s="198">
        <f t="shared" si="25"/>
        <v>1386.42</v>
      </c>
      <c r="P297" s="199">
        <v>0</v>
      </c>
      <c r="Q297" s="199">
        <v>0</v>
      </c>
      <c r="R297" s="199">
        <v>0</v>
      </c>
      <c r="S297" s="199">
        <v>0</v>
      </c>
      <c r="T297" s="200" t="str">
        <f>IFERROR(VLOOKUP($A297,Tabla3[#All],2,0),"no esta registrado")</f>
        <v>Farmacía Medicar GBC, A. H.</v>
      </c>
    </row>
    <row r="298" spans="1:20" ht="16.5" hidden="1" x14ac:dyDescent="0.3">
      <c r="A298" s="230" t="s">
        <v>533</v>
      </c>
      <c r="B298" s="193">
        <v>1</v>
      </c>
      <c r="C298" s="194">
        <v>2</v>
      </c>
      <c r="D298" s="195" t="str">
        <f>IF(C298=1,Leyenda!$C$3,IF(C298=2,Leyenda!$C$4,IF(C298=3,Leyenda!$C$5,IF(C298=4,Leyenda!$C$6,IF(C298=5,Leyenda!$C$7,IF(C298=6,Leyenda!$C$8,IF(C298=7,Leyenda!$C$9,IF(C298=8,Leyenda!$C$10," "))))))))&amp;IF(C298=9,Leyenda!$C$11,IF(C298=10,Leyenda!$C$12,IF(C298=11,Leyenda!$C$13,IF(C298=12,Leyenda!D355," "))))</f>
        <v xml:space="preserve">GASTOS POR TRABAJOS, SUMINISTROS Y SERVICIOS </v>
      </c>
      <c r="E298" s="196" t="s">
        <v>1499</v>
      </c>
      <c r="F298" s="247">
        <v>45517</v>
      </c>
      <c r="G298" s="247" t="str">
        <f t="shared" si="24"/>
        <v>agosto</v>
      </c>
      <c r="H298" s="191">
        <v>13</v>
      </c>
      <c r="I298" s="148" t="str">
        <f>TEXT(gastos[[#This Row],[Fecha]],"DDDD")</f>
        <v>martes</v>
      </c>
      <c r="J298" s="249">
        <f t="shared" si="23"/>
        <v>45517</v>
      </c>
      <c r="K298" s="249"/>
      <c r="L298" s="147"/>
      <c r="M298" s="197">
        <v>0</v>
      </c>
      <c r="N298" s="197">
        <v>464</v>
      </c>
      <c r="O298" s="198">
        <f t="shared" si="25"/>
        <v>464</v>
      </c>
      <c r="P298" s="199">
        <v>0</v>
      </c>
      <c r="Q298" s="199">
        <v>0</v>
      </c>
      <c r="R298" s="199">
        <v>0</v>
      </c>
      <c r="S298" s="199">
        <v>0</v>
      </c>
      <c r="T298" s="200" t="str">
        <f>IFERROR(VLOOKUP($A298,Tabla3[#All],2,0),"no esta registrado")</f>
        <v>Farmacía Medicar GBC, A. H.</v>
      </c>
    </row>
    <row r="299" spans="1:20" ht="16.5" hidden="1" x14ac:dyDescent="0.3">
      <c r="A299" s="230" t="s">
        <v>533</v>
      </c>
      <c r="B299" s="193">
        <v>1</v>
      </c>
      <c r="C299" s="194">
        <v>2</v>
      </c>
      <c r="D299" s="195" t="str">
        <f>IF(C299=1,Leyenda!$C$3,IF(C299=2,Leyenda!$C$4,IF(C299=3,Leyenda!$C$5,IF(C299=4,Leyenda!$C$6,IF(C299=5,Leyenda!$C$7,IF(C299=6,Leyenda!$C$8,IF(C299=7,Leyenda!$C$9,IF(C299=8,Leyenda!$C$10," "))))))))&amp;IF(C299=9,Leyenda!$C$11,IF(C299=10,Leyenda!$C$12,IF(C299=11,Leyenda!$C$13,IF(C299=12,Leyenda!D356," "))))</f>
        <v xml:space="preserve">GASTOS POR TRABAJOS, SUMINISTROS Y SERVICIOS </v>
      </c>
      <c r="E299" s="196" t="s">
        <v>1500</v>
      </c>
      <c r="F299" s="247">
        <v>45517</v>
      </c>
      <c r="G299" s="247" t="str">
        <f t="shared" si="24"/>
        <v>agosto</v>
      </c>
      <c r="H299" s="191">
        <v>6</v>
      </c>
      <c r="I299" s="148" t="str">
        <f>TEXT(gastos[[#This Row],[Fecha]],"DDDD")</f>
        <v>martes</v>
      </c>
      <c r="J299" s="249">
        <f t="shared" si="23"/>
        <v>45510</v>
      </c>
      <c r="K299" s="249"/>
      <c r="L299" s="147"/>
      <c r="M299" s="197">
        <v>0</v>
      </c>
      <c r="N299" s="197">
        <v>1642.29</v>
      </c>
      <c r="O299" s="198">
        <f t="shared" si="25"/>
        <v>1642.29</v>
      </c>
      <c r="P299" s="199">
        <v>0</v>
      </c>
      <c r="Q299" s="199">
        <v>0</v>
      </c>
      <c r="R299" s="199">
        <v>0</v>
      </c>
      <c r="S299" s="199">
        <v>0</v>
      </c>
      <c r="T299" s="200" t="str">
        <f>IFERROR(VLOOKUP($A299,Tabla3[#All],2,0),"no esta registrado")</f>
        <v>Farmacía Medicar GBC, A. H.</v>
      </c>
    </row>
    <row r="300" spans="1:20" ht="16.5" hidden="1" x14ac:dyDescent="0.3">
      <c r="A300" s="230" t="s">
        <v>1370</v>
      </c>
      <c r="B300" s="193">
        <v>1</v>
      </c>
      <c r="C300" s="194">
        <v>2</v>
      </c>
      <c r="D300" s="195" t="str">
        <f>IF(C300=1,Leyenda!$C$3,IF(C300=2,Leyenda!$C$4,IF(C300=3,Leyenda!$C$5,IF(C300=4,Leyenda!$C$6,IF(C300=5,Leyenda!$C$7,IF(C300=6,Leyenda!$C$8,IF(C300=7,Leyenda!$C$9,IF(C300=8,Leyenda!$C$10," "))))))))&amp;IF(C300=9,Leyenda!$C$11,IF(C300=10,Leyenda!$C$12,IF(C300=11,Leyenda!$C$13,IF(C300=12,Leyenda!D357," "))))</f>
        <v xml:space="preserve">GASTOS POR TRABAJOS, SUMINISTROS Y SERVICIOS </v>
      </c>
      <c r="E300" s="196" t="s">
        <v>1501</v>
      </c>
      <c r="F300" s="247">
        <v>45517</v>
      </c>
      <c r="G300" s="247" t="str">
        <f t="shared" si="24"/>
        <v>agosto</v>
      </c>
      <c r="H300" s="191">
        <v>4</v>
      </c>
      <c r="I300" s="148" t="str">
        <f>TEXT(gastos[[#This Row],[Fecha]],"DDDD")</f>
        <v>domingo</v>
      </c>
      <c r="J300" s="249">
        <f t="shared" si="23"/>
        <v>45508</v>
      </c>
      <c r="K300" s="249"/>
      <c r="L300" s="147"/>
      <c r="M300" s="197">
        <v>0</v>
      </c>
      <c r="N300" s="197">
        <v>2825</v>
      </c>
      <c r="O300" s="198">
        <f t="shared" si="25"/>
        <v>2825</v>
      </c>
      <c r="P300" s="199">
        <v>508.5</v>
      </c>
      <c r="Q300" s="199">
        <v>0</v>
      </c>
      <c r="R300" s="199">
        <v>283</v>
      </c>
      <c r="S300">
        <v>0</v>
      </c>
      <c r="T300" s="200" t="str">
        <f>IFERROR(VLOOKUP($A300,Tabla3[#All],2,0),"no esta registrado")</f>
        <v>no esta registrado</v>
      </c>
    </row>
    <row r="301" spans="1:20" ht="16.5" hidden="1" x14ac:dyDescent="0.3">
      <c r="A301" s="231" t="s">
        <v>1502</v>
      </c>
      <c r="B301" s="193">
        <v>1</v>
      </c>
      <c r="C301" s="194">
        <v>2</v>
      </c>
      <c r="D301" s="195" t="str">
        <f>IF(C301=1,Leyenda!$C$3,IF(C301=2,Leyenda!$C$4,IF(C301=3,Leyenda!$C$5,IF(C301=4,Leyenda!$C$6,IF(C301=5,Leyenda!$C$7,IF(C301=6,Leyenda!$C$8,IF(C301=7,Leyenda!$C$9,IF(C301=8,Leyenda!$C$10," "))))))))&amp;IF(C301=9,Leyenda!$C$11,IF(C301=10,Leyenda!$C$12,IF(C301=11,Leyenda!$C$13,IF(C301=12,Leyenda!D358," "))))</f>
        <v xml:space="preserve">GASTOS POR TRABAJOS, SUMINISTROS Y SERVICIOS </v>
      </c>
      <c r="E301" s="196" t="s">
        <v>1503</v>
      </c>
      <c r="F301" s="247">
        <v>45517</v>
      </c>
      <c r="G301" s="247" t="str">
        <f t="shared" si="24"/>
        <v>agosto</v>
      </c>
      <c r="H301" s="191">
        <v>1</v>
      </c>
      <c r="I301" s="148" t="str">
        <f>TEXT(gastos[[#This Row],[Fecha]],"DDDD")</f>
        <v>jueves</v>
      </c>
      <c r="J301" s="249">
        <f t="shared" si="23"/>
        <v>45505</v>
      </c>
      <c r="K301" s="249"/>
      <c r="L301" s="147"/>
      <c r="M301" s="197">
        <v>0</v>
      </c>
      <c r="N301" s="197">
        <f>3483.06-385.59</f>
        <v>3097.47</v>
      </c>
      <c r="O301" s="198">
        <f t="shared" si="25"/>
        <v>3097.47</v>
      </c>
      <c r="P301" s="199">
        <v>626.95000000000005</v>
      </c>
      <c r="Q301" s="199">
        <v>0</v>
      </c>
      <c r="R301" s="199">
        <v>0</v>
      </c>
      <c r="S301">
        <v>0</v>
      </c>
      <c r="T301" s="200" t="str">
        <f>IFERROR(VLOOKUP($A301,Tabla3[#All],2,0),"no esta registrado")</f>
        <v>no esta registrado</v>
      </c>
    </row>
    <row r="302" spans="1:20" ht="16.5" hidden="1" x14ac:dyDescent="0.3">
      <c r="A302" s="230" t="s">
        <v>685</v>
      </c>
      <c r="B302" s="193">
        <v>1</v>
      </c>
      <c r="C302" s="194">
        <v>2</v>
      </c>
      <c r="D302" s="195" t="str">
        <f>IF(C302=1,Leyenda!$C$3,IF(C302=2,Leyenda!$C$4,IF(C302=3,Leyenda!$C$5,IF(C302=4,Leyenda!$C$6,IF(C302=5,Leyenda!$C$7,IF(C302=6,Leyenda!$C$8,IF(C302=7,Leyenda!$C$9,IF(C302=8,Leyenda!$C$10," "))))))))&amp;IF(C302=9,Leyenda!$C$11,IF(C302=10,Leyenda!$C$12,IF(C302=11,Leyenda!$C$13,IF(C302=12,Leyenda!D359," "))))</f>
        <v xml:space="preserve">GASTOS POR TRABAJOS, SUMINISTROS Y SERVICIOS </v>
      </c>
      <c r="E302" s="196" t="s">
        <v>1504</v>
      </c>
      <c r="F302" s="247">
        <v>45517</v>
      </c>
      <c r="G302" s="247" t="str">
        <f t="shared" si="24"/>
        <v>agosto</v>
      </c>
      <c r="H302" s="191">
        <v>1</v>
      </c>
      <c r="I302" s="148" t="str">
        <f>TEXT(gastos[[#This Row],[Fecha]],"DDDD")</f>
        <v>jueves</v>
      </c>
      <c r="J302" s="249">
        <f t="shared" si="23"/>
        <v>45505</v>
      </c>
      <c r="K302" s="249"/>
      <c r="L302" s="147"/>
      <c r="M302" s="197">
        <v>0</v>
      </c>
      <c r="N302" s="197">
        <v>2536.02</v>
      </c>
      <c r="O302" s="198">
        <f t="shared" si="25"/>
        <v>2536.02</v>
      </c>
      <c r="P302" s="199">
        <v>456.48</v>
      </c>
      <c r="Q302" s="199">
        <v>0</v>
      </c>
      <c r="R302" s="199">
        <v>0</v>
      </c>
      <c r="S302">
        <v>0</v>
      </c>
      <c r="T302" s="200" t="str">
        <f>IFERROR(VLOOKUP($A302,Tabla3[#All],2,0),"no esta registrado")</f>
        <v>Payless Shoesource</v>
      </c>
    </row>
    <row r="303" spans="1:20" ht="16.5" hidden="1" x14ac:dyDescent="0.3">
      <c r="A303" s="230" t="s">
        <v>1138</v>
      </c>
      <c r="B303" s="193">
        <v>1</v>
      </c>
      <c r="C303" s="194">
        <v>2</v>
      </c>
      <c r="D303" s="195" t="str">
        <f>IF(C303=1,Leyenda!$C$3,IF(C303=2,Leyenda!$C$4,IF(C303=3,Leyenda!$C$5,IF(C303=4,Leyenda!$C$6,IF(C303=5,Leyenda!$C$7,IF(C303=6,Leyenda!$C$8,IF(C303=7,Leyenda!$C$9,IF(C303=8,Leyenda!$C$10," "))))))))&amp;IF(C303=9,Leyenda!$C$11,IF(C303=10,Leyenda!$C$12,IF(C303=11,Leyenda!$C$13,IF(C303=12,Leyenda!D360," "))))</f>
        <v xml:space="preserve">GASTOS POR TRABAJOS, SUMINISTROS Y SERVICIOS </v>
      </c>
      <c r="E303" s="196" t="s">
        <v>1505</v>
      </c>
      <c r="F303" s="247">
        <v>45517</v>
      </c>
      <c r="G303" s="247" t="str">
        <f t="shared" si="24"/>
        <v>agosto</v>
      </c>
      <c r="H303" s="191">
        <v>1</v>
      </c>
      <c r="I303" s="148" t="str">
        <f>TEXT(gastos[[#This Row],[Fecha]],"DDDD")</f>
        <v>jueves</v>
      </c>
      <c r="J303" s="249">
        <f t="shared" si="23"/>
        <v>45505</v>
      </c>
      <c r="K303" s="249"/>
      <c r="L303" s="147"/>
      <c r="M303" s="197">
        <v>0</v>
      </c>
      <c r="N303" s="197">
        <f>2807-428.2</f>
        <v>2378.8000000000002</v>
      </c>
      <c r="O303" s="198">
        <f t="shared" si="25"/>
        <v>2378.8000000000002</v>
      </c>
      <c r="P303" s="199">
        <v>428.2</v>
      </c>
      <c r="Q303" s="199">
        <v>0</v>
      </c>
      <c r="R303" s="199">
        <v>0</v>
      </c>
      <c r="S303">
        <v>0</v>
      </c>
      <c r="T303" s="200" t="str">
        <f>IFERROR(VLOOKUP($A303,Tabla3[#All],2,0),"no esta registrado")</f>
        <v>Almacenes Garrido</v>
      </c>
    </row>
    <row r="304" spans="1:20" ht="16.5" hidden="1" x14ac:dyDescent="0.3">
      <c r="A304" s="230" t="s">
        <v>507</v>
      </c>
      <c r="B304" s="193">
        <v>1</v>
      </c>
      <c r="C304" s="194">
        <v>2</v>
      </c>
      <c r="D304" s="195" t="str">
        <f>IF(C304=1,Leyenda!$C$3,IF(C304=2,Leyenda!$C$4,IF(C304=3,Leyenda!$C$5,IF(C304=4,Leyenda!$C$6,IF(C304=5,Leyenda!$C$7,IF(C304=6,Leyenda!$C$8,IF(C304=7,Leyenda!$C$9,IF(C304=8,Leyenda!$C$10," "))))))))&amp;IF(C304=9,Leyenda!$C$11,IF(C304=10,Leyenda!$C$12,IF(C304=11,Leyenda!$C$13,IF(C304=12,Leyenda!D361," "))))</f>
        <v xml:space="preserve">GASTOS POR TRABAJOS, SUMINISTROS Y SERVICIOS </v>
      </c>
      <c r="E304" s="196" t="s">
        <v>1506</v>
      </c>
      <c r="F304" s="247">
        <v>45517</v>
      </c>
      <c r="G304" s="247" t="str">
        <f t="shared" si="24"/>
        <v>agosto</v>
      </c>
      <c r="H304" s="191">
        <v>2</v>
      </c>
      <c r="I304" s="148" t="str">
        <f>TEXT(gastos[[#This Row],[Fecha]],"DDDD")</f>
        <v>viernes</v>
      </c>
      <c r="J304" s="249">
        <f t="shared" si="23"/>
        <v>45506</v>
      </c>
      <c r="K304" s="249"/>
      <c r="L304" s="147"/>
      <c r="M304" s="197">
        <v>0</v>
      </c>
      <c r="N304" s="197">
        <v>8820</v>
      </c>
      <c r="O304" s="198">
        <f t="shared" si="25"/>
        <v>8820</v>
      </c>
      <c r="P304" s="199">
        <v>0</v>
      </c>
      <c r="Q304" s="199">
        <v>0</v>
      </c>
      <c r="R304" s="199">
        <v>0</v>
      </c>
      <c r="S304">
        <v>0</v>
      </c>
      <c r="T304" s="200" t="str">
        <f>IFERROR(VLOOKUP($A304,Tabla3[#All],2,0),"no esta registrado")</f>
        <v>Grupo Ramos, S. A.//Super Pola//La Sirena</v>
      </c>
    </row>
    <row r="305" spans="1:20" ht="16.5" hidden="1" x14ac:dyDescent="0.3">
      <c r="A305" s="230" t="s">
        <v>507</v>
      </c>
      <c r="B305" s="193">
        <v>1</v>
      </c>
      <c r="C305" s="194">
        <v>2</v>
      </c>
      <c r="D305" s="195" t="str">
        <f>IF(C305=1,Leyenda!$C$3,IF(C305=2,Leyenda!$C$4,IF(C305=3,Leyenda!$C$5,IF(C305=4,Leyenda!$C$6,IF(C305=5,Leyenda!$C$7,IF(C305=6,Leyenda!$C$8,IF(C305=7,Leyenda!$C$9,IF(C305=8,Leyenda!$C$10," "))))))))&amp;IF(C305=9,Leyenda!$C$11,IF(C305=10,Leyenda!$C$12,IF(C305=11,Leyenda!$C$13,IF(C305=12,Leyenda!D362," "))))</f>
        <v xml:space="preserve">GASTOS POR TRABAJOS, SUMINISTROS Y SERVICIOS </v>
      </c>
      <c r="E305" s="196" t="s">
        <v>1507</v>
      </c>
      <c r="F305" s="247">
        <v>45517</v>
      </c>
      <c r="G305" s="247" t="str">
        <f t="shared" si="24"/>
        <v>agosto</v>
      </c>
      <c r="H305" s="191">
        <v>2</v>
      </c>
      <c r="I305" s="148" t="str">
        <f>TEXT(gastos[[#This Row],[Fecha]],"DDDD")</f>
        <v>viernes</v>
      </c>
      <c r="J305" s="249">
        <f t="shared" si="23"/>
        <v>45506</v>
      </c>
      <c r="K305" s="249"/>
      <c r="L305" s="147"/>
      <c r="M305" s="197">
        <v>0</v>
      </c>
      <c r="N305" s="197">
        <v>2842</v>
      </c>
      <c r="O305" s="198">
        <f t="shared" si="25"/>
        <v>2842</v>
      </c>
      <c r="P305" s="199">
        <v>0</v>
      </c>
      <c r="Q305" s="199">
        <v>0</v>
      </c>
      <c r="R305" s="199">
        <v>0</v>
      </c>
      <c r="S305">
        <v>0</v>
      </c>
      <c r="T305" s="200" t="str">
        <f>IFERROR(VLOOKUP($A305,Tabla3[#All],2,0),"no esta registrado")</f>
        <v>Grupo Ramos, S. A.//Super Pola//La Sirena</v>
      </c>
    </row>
    <row r="306" spans="1:20" ht="16.5" hidden="1" x14ac:dyDescent="0.3">
      <c r="A306" s="231" t="s">
        <v>507</v>
      </c>
      <c r="B306" s="193">
        <v>1</v>
      </c>
      <c r="C306" s="194">
        <v>2</v>
      </c>
      <c r="D306" s="195" t="str">
        <f>IF(C306=1,Leyenda!$C$3,IF(C306=2,Leyenda!$C$4,IF(C306=3,Leyenda!$C$5,IF(C306=4,Leyenda!$C$6,IF(C306=5,Leyenda!$C$7,IF(C306=6,Leyenda!$C$8,IF(C306=7,Leyenda!$C$9,IF(C306=8,Leyenda!$C$10," "))))))))&amp;IF(C306=9,Leyenda!$C$11,IF(C306=10,Leyenda!$C$12,IF(C306=11,Leyenda!$C$13,IF(C306=12,Leyenda!D363," "))))</f>
        <v xml:space="preserve">GASTOS POR TRABAJOS, SUMINISTROS Y SERVICIOS </v>
      </c>
      <c r="E306" s="196" t="s">
        <v>1508</v>
      </c>
      <c r="F306" s="247">
        <v>45517</v>
      </c>
      <c r="G306" s="247" t="str">
        <f t="shared" si="24"/>
        <v>agosto</v>
      </c>
      <c r="H306" s="191">
        <v>2</v>
      </c>
      <c r="I306" s="148" t="str">
        <f>TEXT(gastos[[#This Row],[Fecha]],"DDDD")</f>
        <v>viernes</v>
      </c>
      <c r="J306" s="249">
        <f t="shared" si="23"/>
        <v>45506</v>
      </c>
      <c r="K306" s="249"/>
      <c r="L306" s="147"/>
      <c r="M306" s="197">
        <v>0</v>
      </c>
      <c r="N306" s="197">
        <v>2017.5</v>
      </c>
      <c r="O306" s="198">
        <f t="shared" si="25"/>
        <v>2017.5</v>
      </c>
      <c r="P306" s="199">
        <v>0</v>
      </c>
      <c r="Q306" s="199">
        <v>0</v>
      </c>
      <c r="R306" s="199">
        <v>0</v>
      </c>
      <c r="S306">
        <v>0</v>
      </c>
      <c r="T306" s="200" t="str">
        <f>IFERROR(VLOOKUP($A306,Tabla3[#All],2,0),"no esta registrado")</f>
        <v>Grupo Ramos, S. A.//Super Pola//La Sirena</v>
      </c>
    </row>
    <row r="307" spans="1:20" ht="16.5" hidden="1" x14ac:dyDescent="0.3">
      <c r="A307" s="230" t="s">
        <v>507</v>
      </c>
      <c r="B307" s="193">
        <v>1</v>
      </c>
      <c r="C307" s="194">
        <v>2</v>
      </c>
      <c r="D307" s="195" t="str">
        <f>IF(C307=1,Leyenda!$C$3,IF(C307=2,Leyenda!$C$4,IF(C307=3,Leyenda!$C$5,IF(C307=4,Leyenda!$C$6,IF(C307=5,Leyenda!$C$7,IF(C307=6,Leyenda!$C$8,IF(C307=7,Leyenda!$C$9,IF(C307=8,Leyenda!$C$10," "))))))))&amp;IF(C307=9,Leyenda!$C$11,IF(C307=10,Leyenda!$C$12,IF(C307=11,Leyenda!$C$13,IF(C307=12,Leyenda!D364," "))))</f>
        <v xml:space="preserve">GASTOS POR TRABAJOS, SUMINISTROS Y SERVICIOS </v>
      </c>
      <c r="E307" s="196" t="s">
        <v>1509</v>
      </c>
      <c r="F307" s="247">
        <v>45517</v>
      </c>
      <c r="G307" s="247" t="str">
        <f t="shared" si="24"/>
        <v>agosto</v>
      </c>
      <c r="H307" s="191">
        <v>2</v>
      </c>
      <c r="I307" s="148" t="str">
        <f>TEXT(gastos[[#This Row],[Fecha]],"DDDD")</f>
        <v>viernes</v>
      </c>
      <c r="J307" s="249">
        <f t="shared" si="23"/>
        <v>45506</v>
      </c>
      <c r="K307" s="249"/>
      <c r="L307" s="147"/>
      <c r="M307" s="197">
        <v>0</v>
      </c>
      <c r="N307" s="197">
        <v>1942.5</v>
      </c>
      <c r="O307" s="198">
        <f t="shared" si="25"/>
        <v>1942.5</v>
      </c>
      <c r="P307" s="199">
        <v>0</v>
      </c>
      <c r="Q307" s="199">
        <v>0</v>
      </c>
      <c r="R307" s="199">
        <v>0</v>
      </c>
      <c r="S307">
        <v>0</v>
      </c>
      <c r="T307" s="200" t="str">
        <f>IFERROR(VLOOKUP($A307,Tabla3[#All],2,0),"no esta registrado")</f>
        <v>Grupo Ramos, S. A.//Super Pola//La Sirena</v>
      </c>
    </row>
    <row r="308" spans="1:20" ht="16.5" hidden="1" x14ac:dyDescent="0.3">
      <c r="A308" s="230" t="s">
        <v>507</v>
      </c>
      <c r="B308" s="193">
        <v>1</v>
      </c>
      <c r="C308" s="194">
        <v>2</v>
      </c>
      <c r="D308" s="195" t="str">
        <f>IF(C308=1,Leyenda!$C$3,IF(C308=2,Leyenda!$C$4,IF(C308=3,Leyenda!$C$5,IF(C308=4,Leyenda!$C$6,IF(C308=5,Leyenda!$C$7,IF(C308=6,Leyenda!$C$8,IF(C308=7,Leyenda!$C$9,IF(C308=8,Leyenda!$C$10," "))))))))&amp;IF(C308=9,Leyenda!$C$11,IF(C308=10,Leyenda!$C$12,IF(C308=11,Leyenda!$C$13,IF(C308=12,Leyenda!D365," "))))</f>
        <v xml:space="preserve">GASTOS POR TRABAJOS, SUMINISTROS Y SERVICIOS </v>
      </c>
      <c r="E308" s="196" t="s">
        <v>1510</v>
      </c>
      <c r="F308" s="247">
        <v>45517</v>
      </c>
      <c r="G308" s="247" t="str">
        <f t="shared" si="24"/>
        <v>agosto</v>
      </c>
      <c r="H308" s="191">
        <v>2</v>
      </c>
      <c r="I308" s="148" t="str">
        <f>TEXT(gastos[[#This Row],[Fecha]],"DDDD")</f>
        <v>viernes</v>
      </c>
      <c r="J308" s="249">
        <f t="shared" si="23"/>
        <v>45506</v>
      </c>
      <c r="K308" s="249"/>
      <c r="L308" s="147"/>
      <c r="M308" s="197">
        <v>0</v>
      </c>
      <c r="N308" s="197">
        <v>1342.5</v>
      </c>
      <c r="O308" s="198">
        <f t="shared" si="25"/>
        <v>1342.5</v>
      </c>
      <c r="P308" s="199">
        <v>0</v>
      </c>
      <c r="Q308" s="199">
        <v>0</v>
      </c>
      <c r="R308" s="199">
        <v>0</v>
      </c>
      <c r="S308">
        <v>0</v>
      </c>
      <c r="T308" s="200" t="str">
        <f>IFERROR(VLOOKUP($A308,Tabla3[#All],2,0),"no esta registrado")</f>
        <v>Grupo Ramos, S. A.//Super Pola//La Sirena</v>
      </c>
    </row>
    <row r="309" spans="1:20" ht="16.5" hidden="1" x14ac:dyDescent="0.3">
      <c r="A309" s="230" t="s">
        <v>507</v>
      </c>
      <c r="B309" s="193">
        <v>1</v>
      </c>
      <c r="C309" s="194">
        <v>2</v>
      </c>
      <c r="D309" s="195" t="str">
        <f>IF(C309=1,Leyenda!$C$3,IF(C309=2,Leyenda!$C$4,IF(C309=3,Leyenda!$C$5,IF(C309=4,Leyenda!$C$6,IF(C309=5,Leyenda!$C$7,IF(C309=6,Leyenda!$C$8,IF(C309=7,Leyenda!$C$9,IF(C309=8,Leyenda!$C$10," "))))))))&amp;IF(C309=9,Leyenda!$C$11,IF(C309=10,Leyenda!$C$12,IF(C309=11,Leyenda!$C$13,IF(C309=12,Leyenda!D366," "))))</f>
        <v xml:space="preserve">GASTOS POR TRABAJOS, SUMINISTROS Y SERVICIOS </v>
      </c>
      <c r="E309" s="196" t="s">
        <v>1511</v>
      </c>
      <c r="F309" s="247">
        <v>45517</v>
      </c>
      <c r="G309" s="247" t="str">
        <f t="shared" si="24"/>
        <v>agosto</v>
      </c>
      <c r="H309" s="191">
        <v>2</v>
      </c>
      <c r="I309" s="148" t="str">
        <f>TEXT(gastos[[#This Row],[Fecha]],"DDDD")</f>
        <v>viernes</v>
      </c>
      <c r="J309" s="249">
        <f t="shared" si="23"/>
        <v>45506</v>
      </c>
      <c r="K309" s="249"/>
      <c r="L309" s="147"/>
      <c r="M309" s="197">
        <v>0</v>
      </c>
      <c r="N309" s="197">
        <v>600</v>
      </c>
      <c r="O309" s="198">
        <f t="shared" si="25"/>
        <v>600</v>
      </c>
      <c r="P309" s="199">
        <v>0</v>
      </c>
      <c r="Q309" s="199">
        <v>0</v>
      </c>
      <c r="R309" s="199">
        <v>0</v>
      </c>
      <c r="S309">
        <v>0</v>
      </c>
      <c r="T309" s="200" t="str">
        <f>IFERROR(VLOOKUP($A309,Tabla3[#All],2,0),"no esta registrado")</f>
        <v>Grupo Ramos, S. A.//Super Pola//La Sirena</v>
      </c>
    </row>
    <row r="310" spans="1:20" ht="16.5" hidden="1" x14ac:dyDescent="0.3">
      <c r="A310" s="230" t="s">
        <v>511</v>
      </c>
      <c r="B310" s="193">
        <v>1</v>
      </c>
      <c r="C310" s="194">
        <v>2</v>
      </c>
      <c r="D310" s="195" t="str">
        <f>IF(C310=1,Leyenda!$C$3,IF(C310=2,Leyenda!$C$4,IF(C310=3,Leyenda!$C$5,IF(C310=4,Leyenda!$C$6,IF(C310=5,Leyenda!$C$7,IF(C310=6,Leyenda!$C$8,IF(C310=7,Leyenda!$C$9,IF(C310=8,Leyenda!$C$10," "))))))))&amp;IF(C310=9,Leyenda!$C$11,IF(C310=10,Leyenda!$C$12,IF(C310=11,Leyenda!$C$13,IF(C310=12,Leyenda!D367," "))))</f>
        <v xml:space="preserve">GASTOS POR TRABAJOS, SUMINISTROS Y SERVICIOS </v>
      </c>
      <c r="E310" s="196" t="s">
        <v>1512</v>
      </c>
      <c r="F310" s="247">
        <v>45517</v>
      </c>
      <c r="G310" s="247" t="str">
        <f t="shared" si="24"/>
        <v>agosto</v>
      </c>
      <c r="H310" s="191">
        <v>1</v>
      </c>
      <c r="I310" s="148" t="str">
        <f>TEXT(gastos[[#This Row],[Fecha]],"DDDD")</f>
        <v>jueves</v>
      </c>
      <c r="J310" s="249">
        <f t="shared" si="23"/>
        <v>45505</v>
      </c>
      <c r="K310" s="249"/>
      <c r="L310" s="147"/>
      <c r="M310" s="197">
        <v>0</v>
      </c>
      <c r="N310" s="197">
        <f>1816-32.18</f>
        <v>1783.82</v>
      </c>
      <c r="O310" s="198">
        <f t="shared" si="25"/>
        <v>1783.82</v>
      </c>
      <c r="P310" s="199">
        <v>32.18</v>
      </c>
      <c r="Q310" s="199">
        <v>0</v>
      </c>
      <c r="R310" s="199">
        <v>0</v>
      </c>
      <c r="S310">
        <v>0</v>
      </c>
      <c r="T310" s="200" t="str">
        <f>IFERROR(VLOOKUP($A310,Tabla3[#All],2,0),"no esta registrado")</f>
        <v>Bravo, S.A.//Supermercados Bravo</v>
      </c>
    </row>
    <row r="311" spans="1:20" ht="16.5" hidden="1" x14ac:dyDescent="0.3">
      <c r="A311" s="230" t="s">
        <v>641</v>
      </c>
      <c r="B311" s="193">
        <v>1</v>
      </c>
      <c r="C311" s="194">
        <v>2</v>
      </c>
      <c r="D311" s="195" t="str">
        <f>IF(C311=1,Leyenda!$C$3,IF(C311=2,Leyenda!$C$4,IF(C311=3,Leyenda!$C$5,IF(C311=4,Leyenda!$C$6,IF(C311=5,Leyenda!$C$7,IF(C311=6,Leyenda!$C$8,IF(C311=7,Leyenda!$C$9,IF(C311=8,Leyenda!$C$10," "))))))))&amp;IF(C311=9,Leyenda!$C$11,IF(C311=10,Leyenda!$C$12,IF(C311=11,Leyenda!$C$13,IF(C311=12,Leyenda!D368," "))))</f>
        <v xml:space="preserve">GASTOS POR TRABAJOS, SUMINISTROS Y SERVICIOS </v>
      </c>
      <c r="E311" s="196" t="s">
        <v>1513</v>
      </c>
      <c r="F311" s="247">
        <v>45517</v>
      </c>
      <c r="G311" s="247" t="str">
        <f t="shared" si="24"/>
        <v>agosto</v>
      </c>
      <c r="H311" s="191">
        <v>4</v>
      </c>
      <c r="I311" s="148" t="str">
        <f>TEXT(gastos[[#This Row],[Fecha]],"DDDD")</f>
        <v>domingo</v>
      </c>
      <c r="J311" s="249">
        <f t="shared" si="23"/>
        <v>45508</v>
      </c>
      <c r="K311" s="249"/>
      <c r="L311" s="147"/>
      <c r="M311" s="197">
        <v>0</v>
      </c>
      <c r="N311" s="197">
        <v>1500</v>
      </c>
      <c r="O311" s="198">
        <f t="shared" si="25"/>
        <v>1500</v>
      </c>
      <c r="P311" s="199">
        <v>270</v>
      </c>
      <c r="Q311" s="199">
        <v>0</v>
      </c>
      <c r="R311" s="199">
        <v>150</v>
      </c>
      <c r="S311">
        <v>0</v>
      </c>
      <c r="T311" s="200" t="str">
        <f>IFERROR(VLOOKUP($A311,Tabla3[#All],2,0),"no esta registrado")</f>
        <v>Mc Donalds Los Pinos</v>
      </c>
    </row>
    <row r="312" spans="1:20" ht="16.5" hidden="1" x14ac:dyDescent="0.3">
      <c r="A312" s="230" t="s">
        <v>507</v>
      </c>
      <c r="B312" s="193">
        <v>1</v>
      </c>
      <c r="C312" s="194">
        <v>2</v>
      </c>
      <c r="D312" s="195" t="str">
        <f>IF(C312=1,Leyenda!$C$3,IF(C312=2,Leyenda!$C$4,IF(C312=3,Leyenda!$C$5,IF(C312=4,Leyenda!$C$6,IF(C312=5,Leyenda!$C$7,IF(C312=6,Leyenda!$C$8,IF(C312=7,Leyenda!$C$9,IF(C312=8,Leyenda!$C$10," "))))))))&amp;IF(C312=9,Leyenda!$C$11,IF(C312=10,Leyenda!$C$12,IF(C312=11,Leyenda!$C$13,IF(C312=12,Leyenda!D369," "))))</f>
        <v xml:space="preserve">GASTOS POR TRABAJOS, SUMINISTROS Y SERVICIOS </v>
      </c>
      <c r="E312" s="196" t="s">
        <v>1514</v>
      </c>
      <c r="F312" s="247">
        <v>45517</v>
      </c>
      <c r="G312" s="247" t="str">
        <f t="shared" si="24"/>
        <v>agosto</v>
      </c>
      <c r="H312" s="191">
        <v>5</v>
      </c>
      <c r="I312" s="148" t="str">
        <f>TEXT(gastos[[#This Row],[Fecha]],"DDDD")</f>
        <v>lunes</v>
      </c>
      <c r="J312" s="249">
        <f t="shared" si="23"/>
        <v>45509</v>
      </c>
      <c r="K312" s="249"/>
      <c r="L312" s="147"/>
      <c r="M312" s="197">
        <v>0</v>
      </c>
      <c r="N312" s="197">
        <v>337.5</v>
      </c>
      <c r="O312" s="198">
        <f t="shared" si="25"/>
        <v>337.5</v>
      </c>
      <c r="P312" s="199">
        <v>0</v>
      </c>
      <c r="Q312" s="199">
        <v>0</v>
      </c>
      <c r="R312" s="199">
        <v>0</v>
      </c>
      <c r="S312">
        <v>0</v>
      </c>
      <c r="T312" s="200" t="str">
        <f>IFERROR(VLOOKUP($A312,Tabla3[#All],2,0),"no esta registrado")</f>
        <v>Grupo Ramos, S. A.//Super Pola//La Sirena</v>
      </c>
    </row>
    <row r="313" spans="1:20" ht="16.5" hidden="1" x14ac:dyDescent="0.3">
      <c r="A313" s="230" t="s">
        <v>507</v>
      </c>
      <c r="B313" s="193">
        <v>1</v>
      </c>
      <c r="C313" s="194">
        <v>2</v>
      </c>
      <c r="D313" s="195" t="str">
        <f>IF(C313=1,Leyenda!$C$3,IF(C313=2,Leyenda!$C$4,IF(C313=3,Leyenda!$C$5,IF(C313=4,Leyenda!$C$6,IF(C313=5,Leyenda!$C$7,IF(C313=6,Leyenda!$C$8,IF(C313=7,Leyenda!$C$9,IF(C313=8,Leyenda!$C$10," "))))))))&amp;IF(C313=9,Leyenda!$C$11,IF(C313=10,Leyenda!$C$12,IF(C313=11,Leyenda!$C$13,IF(C313=12,Leyenda!D370," "))))</f>
        <v xml:space="preserve">GASTOS POR TRABAJOS, SUMINISTROS Y SERVICIOS </v>
      </c>
      <c r="E313" s="196" t="s">
        <v>1515</v>
      </c>
      <c r="F313" s="247">
        <v>45517</v>
      </c>
      <c r="G313" s="247" t="str">
        <f t="shared" si="24"/>
        <v>agosto</v>
      </c>
      <c r="H313" s="191">
        <v>5</v>
      </c>
      <c r="I313" s="148" t="str">
        <f>TEXT(gastos[[#This Row],[Fecha]],"DDDD")</f>
        <v>lunes</v>
      </c>
      <c r="J313" s="249">
        <f t="shared" si="23"/>
        <v>45509</v>
      </c>
      <c r="K313" s="249"/>
      <c r="L313" s="147"/>
      <c r="M313" s="197">
        <v>0</v>
      </c>
      <c r="N313" s="197">
        <v>802</v>
      </c>
      <c r="O313" s="198">
        <f t="shared" si="25"/>
        <v>802</v>
      </c>
      <c r="P313" s="199">
        <v>0</v>
      </c>
      <c r="Q313" s="199">
        <v>0</v>
      </c>
      <c r="R313" s="199">
        <v>0</v>
      </c>
      <c r="S313">
        <v>0</v>
      </c>
      <c r="T313" s="200" t="str">
        <f>IFERROR(VLOOKUP($A313,Tabla3[#All],2,0),"no esta registrado")</f>
        <v>Grupo Ramos, S. A.//Super Pola//La Sirena</v>
      </c>
    </row>
    <row r="314" spans="1:20" ht="16.5" hidden="1" x14ac:dyDescent="0.3">
      <c r="A314" s="230" t="s">
        <v>507</v>
      </c>
      <c r="B314" s="193">
        <v>1</v>
      </c>
      <c r="C314" s="194">
        <v>2</v>
      </c>
      <c r="D314" s="195" t="str">
        <f>IF(C314=1,Leyenda!$C$3,IF(C314=2,Leyenda!$C$4,IF(C314=3,Leyenda!$C$5,IF(C314=4,Leyenda!$C$6,IF(C314=5,Leyenda!$C$7,IF(C314=6,Leyenda!$C$8,IF(C314=7,Leyenda!$C$9,IF(C314=8,Leyenda!$C$10," "))))))))&amp;IF(C314=9,Leyenda!$C$11,IF(C314=10,Leyenda!$C$12,IF(C314=11,Leyenda!$C$13,IF(C314=12,Leyenda!D371," "))))</f>
        <v xml:space="preserve">GASTOS POR TRABAJOS, SUMINISTROS Y SERVICIOS </v>
      </c>
      <c r="E314" s="196" t="s">
        <v>1516</v>
      </c>
      <c r="F314" s="247">
        <v>45517</v>
      </c>
      <c r="G314" s="247" t="str">
        <f t="shared" si="24"/>
        <v>agosto</v>
      </c>
      <c r="H314" s="191">
        <v>13</v>
      </c>
      <c r="I314" s="148" t="str">
        <f>TEXT(gastos[[#This Row],[Fecha]],"DDDD")</f>
        <v>martes</v>
      </c>
      <c r="J314" s="249">
        <f t="shared" si="23"/>
        <v>45517</v>
      </c>
      <c r="K314" s="249"/>
      <c r="L314" s="147"/>
      <c r="M314" s="197">
        <v>0</v>
      </c>
      <c r="N314" s="197">
        <f>1610-245.6</f>
        <v>1364.4</v>
      </c>
      <c r="O314" s="198">
        <f t="shared" si="25"/>
        <v>1364.4</v>
      </c>
      <c r="P314" s="199">
        <v>245.6</v>
      </c>
      <c r="Q314" s="199">
        <v>0</v>
      </c>
      <c r="R314" s="199">
        <v>0</v>
      </c>
      <c r="S314">
        <v>0</v>
      </c>
      <c r="T314" s="200" t="str">
        <f>IFERROR(VLOOKUP($A314,Tabla3[#All],2,0),"no esta registrado")</f>
        <v>Grupo Ramos, S. A.//Super Pola//La Sirena</v>
      </c>
    </row>
    <row r="315" spans="1:20" ht="16.5" hidden="1" x14ac:dyDescent="0.3">
      <c r="A315" s="230" t="s">
        <v>507</v>
      </c>
      <c r="B315" s="193">
        <v>1</v>
      </c>
      <c r="C315" s="194">
        <v>2</v>
      </c>
      <c r="D315" s="195" t="str">
        <f>IF(C315=1,Leyenda!$C$3,IF(C315=2,Leyenda!$C$4,IF(C315=3,Leyenda!$C$5,IF(C315=4,Leyenda!$C$6,IF(C315=5,Leyenda!$C$7,IF(C315=6,Leyenda!$C$8,IF(C315=7,Leyenda!$C$9,IF(C315=8,Leyenda!$C$10," "))))))))&amp;IF(C315=9,Leyenda!$C$11,IF(C315=10,Leyenda!$C$12,IF(C315=11,Leyenda!$C$13,IF(C315=12,Leyenda!D372," "))))</f>
        <v xml:space="preserve">GASTOS POR TRABAJOS, SUMINISTROS Y SERVICIOS </v>
      </c>
      <c r="E315" s="196" t="s">
        <v>1517</v>
      </c>
      <c r="F315" s="247">
        <v>45517</v>
      </c>
      <c r="G315" s="247" t="str">
        <f t="shared" si="24"/>
        <v>agosto</v>
      </c>
      <c r="H315" s="191">
        <v>9</v>
      </c>
      <c r="I315" s="148" t="str">
        <f>TEXT(gastos[[#This Row],[Fecha]],"DDDD")</f>
        <v>viernes</v>
      </c>
      <c r="J315" s="249">
        <f t="shared" si="23"/>
        <v>45513</v>
      </c>
      <c r="K315" s="249"/>
      <c r="L315" s="147"/>
      <c r="M315" s="197">
        <v>0</v>
      </c>
      <c r="N315" s="197">
        <f>1843-182.45</f>
        <v>1660.55</v>
      </c>
      <c r="O315" s="198">
        <f t="shared" si="25"/>
        <v>1660.55</v>
      </c>
      <c r="P315" s="199">
        <v>182.46</v>
      </c>
      <c r="Q315" s="199">
        <v>0</v>
      </c>
      <c r="R315" s="199">
        <v>0</v>
      </c>
      <c r="S315">
        <v>0</v>
      </c>
      <c r="T315" s="200" t="str">
        <f>IFERROR(VLOOKUP($A315,Tabla3[#All],2,0),"no esta registrado")</f>
        <v>Grupo Ramos, S. A.//Super Pola//La Sirena</v>
      </c>
    </row>
    <row r="316" spans="1:20" ht="16.5" hidden="1" x14ac:dyDescent="0.3">
      <c r="A316" s="230" t="s">
        <v>511</v>
      </c>
      <c r="B316" s="193">
        <v>1</v>
      </c>
      <c r="C316" s="194">
        <v>2</v>
      </c>
      <c r="D316" s="195" t="str">
        <f>IF(C316=1,Leyenda!$C$3,IF(C316=2,Leyenda!$C$4,IF(C316=3,Leyenda!$C$5,IF(C316=4,Leyenda!$C$6,IF(C316=5,Leyenda!$C$7,IF(C316=6,Leyenda!$C$8,IF(C316=7,Leyenda!$C$9,IF(C316=8,Leyenda!$C$10," "))))))))&amp;IF(C316=9,Leyenda!$C$11,IF(C316=10,Leyenda!$C$12,IF(C316=11,Leyenda!$C$13,IF(C316=12,Leyenda!D373," "))))</f>
        <v xml:space="preserve">GASTOS POR TRABAJOS, SUMINISTROS Y SERVICIOS </v>
      </c>
      <c r="E316" s="196" t="s">
        <v>1518</v>
      </c>
      <c r="F316" s="247">
        <v>45517</v>
      </c>
      <c r="G316" s="247" t="str">
        <f t="shared" si="24"/>
        <v>agosto</v>
      </c>
      <c r="H316" s="191">
        <v>13</v>
      </c>
      <c r="I316" s="148" t="str">
        <f>TEXT(gastos[[#This Row],[Fecha]],"DDDD")</f>
        <v>martes</v>
      </c>
      <c r="J316" s="249">
        <f t="shared" si="23"/>
        <v>45517</v>
      </c>
      <c r="K316" s="249"/>
      <c r="L316" s="147"/>
      <c r="M316" s="197">
        <v>0</v>
      </c>
      <c r="N316" s="197">
        <f>917-59.03</f>
        <v>857.97</v>
      </c>
      <c r="O316" s="198">
        <f t="shared" si="25"/>
        <v>857.97</v>
      </c>
      <c r="P316" s="199">
        <v>59.03</v>
      </c>
      <c r="Q316" s="199">
        <v>0</v>
      </c>
      <c r="R316" s="199">
        <v>0</v>
      </c>
      <c r="S316">
        <v>0</v>
      </c>
      <c r="T316" s="200" t="str">
        <f>IFERROR(VLOOKUP($A316,Tabla3[#All],2,0),"no esta registrado")</f>
        <v>Bravo, S.A.//Supermercados Bravo</v>
      </c>
    </row>
    <row r="317" spans="1:20" ht="16.5" hidden="1" x14ac:dyDescent="0.3">
      <c r="A317" s="230" t="s">
        <v>507</v>
      </c>
      <c r="B317" s="193">
        <v>1</v>
      </c>
      <c r="C317" s="194">
        <v>2</v>
      </c>
      <c r="D317" s="195" t="str">
        <f>IF(C317=1,Leyenda!$C$3,IF(C317=2,Leyenda!$C$4,IF(C317=3,Leyenda!$C$5,IF(C317=4,Leyenda!$C$6,IF(C317=5,Leyenda!$C$7,IF(C317=6,Leyenda!$C$8,IF(C317=7,Leyenda!$C$9,IF(C317=8,Leyenda!$C$10," "))))))))&amp;IF(C317=9,Leyenda!$C$11,IF(C317=10,Leyenda!$C$12,IF(C317=11,Leyenda!$C$13,IF(C317=12,Leyenda!D374," "))))</f>
        <v xml:space="preserve">GASTOS POR TRABAJOS, SUMINISTROS Y SERVICIOS </v>
      </c>
      <c r="E317" s="196" t="s">
        <v>1519</v>
      </c>
      <c r="F317" s="247">
        <v>45517</v>
      </c>
      <c r="G317" s="247" t="str">
        <f t="shared" si="24"/>
        <v>agosto</v>
      </c>
      <c r="H317" s="191">
        <v>5</v>
      </c>
      <c r="I317" s="148" t="str">
        <f>TEXT(gastos[[#This Row],[Fecha]],"DDDD")</f>
        <v>lunes</v>
      </c>
      <c r="J317" s="249">
        <f t="shared" si="23"/>
        <v>45509</v>
      </c>
      <c r="K317" s="249"/>
      <c r="L317" s="147"/>
      <c r="M317" s="197">
        <v>0</v>
      </c>
      <c r="N317" s="197">
        <v>1670</v>
      </c>
      <c r="O317" s="198">
        <f t="shared" si="25"/>
        <v>1670</v>
      </c>
      <c r="P317" s="199">
        <v>0</v>
      </c>
      <c r="Q317" s="199">
        <v>0</v>
      </c>
      <c r="R317" s="199">
        <v>0</v>
      </c>
      <c r="S317">
        <v>0</v>
      </c>
      <c r="T317" s="200" t="str">
        <f>IFERROR(VLOOKUP($A317,Tabla3[#All],2,0),"no esta registrado")</f>
        <v>Grupo Ramos, S. A.//Super Pola//La Sirena</v>
      </c>
    </row>
    <row r="318" spans="1:20" ht="16.5" hidden="1" x14ac:dyDescent="0.3">
      <c r="A318" s="230" t="s">
        <v>507</v>
      </c>
      <c r="B318" s="193">
        <v>1</v>
      </c>
      <c r="C318" s="194">
        <v>2</v>
      </c>
      <c r="D318" s="195" t="str">
        <f>IF(C318=1,Leyenda!$C$3,IF(C318=2,Leyenda!$C$4,IF(C318=3,Leyenda!$C$5,IF(C318=4,Leyenda!$C$6,IF(C318=5,Leyenda!$C$7,IF(C318=6,Leyenda!$C$8,IF(C318=7,Leyenda!$C$9,IF(C318=8,Leyenda!$C$10," "))))))))&amp;IF(C318=9,Leyenda!$C$11,IF(C318=10,Leyenda!$C$12,IF(C318=11,Leyenda!$C$13,IF(C318=12,Leyenda!D375," "))))</f>
        <v xml:space="preserve">GASTOS POR TRABAJOS, SUMINISTROS Y SERVICIOS </v>
      </c>
      <c r="E318" s="196" t="s">
        <v>1520</v>
      </c>
      <c r="F318" s="247">
        <v>45517</v>
      </c>
      <c r="G318" s="247" t="str">
        <f t="shared" si="24"/>
        <v>agosto</v>
      </c>
      <c r="H318" s="191">
        <v>5</v>
      </c>
      <c r="I318" s="148" t="str">
        <f>TEXT(gastos[[#This Row],[Fecha]],"DDDD")</f>
        <v>lunes</v>
      </c>
      <c r="J318" s="249">
        <f t="shared" si="23"/>
        <v>45509</v>
      </c>
      <c r="K318" s="249"/>
      <c r="L318" s="147"/>
      <c r="M318" s="197">
        <v>0</v>
      </c>
      <c r="N318" s="197">
        <v>6072</v>
      </c>
      <c r="O318" s="198">
        <f t="shared" si="25"/>
        <v>6072</v>
      </c>
      <c r="P318" s="199">
        <v>0</v>
      </c>
      <c r="Q318" s="199">
        <v>0</v>
      </c>
      <c r="R318" s="199">
        <v>0</v>
      </c>
      <c r="S318">
        <v>0</v>
      </c>
      <c r="T318" s="200" t="str">
        <f>IFERROR(VLOOKUP($A318,Tabla3[#All],2,0),"no esta registrado")</f>
        <v>Grupo Ramos, S. A.//Super Pola//La Sirena</v>
      </c>
    </row>
    <row r="319" spans="1:20" ht="16.5" hidden="1" x14ac:dyDescent="0.3">
      <c r="A319" s="231" t="s">
        <v>507</v>
      </c>
      <c r="B319" s="193">
        <v>2</v>
      </c>
      <c r="C319" s="194">
        <v>2</v>
      </c>
      <c r="D319" s="195" t="str">
        <f>IF(C319=1,Leyenda!$C$3,IF(C319=2,Leyenda!$C$4,IF(C319=3,Leyenda!$C$5,IF(C319=4,Leyenda!$C$6,IF(C319=5,Leyenda!$C$7,IF(C319=6,Leyenda!$C$8,IF(C319=7,Leyenda!$C$9,IF(C319=8,Leyenda!$C$10," "))))))))&amp;IF(C319=9,Leyenda!$C$11,IF(C319=10,Leyenda!$C$12,IF(C319=11,Leyenda!$C$13,IF(C319=12,Leyenda!D376," "))))</f>
        <v xml:space="preserve">GASTOS POR TRABAJOS, SUMINISTROS Y SERVICIOS </v>
      </c>
      <c r="E319" s="202" t="s">
        <v>1521</v>
      </c>
      <c r="F319" s="247">
        <v>45517</v>
      </c>
      <c r="G319" s="247" t="str">
        <f t="shared" si="24"/>
        <v>agosto</v>
      </c>
      <c r="H319" s="203">
        <v>5</v>
      </c>
      <c r="I319" s="250" t="str">
        <f>TEXT(gastos[[#This Row],[Fecha]],"DDDD")</f>
        <v>lunes</v>
      </c>
      <c r="J319" s="249">
        <f t="shared" si="23"/>
        <v>45509</v>
      </c>
      <c r="K319" s="249"/>
      <c r="L319" s="147"/>
      <c r="M319" s="197">
        <v>0</v>
      </c>
      <c r="N319" s="197">
        <v>5575</v>
      </c>
      <c r="O319" s="198">
        <f t="shared" si="25"/>
        <v>5575</v>
      </c>
      <c r="P319" s="199">
        <v>0</v>
      </c>
      <c r="Q319" s="199">
        <v>0</v>
      </c>
      <c r="R319" s="199">
        <v>0</v>
      </c>
      <c r="S319">
        <v>0</v>
      </c>
      <c r="T319" s="200" t="str">
        <f>IFERROR(VLOOKUP($A319,Tabla3[#All],2,0),"no esta registrado")</f>
        <v>Grupo Ramos, S. A.//Super Pola//La Sirena</v>
      </c>
    </row>
    <row r="320" spans="1:20" ht="16.5" hidden="1" x14ac:dyDescent="0.3">
      <c r="A320" s="230" t="s">
        <v>507</v>
      </c>
      <c r="B320" s="193">
        <v>1</v>
      </c>
      <c r="C320" s="194">
        <v>2</v>
      </c>
      <c r="D320" s="195" t="str">
        <f>IF(C320=1,Leyenda!$C$3,IF(C320=2,Leyenda!$C$4,IF(C320=3,Leyenda!$C$5,IF(C320=4,Leyenda!$C$6,IF(C320=5,Leyenda!$C$7,IF(C320=6,Leyenda!$C$8,IF(C320=7,Leyenda!$C$9,IF(C320=8,Leyenda!$C$10," "))))))))&amp;IF(C320=9,Leyenda!$C$11,IF(C320=10,Leyenda!$C$12,IF(C320=11,Leyenda!$C$13,IF(C320=12,Leyenda!D377," "))))</f>
        <v xml:space="preserve">GASTOS POR TRABAJOS, SUMINISTROS Y SERVICIOS </v>
      </c>
      <c r="E320" s="196" t="s">
        <v>1522</v>
      </c>
      <c r="F320" s="247">
        <v>45517</v>
      </c>
      <c r="G320" s="247" t="str">
        <f t="shared" si="24"/>
        <v>agosto</v>
      </c>
      <c r="H320" s="191">
        <v>5</v>
      </c>
      <c r="I320" s="148" t="str">
        <f>TEXT(gastos[[#This Row],[Fecha]],"DDDD")</f>
        <v>lunes</v>
      </c>
      <c r="J320" s="249">
        <f t="shared" si="23"/>
        <v>45509</v>
      </c>
      <c r="K320" s="249"/>
      <c r="L320" s="147"/>
      <c r="M320" s="197">
        <v>0</v>
      </c>
      <c r="N320" s="197">
        <f>3694-297.28</f>
        <v>3396.7200000000003</v>
      </c>
      <c r="O320" s="198">
        <f t="shared" si="25"/>
        <v>3396.7200000000003</v>
      </c>
      <c r="P320" s="199">
        <v>297.27999999999997</v>
      </c>
      <c r="Q320" s="199">
        <v>0</v>
      </c>
      <c r="R320" s="199">
        <v>0</v>
      </c>
      <c r="S320">
        <v>0</v>
      </c>
      <c r="T320" s="200" t="str">
        <f>IFERROR(VLOOKUP($A320,Tabla3[#All],2,0),"no esta registrado")</f>
        <v>Grupo Ramos, S. A.//Super Pola//La Sirena</v>
      </c>
    </row>
    <row r="321" spans="1:20" ht="16.5" hidden="1" x14ac:dyDescent="0.3">
      <c r="A321" s="230" t="s">
        <v>1303</v>
      </c>
      <c r="B321" s="193">
        <v>1</v>
      </c>
      <c r="C321" s="194">
        <v>2</v>
      </c>
      <c r="D321" s="195" t="str">
        <f>IF(C321=1,Leyenda!$C$3,IF(C321=2,Leyenda!$C$4,IF(C321=3,Leyenda!$C$5,IF(C321=4,Leyenda!$C$6,IF(C321=5,Leyenda!$C$7,IF(C321=6,Leyenda!$C$8,IF(C321=7,Leyenda!$C$9,IF(C321=8,Leyenda!$C$10," "))))))))&amp;IF(C321=9,Leyenda!$C$11,IF(C321=10,Leyenda!$C$12,IF(C321=11,Leyenda!$C$13,IF(C321=12,Leyenda!D378," "))))</f>
        <v xml:space="preserve">GASTOS POR TRABAJOS, SUMINISTROS Y SERVICIOS </v>
      </c>
      <c r="E321" s="196" t="s">
        <v>1523</v>
      </c>
      <c r="F321" s="247">
        <v>45517</v>
      </c>
      <c r="G321" s="247" t="str">
        <f t="shared" si="24"/>
        <v>agosto</v>
      </c>
      <c r="H321" s="191">
        <v>17</v>
      </c>
      <c r="I321" s="148" t="str">
        <f>TEXT(gastos[[#This Row],[Fecha]],"DDDD")</f>
        <v>sábado</v>
      </c>
      <c r="J321" s="249">
        <f t="shared" si="23"/>
        <v>45521</v>
      </c>
      <c r="K321" s="249"/>
      <c r="L321" s="147"/>
      <c r="M321" s="197">
        <v>0</v>
      </c>
      <c r="N321" s="197">
        <f>2342.9-300.87</f>
        <v>2042.0300000000002</v>
      </c>
      <c r="O321" s="198">
        <f t="shared" si="25"/>
        <v>2042.0300000000002</v>
      </c>
      <c r="P321" s="199">
        <v>300.87</v>
      </c>
      <c r="Q321" s="199">
        <v>0</v>
      </c>
      <c r="R321" s="199">
        <v>0</v>
      </c>
      <c r="S321">
        <v>0</v>
      </c>
      <c r="T321" s="200" t="str">
        <f>IFERROR(VLOOKUP($A321,Tabla3[#All],2,0),"no esta registrado")</f>
        <v>no esta registrado</v>
      </c>
    </row>
    <row r="322" spans="1:20" ht="16.5" hidden="1" x14ac:dyDescent="0.3">
      <c r="A322" s="230" t="s">
        <v>511</v>
      </c>
      <c r="B322" s="193">
        <v>1</v>
      </c>
      <c r="C322" s="194">
        <v>2</v>
      </c>
      <c r="D322" s="195" t="str">
        <f>IF(C322=1,Leyenda!$C$3,IF(C322=2,Leyenda!$C$4,IF(C322=3,Leyenda!$C$5,IF(C322=4,Leyenda!$C$6,IF(C322=5,Leyenda!$C$7,IF(C322=6,Leyenda!$C$8,IF(C322=7,Leyenda!$C$9,IF(C322=8,Leyenda!$C$10," "))))))))&amp;IF(C322=9,Leyenda!$C$11,IF(C322=10,Leyenda!$C$12,IF(C322=11,Leyenda!$C$13,IF(C322=12,Leyenda!D379," "))))</f>
        <v xml:space="preserve">GASTOS POR TRABAJOS, SUMINISTROS Y SERVICIOS </v>
      </c>
      <c r="E322" s="196" t="s">
        <v>1524</v>
      </c>
      <c r="F322" s="247">
        <v>45517</v>
      </c>
      <c r="G322" s="247" t="str">
        <f t="shared" si="24"/>
        <v>agosto</v>
      </c>
      <c r="H322" s="191">
        <v>24</v>
      </c>
      <c r="I322" s="148" t="str">
        <f>TEXT(gastos[[#This Row],[Fecha]],"DDDD")</f>
        <v>sábado</v>
      </c>
      <c r="J322" s="249">
        <f t="shared" si="23"/>
        <v>45528</v>
      </c>
      <c r="K322" s="249"/>
      <c r="L322" s="147"/>
      <c r="M322" s="197">
        <v>0</v>
      </c>
      <c r="N322" s="197">
        <f>1591-122.79</f>
        <v>1468.21</v>
      </c>
      <c r="O322" s="198">
        <f t="shared" si="25"/>
        <v>1468.21</v>
      </c>
      <c r="P322" s="199">
        <v>122.79</v>
      </c>
      <c r="Q322" s="199">
        <v>0</v>
      </c>
      <c r="R322" s="199">
        <v>0</v>
      </c>
      <c r="S322">
        <v>0</v>
      </c>
      <c r="T322" s="200" t="str">
        <f>IFERROR(VLOOKUP($A322,Tabla3[#All],2,0),"no esta registrado")</f>
        <v>Bravo, S.A.//Supermercados Bravo</v>
      </c>
    </row>
    <row r="323" spans="1:20" ht="16.5" hidden="1" x14ac:dyDescent="0.3">
      <c r="A323" s="230" t="s">
        <v>507</v>
      </c>
      <c r="B323" s="193">
        <v>1</v>
      </c>
      <c r="C323" s="194">
        <v>2</v>
      </c>
      <c r="D323" s="195" t="str">
        <f>IF(C323=1,Leyenda!$C$3,IF(C323=2,Leyenda!$C$4,IF(C323=3,Leyenda!$C$5,IF(C323=4,Leyenda!$C$6,IF(C323=5,Leyenda!$C$7,IF(C323=6,Leyenda!$C$8,IF(C323=7,Leyenda!$C$9,IF(C323=8,Leyenda!$C$10," "))))))))&amp;IF(C323=9,Leyenda!$C$11,IF(C323=10,Leyenda!$C$12,IF(C323=11,Leyenda!$C$13,IF(C323=12,Leyenda!D380," "))))</f>
        <v xml:space="preserve">GASTOS POR TRABAJOS, SUMINISTROS Y SERVICIOS </v>
      </c>
      <c r="E323" s="196" t="s">
        <v>1525</v>
      </c>
      <c r="F323" s="247">
        <v>45517</v>
      </c>
      <c r="G323" s="247" t="str">
        <f t="shared" si="24"/>
        <v>agosto</v>
      </c>
      <c r="H323" s="191">
        <v>24</v>
      </c>
      <c r="I323" s="148" t="str">
        <f>TEXT(gastos[[#This Row],[Fecha]],"DDDD")</f>
        <v>sábado</v>
      </c>
      <c r="J323" s="249">
        <f t="shared" si="23"/>
        <v>45528</v>
      </c>
      <c r="K323" s="249"/>
      <c r="L323" s="147"/>
      <c r="M323" s="197">
        <v>0</v>
      </c>
      <c r="N323" s="205">
        <f>2623-361.43</f>
        <v>2261.5700000000002</v>
      </c>
      <c r="O323" s="198">
        <f t="shared" si="25"/>
        <v>2261.5700000000002</v>
      </c>
      <c r="P323" s="199">
        <v>361.43</v>
      </c>
      <c r="Q323" s="199">
        <v>0</v>
      </c>
      <c r="R323" s="199">
        <v>0</v>
      </c>
      <c r="S323">
        <v>0</v>
      </c>
      <c r="T323" s="200" t="str">
        <f>IFERROR(VLOOKUP($A323,Tabla3[#All],2,0),"no esta registrado")</f>
        <v>Grupo Ramos, S. A.//Super Pola//La Sirena</v>
      </c>
    </row>
    <row r="324" spans="1:20" ht="16.5" hidden="1" x14ac:dyDescent="0.3">
      <c r="A324" s="230" t="s">
        <v>925</v>
      </c>
      <c r="B324" s="193">
        <v>1</v>
      </c>
      <c r="C324" s="194">
        <v>2</v>
      </c>
      <c r="D324" s="195" t="str">
        <f>IF(C324=1,Leyenda!$C$3,IF(C324=2,Leyenda!$C$4,IF(C324=3,Leyenda!$C$5,IF(C324=4,Leyenda!$C$6,IF(C324=5,Leyenda!$C$7,IF(C324=6,Leyenda!$C$8,IF(C324=7,Leyenda!$C$9,IF(C324=8,Leyenda!$C$10," "))))))))&amp;IF(C324=9,Leyenda!$C$11,IF(C324=10,Leyenda!$C$12,IF(C324=11,Leyenda!$C$13,IF(C324=12,Leyenda!D381," "))))</f>
        <v xml:space="preserve">GASTOS POR TRABAJOS, SUMINISTROS Y SERVICIOS </v>
      </c>
      <c r="E324" s="196" t="s">
        <v>1526</v>
      </c>
      <c r="F324" s="247">
        <v>45517</v>
      </c>
      <c r="G324" s="247" t="str">
        <f t="shared" si="24"/>
        <v>agosto</v>
      </c>
      <c r="H324" s="191">
        <v>21</v>
      </c>
      <c r="I324" s="148" t="str">
        <f>TEXT(gastos[[#This Row],[Fecha]],"DDDD")</f>
        <v>miércoles</v>
      </c>
      <c r="J324" s="249">
        <f t="shared" si="23"/>
        <v>45525</v>
      </c>
      <c r="K324" s="249"/>
      <c r="L324" s="147"/>
      <c r="M324" s="197">
        <v>0</v>
      </c>
      <c r="N324" s="205">
        <v>773.44</v>
      </c>
      <c r="O324" s="198">
        <f t="shared" si="25"/>
        <v>773.44</v>
      </c>
      <c r="P324" s="199">
        <v>139.22</v>
      </c>
      <c r="Q324" s="199">
        <v>0</v>
      </c>
      <c r="R324" s="199">
        <v>77.34</v>
      </c>
      <c r="S324">
        <v>0</v>
      </c>
      <c r="T324" s="200" t="str">
        <f>IFERROR(VLOOKUP($A324,Tabla3[#All],2,0),"no esta registrado")</f>
        <v>Jade Teriyaki, S.A.</v>
      </c>
    </row>
    <row r="325" spans="1:20" ht="16.5" hidden="1" x14ac:dyDescent="0.3">
      <c r="A325" s="230" t="s">
        <v>507</v>
      </c>
      <c r="B325" s="193">
        <v>1</v>
      </c>
      <c r="C325" s="194">
        <v>2</v>
      </c>
      <c r="D325" s="195" t="str">
        <f>IF(C325=1,Leyenda!$C$3,IF(C325=2,Leyenda!$C$4,IF(C325=3,Leyenda!$C$5,IF(C325=4,Leyenda!$C$6,IF(C325=5,Leyenda!$C$7,IF(C325=6,Leyenda!$C$8,IF(C325=7,Leyenda!$C$9,IF(C325=8,Leyenda!$C$10," "))))))))&amp;IF(C325=9,Leyenda!$C$11,IF(C325=10,Leyenda!$C$12,IF(C325=11,Leyenda!$C$13,IF(C325=12,Leyenda!D382," "))))</f>
        <v xml:space="preserve">GASTOS POR TRABAJOS, SUMINISTROS Y SERVICIOS </v>
      </c>
      <c r="E325" s="202" t="s">
        <v>1527</v>
      </c>
      <c r="F325" s="247">
        <v>45517</v>
      </c>
      <c r="G325" s="247" t="str">
        <f t="shared" si="24"/>
        <v>agosto</v>
      </c>
      <c r="H325" s="191">
        <v>31</v>
      </c>
      <c r="I325" s="148" t="str">
        <f>TEXT(gastos[[#This Row],[Fecha]],"DDDD")</f>
        <v>sábado</v>
      </c>
      <c r="J325" s="249">
        <f t="shared" si="23"/>
        <v>45535</v>
      </c>
      <c r="K325" s="249"/>
      <c r="L325" s="147"/>
      <c r="M325" s="197">
        <v>0</v>
      </c>
      <c r="N325" s="205">
        <v>1492</v>
      </c>
      <c r="O325" s="198">
        <f t="shared" si="25"/>
        <v>1492</v>
      </c>
      <c r="P325" s="199">
        <v>0</v>
      </c>
      <c r="Q325" s="199">
        <v>0</v>
      </c>
      <c r="R325" s="199">
        <v>0</v>
      </c>
      <c r="S325">
        <v>0</v>
      </c>
      <c r="T325" s="200" t="str">
        <f>IFERROR(VLOOKUP($A325,Tabla3[#All],2,0),"no esta registrado")</f>
        <v>Grupo Ramos, S. A.//Super Pola//La Sirena</v>
      </c>
    </row>
    <row r="326" spans="1:20" ht="16.5" hidden="1" x14ac:dyDescent="0.3">
      <c r="A326" s="231" t="s">
        <v>507</v>
      </c>
      <c r="B326" s="193">
        <v>1</v>
      </c>
      <c r="C326" s="194">
        <v>2</v>
      </c>
      <c r="D326" s="195" t="str">
        <f>IF(C326=1,Leyenda!$C$3,IF(C326=2,Leyenda!$C$4,IF(C326=3,Leyenda!$C$5,IF(C326=4,Leyenda!$C$6,IF(C326=5,Leyenda!$C$7,IF(C326=6,Leyenda!$C$8,IF(C326=7,Leyenda!$C$9,IF(C326=8,Leyenda!$C$10," "))))))))&amp;IF(C326=9,Leyenda!$C$11,IF(C326=10,Leyenda!$C$12,IF(C326=11,Leyenda!$C$13,IF(C326=12,Leyenda!D383," "))))</f>
        <v xml:space="preserve">GASTOS POR TRABAJOS, SUMINISTROS Y SERVICIOS </v>
      </c>
      <c r="E326" s="202" t="s">
        <v>1528</v>
      </c>
      <c r="F326" s="247">
        <v>45517</v>
      </c>
      <c r="G326" s="247" t="str">
        <f t="shared" si="24"/>
        <v>agosto</v>
      </c>
      <c r="H326" s="191">
        <v>31</v>
      </c>
      <c r="I326" s="148" t="str">
        <f>TEXT(gastos[[#This Row],[Fecha]],"DDDD")</f>
        <v>sábado</v>
      </c>
      <c r="J326" s="249">
        <f t="shared" si="23"/>
        <v>45535</v>
      </c>
      <c r="K326" s="249"/>
      <c r="L326" s="147"/>
      <c r="M326" s="197">
        <v>0</v>
      </c>
      <c r="N326" s="205">
        <v>2952</v>
      </c>
      <c r="O326" s="198">
        <f t="shared" si="25"/>
        <v>2952</v>
      </c>
      <c r="P326" s="199">
        <v>0</v>
      </c>
      <c r="Q326" s="199">
        <v>0</v>
      </c>
      <c r="R326" s="199">
        <v>0</v>
      </c>
      <c r="S326">
        <v>0</v>
      </c>
      <c r="T326" s="200" t="str">
        <f>IFERROR(VLOOKUP($A326,Tabla3[#All],2,0),"no esta registrado")</f>
        <v>Grupo Ramos, S. A.//Super Pola//La Sirena</v>
      </c>
    </row>
    <row r="327" spans="1:20" ht="16.5" hidden="1" x14ac:dyDescent="0.3">
      <c r="A327" s="231" t="s">
        <v>507</v>
      </c>
      <c r="B327" s="193">
        <v>1</v>
      </c>
      <c r="C327" s="194">
        <v>2</v>
      </c>
      <c r="D327" s="195" t="str">
        <f>IF(C327=1,Leyenda!$C$3,IF(C327=2,Leyenda!$C$4,IF(C327=3,Leyenda!$C$5,IF(C327=4,Leyenda!$C$6,IF(C327=5,Leyenda!$C$7,IF(C327=6,Leyenda!$C$8,IF(C327=7,Leyenda!$C$9,IF(C327=8,Leyenda!$C$10," "))))))))&amp;IF(C327=9,Leyenda!$C$11,IF(C327=10,Leyenda!$C$12,IF(C327=11,Leyenda!$C$13,IF(C327=12,Leyenda!D384," "))))</f>
        <v xml:space="preserve">GASTOS POR TRABAJOS, SUMINISTROS Y SERVICIOS </v>
      </c>
      <c r="E327" s="202" t="s">
        <v>1529</v>
      </c>
      <c r="F327" s="247">
        <v>45517</v>
      </c>
      <c r="G327" s="247" t="str">
        <f t="shared" si="24"/>
        <v>agosto</v>
      </c>
      <c r="H327" s="191">
        <v>31</v>
      </c>
      <c r="I327" s="148" t="str">
        <f>TEXT(gastos[[#This Row],[Fecha]],"DDDD")</f>
        <v>sábado</v>
      </c>
      <c r="J327" s="249">
        <f t="shared" si="23"/>
        <v>45535</v>
      </c>
      <c r="K327" s="249"/>
      <c r="L327" s="147"/>
      <c r="M327" s="197">
        <v>0</v>
      </c>
      <c r="N327" s="205">
        <v>1725</v>
      </c>
      <c r="O327" s="198">
        <f t="shared" si="25"/>
        <v>1725</v>
      </c>
      <c r="P327" s="199">
        <v>0</v>
      </c>
      <c r="Q327" s="199">
        <v>0</v>
      </c>
      <c r="R327" s="199">
        <v>0</v>
      </c>
      <c r="S327">
        <v>0</v>
      </c>
      <c r="T327" s="200" t="str">
        <f>IFERROR(VLOOKUP($A327,Tabla3[#All],2,0),"no esta registrado")</f>
        <v>Grupo Ramos, S. A.//Super Pola//La Sirena</v>
      </c>
    </row>
    <row r="328" spans="1:20" ht="16.5" hidden="1" x14ac:dyDescent="0.3">
      <c r="A328" s="231" t="s">
        <v>685</v>
      </c>
      <c r="B328" s="193">
        <v>1</v>
      </c>
      <c r="C328" s="194">
        <v>2</v>
      </c>
      <c r="D328" s="195" t="str">
        <f>IF(C328=1,Leyenda!$C$3,IF(C328=2,Leyenda!$C$4,IF(C328=3,Leyenda!$C$5,IF(C328=4,Leyenda!$C$6,IF(C328=5,Leyenda!$C$7,IF(C328=6,Leyenda!$C$8,IF(C328=7,Leyenda!$C$9,IF(C328=8,Leyenda!$C$10," "))))))))&amp;IF(C328=9,Leyenda!$C$11,IF(C328=10,Leyenda!$C$12,IF(C328=11,Leyenda!$C$13,IF(C328=12,Leyenda!D385," "))))</f>
        <v xml:space="preserve">GASTOS POR TRABAJOS, SUMINISTROS Y SERVICIOS </v>
      </c>
      <c r="E328" s="202" t="s">
        <v>1530</v>
      </c>
      <c r="F328" s="247">
        <v>45517</v>
      </c>
      <c r="G328" s="247" t="str">
        <f t="shared" si="24"/>
        <v>agosto</v>
      </c>
      <c r="H328" s="191">
        <v>30</v>
      </c>
      <c r="I328" s="148" t="str">
        <f>TEXT(gastos[[#This Row],[Fecha]],"DDDD")</f>
        <v>viernes</v>
      </c>
      <c r="J328" s="249">
        <f t="shared" ref="J328:J391" si="26">DATE(YEAR(F328),MONTH(F328),H328)</f>
        <v>45534</v>
      </c>
      <c r="K328" s="249"/>
      <c r="L328" s="147"/>
      <c r="M328" s="197">
        <v>0</v>
      </c>
      <c r="N328" s="205">
        <v>3360.17</v>
      </c>
      <c r="O328" s="198">
        <f t="shared" si="25"/>
        <v>3360.17</v>
      </c>
      <c r="P328" s="199">
        <v>604.83000000000004</v>
      </c>
      <c r="Q328" s="199">
        <v>0</v>
      </c>
      <c r="R328" s="199">
        <v>0</v>
      </c>
      <c r="S328">
        <v>0</v>
      </c>
      <c r="T328" s="200" t="str">
        <f>IFERROR(VLOOKUP($A328,Tabla3[#All],2,0),"no esta registrado")</f>
        <v>Payless Shoesource</v>
      </c>
    </row>
    <row r="329" spans="1:20" ht="16.5" hidden="1" x14ac:dyDescent="0.3">
      <c r="A329" s="231" t="s">
        <v>511</v>
      </c>
      <c r="B329" s="193">
        <v>1</v>
      </c>
      <c r="C329" s="194">
        <v>2</v>
      </c>
      <c r="D329" s="195" t="str">
        <f>IF(C329=1,Leyenda!$C$3,IF(C329=2,Leyenda!$C$4,IF(C329=3,Leyenda!$C$5,IF(C329=4,Leyenda!$C$6,IF(C329=5,Leyenda!$C$7,IF(C329=6,Leyenda!$C$8,IF(C329=7,Leyenda!$C$9,IF(C329=8,Leyenda!$C$10," "))))))))&amp;IF(C329=9,Leyenda!$C$11,IF(C329=10,Leyenda!$C$12,IF(C329=11,Leyenda!$C$13,IF(C329=12,Leyenda!D386," "))))</f>
        <v xml:space="preserve">GASTOS POR TRABAJOS, SUMINISTROS Y SERVICIOS </v>
      </c>
      <c r="E329" s="202" t="s">
        <v>1531</v>
      </c>
      <c r="F329" s="247">
        <v>45517</v>
      </c>
      <c r="G329" s="247" t="str">
        <f t="shared" si="24"/>
        <v>agosto</v>
      </c>
      <c r="H329" s="191">
        <v>30</v>
      </c>
      <c r="I329" s="148" t="str">
        <f>TEXT(gastos[[#This Row],[Fecha]],"DDDD")</f>
        <v>viernes</v>
      </c>
      <c r="J329" s="249">
        <f t="shared" si="26"/>
        <v>45534</v>
      </c>
      <c r="K329" s="249"/>
      <c r="L329" s="147"/>
      <c r="M329" s="197">
        <v>0</v>
      </c>
      <c r="N329" s="205">
        <f>12996-1130.15</f>
        <v>11865.85</v>
      </c>
      <c r="O329" s="198">
        <f t="shared" si="25"/>
        <v>11865.85</v>
      </c>
      <c r="P329" s="197">
        <v>1130.1500000000001</v>
      </c>
      <c r="Q329">
        <v>0</v>
      </c>
      <c r="R329" s="199">
        <v>0</v>
      </c>
      <c r="S329">
        <v>0</v>
      </c>
      <c r="T329" s="200" t="str">
        <f>IFERROR(VLOOKUP($A329,Tabla3[#All],2,0),"no esta registrado")</f>
        <v>Bravo, S.A.//Supermercados Bravo</v>
      </c>
    </row>
    <row r="330" spans="1:20" ht="16.5" hidden="1" x14ac:dyDescent="0.3">
      <c r="A330" s="230" t="s">
        <v>1114</v>
      </c>
      <c r="B330" s="193">
        <v>1</v>
      </c>
      <c r="C330" s="194">
        <v>2</v>
      </c>
      <c r="D330" s="195" t="str">
        <f>IF(C330=1,Leyenda!$C$3,IF(C330=2,Leyenda!$C$4,IF(C330=3,Leyenda!$C$5,IF(C330=4,Leyenda!$C$6,IF(C330=5,Leyenda!$C$7,IF(C330=6,Leyenda!$C$8,IF(C330=7,Leyenda!$C$9,IF(C330=8,Leyenda!$C$10," "))))))))&amp;IF(C330=9,Leyenda!$C$11,IF(C330=10,Leyenda!$C$12,IF(C330=11,Leyenda!$C$13,IF(C330=12,Leyenda!D387," "))))</f>
        <v xml:space="preserve">GASTOS POR TRABAJOS, SUMINISTROS Y SERVICIOS </v>
      </c>
      <c r="E330" s="202" t="s">
        <v>1532</v>
      </c>
      <c r="F330" s="247">
        <v>45517</v>
      </c>
      <c r="G330" s="247" t="str">
        <f t="shared" si="24"/>
        <v>agosto</v>
      </c>
      <c r="H330" s="191">
        <v>2</v>
      </c>
      <c r="I330" s="148" t="str">
        <f>TEXT(gastos[[#This Row],[Fecha]],"DDDD")</f>
        <v>viernes</v>
      </c>
      <c r="J330" s="249">
        <f t="shared" si="26"/>
        <v>45506</v>
      </c>
      <c r="K330" s="249"/>
      <c r="L330" s="147"/>
      <c r="M330" s="197">
        <v>2606</v>
      </c>
      <c r="N330" s="197">
        <v>0</v>
      </c>
      <c r="O330" s="198">
        <f t="shared" si="25"/>
        <v>2606</v>
      </c>
      <c r="P330" s="197">
        <v>0</v>
      </c>
      <c r="Q330">
        <v>0</v>
      </c>
      <c r="R330" s="199">
        <v>0</v>
      </c>
      <c r="S330">
        <v>0</v>
      </c>
      <c r="T330" s="200" t="str">
        <f>IFERROR(VLOOKUP($A330,Tabla3[#All],2,0),"no esta registrado")</f>
        <v>ACADEMIA EUROPEA</v>
      </c>
    </row>
    <row r="331" spans="1:20" ht="16.5" hidden="1" x14ac:dyDescent="0.3">
      <c r="A331" s="230" t="s">
        <v>1114</v>
      </c>
      <c r="B331" s="193">
        <v>1</v>
      </c>
      <c r="C331" s="194">
        <v>2</v>
      </c>
      <c r="D331" s="195" t="str">
        <f>IF(C331=1,Leyenda!$C$3,IF(C331=2,Leyenda!$C$4,IF(C331=3,Leyenda!$C$5,IF(C331=4,Leyenda!$C$6,IF(C331=5,Leyenda!$C$7,IF(C331=6,Leyenda!$C$8,IF(C331=7,Leyenda!$C$9,IF(C331=8,Leyenda!$C$10," "))))))))&amp;IF(C331=9,Leyenda!$C$11,IF(C331=10,Leyenda!$C$12,IF(C331=11,Leyenda!$C$13,IF(C331=12,Leyenda!D388," "))))</f>
        <v xml:space="preserve">GASTOS POR TRABAJOS, SUMINISTROS Y SERVICIOS </v>
      </c>
      <c r="E331" s="202" t="s">
        <v>1533</v>
      </c>
      <c r="F331" s="247">
        <v>45517</v>
      </c>
      <c r="G331" s="247" t="str">
        <f t="shared" si="24"/>
        <v>agosto</v>
      </c>
      <c r="H331" s="191">
        <v>2</v>
      </c>
      <c r="I331" s="148" t="str">
        <f>TEXT(gastos[[#This Row],[Fecha]],"DDDD")</f>
        <v>viernes</v>
      </c>
      <c r="J331" s="249">
        <f t="shared" si="26"/>
        <v>45506</v>
      </c>
      <c r="K331" s="249"/>
      <c r="L331" s="147"/>
      <c r="M331" s="197">
        <v>2876</v>
      </c>
      <c r="N331" s="197">
        <v>0</v>
      </c>
      <c r="O331" s="198">
        <f t="shared" si="25"/>
        <v>2876</v>
      </c>
      <c r="P331" s="197">
        <v>0</v>
      </c>
      <c r="Q331">
        <v>0</v>
      </c>
      <c r="R331" s="199">
        <v>0</v>
      </c>
      <c r="S331">
        <v>0</v>
      </c>
      <c r="T331" s="200" t="str">
        <f>IFERROR(VLOOKUP($A331,Tabla3[#All],2,0),"no esta registrado")</f>
        <v>ACADEMIA EUROPEA</v>
      </c>
    </row>
    <row r="332" spans="1:20" ht="16.5" hidden="1" x14ac:dyDescent="0.3">
      <c r="A332" s="230" t="s">
        <v>1114</v>
      </c>
      <c r="B332" s="193">
        <v>1</v>
      </c>
      <c r="C332" s="194">
        <v>2</v>
      </c>
      <c r="D332" s="195" t="str">
        <f>IF(C332=1,Leyenda!$C$3,IF(C332=2,Leyenda!$C$4,IF(C332=3,Leyenda!$C$5,IF(C332=4,Leyenda!$C$6,IF(C332=5,Leyenda!$C$7,IF(C332=6,Leyenda!$C$8,IF(C332=7,Leyenda!$C$9,IF(C332=8,Leyenda!$C$10," "))))))))&amp;IF(C332=9,Leyenda!$C$11,IF(C332=10,Leyenda!$C$12,IF(C332=11,Leyenda!$C$13,IF(C332=12,Leyenda!D389," "))))</f>
        <v xml:space="preserve">GASTOS POR TRABAJOS, SUMINISTROS Y SERVICIOS </v>
      </c>
      <c r="E332" s="202" t="s">
        <v>1534</v>
      </c>
      <c r="F332" s="247">
        <v>45517</v>
      </c>
      <c r="G332" s="247" t="str">
        <f t="shared" si="24"/>
        <v>agosto</v>
      </c>
      <c r="H332" s="191">
        <v>30</v>
      </c>
      <c r="I332" s="148" t="str">
        <f>TEXT(gastos[[#This Row],[Fecha]],"DDDD")</f>
        <v>viernes</v>
      </c>
      <c r="J332" s="249">
        <f t="shared" si="26"/>
        <v>45534</v>
      </c>
      <c r="K332" s="249"/>
      <c r="L332" s="147"/>
      <c r="M332" s="197">
        <v>3190</v>
      </c>
      <c r="N332" s="197">
        <v>0</v>
      </c>
      <c r="O332" s="198">
        <f t="shared" si="25"/>
        <v>3190</v>
      </c>
      <c r="P332" s="197">
        <v>0</v>
      </c>
      <c r="Q332">
        <v>0</v>
      </c>
      <c r="R332" s="199">
        <v>0</v>
      </c>
      <c r="S332">
        <v>0</v>
      </c>
      <c r="T332" s="200" t="str">
        <f>IFERROR(VLOOKUP($A332,Tabla3[#All],2,0),"no esta registrado")</f>
        <v>ACADEMIA EUROPEA</v>
      </c>
    </row>
    <row r="333" spans="1:20" ht="16.5" hidden="1" x14ac:dyDescent="0.3">
      <c r="A333" s="230" t="s">
        <v>1114</v>
      </c>
      <c r="B333" s="193">
        <v>1</v>
      </c>
      <c r="C333" s="194">
        <v>2</v>
      </c>
      <c r="D333" s="195" t="str">
        <f>IF(C333=1,Leyenda!$C$3,IF(C333=2,Leyenda!$C$4,IF(C333=3,Leyenda!$C$5,IF(C333=4,Leyenda!$C$6,IF(C333=5,Leyenda!$C$7,IF(C333=6,Leyenda!$C$8,IF(C333=7,Leyenda!$C$9,IF(C333=8,Leyenda!$C$10," "))))))))&amp;IF(C333=9,Leyenda!$C$11,IF(C333=10,Leyenda!$C$12,IF(C333=11,Leyenda!$C$13,IF(C333=12,Leyenda!D390," "))))</f>
        <v xml:space="preserve">GASTOS POR TRABAJOS, SUMINISTROS Y SERVICIOS </v>
      </c>
      <c r="E333" s="202" t="s">
        <v>1535</v>
      </c>
      <c r="F333" s="247">
        <v>45517</v>
      </c>
      <c r="G333" s="247" t="str">
        <f t="shared" si="24"/>
        <v>agosto</v>
      </c>
      <c r="H333" s="191">
        <v>30</v>
      </c>
      <c r="I333" s="148" t="str">
        <f>TEXT(gastos[[#This Row],[Fecha]],"DDDD")</f>
        <v>viernes</v>
      </c>
      <c r="J333" s="249">
        <f t="shared" si="26"/>
        <v>45534</v>
      </c>
      <c r="K333" s="249"/>
      <c r="L333" s="147"/>
      <c r="M333" s="197">
        <v>2876</v>
      </c>
      <c r="N333" s="197">
        <v>0</v>
      </c>
      <c r="O333" s="198">
        <f t="shared" si="25"/>
        <v>2876</v>
      </c>
      <c r="P333" s="197">
        <v>0</v>
      </c>
      <c r="Q333">
        <v>0</v>
      </c>
      <c r="R333" s="199">
        <v>0</v>
      </c>
      <c r="S333">
        <v>0</v>
      </c>
      <c r="T333" s="200" t="str">
        <f>IFERROR(VLOOKUP($A333,Tabla3[#All],2,0),"no esta registrado")</f>
        <v>ACADEMIA EUROPEA</v>
      </c>
    </row>
    <row r="334" spans="1:20" ht="16.5" hidden="1" x14ac:dyDescent="0.3">
      <c r="A334" s="230" t="s">
        <v>1114</v>
      </c>
      <c r="B334" s="193">
        <v>1</v>
      </c>
      <c r="C334" s="194">
        <v>2</v>
      </c>
      <c r="D334" s="195" t="str">
        <f>IF(C334=1,Leyenda!$C$3,IF(C334=2,Leyenda!$C$4,IF(C334=3,Leyenda!$C$5,IF(C334=4,Leyenda!$C$6,IF(C334=5,Leyenda!$C$7,IF(C334=6,Leyenda!$C$8,IF(C334=7,Leyenda!$C$9,IF(C334=8,Leyenda!$C$10," "))))))))&amp;IF(C334=9,Leyenda!$C$11,IF(C334=10,Leyenda!$C$12,IF(C334=11,Leyenda!$C$13,IF(C334=12,Leyenda!D391," "))))</f>
        <v xml:space="preserve">GASTOS POR TRABAJOS, SUMINISTROS Y SERVICIOS </v>
      </c>
      <c r="E334" s="202" t="s">
        <v>1536</v>
      </c>
      <c r="F334" s="247">
        <v>45517</v>
      </c>
      <c r="G334" s="247" t="str">
        <f t="shared" si="24"/>
        <v>agosto</v>
      </c>
      <c r="H334" s="191">
        <v>30</v>
      </c>
      <c r="I334" s="148" t="str">
        <f>TEXT(gastos[[#This Row],[Fecha]],"DDDD")</f>
        <v>viernes</v>
      </c>
      <c r="J334" s="249">
        <f t="shared" si="26"/>
        <v>45534</v>
      </c>
      <c r="K334" s="249"/>
      <c r="L334" s="147"/>
      <c r="M334" s="197">
        <v>3195</v>
      </c>
      <c r="N334" s="197">
        <v>0</v>
      </c>
      <c r="O334" s="222">
        <f t="shared" si="25"/>
        <v>3195</v>
      </c>
      <c r="P334" s="197">
        <v>0</v>
      </c>
      <c r="Q334">
        <v>0</v>
      </c>
      <c r="R334" s="199">
        <v>0</v>
      </c>
      <c r="S334">
        <v>0</v>
      </c>
      <c r="T334" s="200" t="str">
        <f>IFERROR(VLOOKUP($A334,Tabla3[#All],2,0),"no esta registrado")</f>
        <v>ACADEMIA EUROPEA</v>
      </c>
    </row>
    <row r="335" spans="1:20" ht="16.5" hidden="1" x14ac:dyDescent="0.3">
      <c r="A335" s="230" t="s">
        <v>1114</v>
      </c>
      <c r="B335" s="193">
        <v>1</v>
      </c>
      <c r="C335" s="194">
        <v>2</v>
      </c>
      <c r="D335" s="195" t="str">
        <f>IF(C335=1,Leyenda!$C$3,IF(C335=2,Leyenda!$C$4,IF(C335=3,Leyenda!$C$5,IF(C335=4,Leyenda!$C$6,IF(C335=5,Leyenda!$C$7,IF(C335=6,Leyenda!$C$8,IF(C335=7,Leyenda!$C$9,IF(C335=8,Leyenda!$C$10," "))))))))&amp;IF(C335=9,Leyenda!$C$11,IF(C335=10,Leyenda!$C$12,IF(C335=11,Leyenda!$C$13,IF(C335=12,Leyenda!D392," "))))</f>
        <v xml:space="preserve">GASTOS POR TRABAJOS, SUMINISTROS Y SERVICIOS </v>
      </c>
      <c r="E335" s="202" t="s">
        <v>1537</v>
      </c>
      <c r="F335" s="247">
        <v>45517</v>
      </c>
      <c r="G335" s="247" t="str">
        <f t="shared" si="24"/>
        <v>agosto</v>
      </c>
      <c r="H335" s="191">
        <v>30</v>
      </c>
      <c r="I335" s="148" t="str">
        <f>TEXT(gastos[[#This Row],[Fecha]],"DDDD")</f>
        <v>viernes</v>
      </c>
      <c r="J335" s="249">
        <f t="shared" si="26"/>
        <v>45534</v>
      </c>
      <c r="K335" s="249"/>
      <c r="L335" s="147"/>
      <c r="M335" s="197">
        <v>2606</v>
      </c>
      <c r="N335" s="197">
        <v>0</v>
      </c>
      <c r="O335" s="222">
        <f t="shared" si="25"/>
        <v>2606</v>
      </c>
      <c r="P335" s="197">
        <v>0</v>
      </c>
      <c r="Q335">
        <v>0</v>
      </c>
      <c r="R335" s="199">
        <v>0</v>
      </c>
      <c r="S335">
        <v>0</v>
      </c>
      <c r="T335" s="200" t="str">
        <f>IFERROR(VLOOKUP($A335,Tabla3[#All],2,0),"no esta registrado")</f>
        <v>ACADEMIA EUROPEA</v>
      </c>
    </row>
    <row r="336" spans="1:20" ht="16.5" hidden="1" x14ac:dyDescent="0.3">
      <c r="A336" s="230" t="s">
        <v>1538</v>
      </c>
      <c r="B336" s="193">
        <v>1</v>
      </c>
      <c r="C336" s="194">
        <v>2</v>
      </c>
      <c r="D336" s="195" t="str">
        <f>IF(C336=1,Leyenda!$C$3,IF(C336=2,Leyenda!$C$4,IF(C336=3,Leyenda!$C$5,IF(C336=4,Leyenda!$C$6,IF(C336=5,Leyenda!$C$7,IF(C336=6,Leyenda!$C$8,IF(C336=7,Leyenda!$C$9,IF(C336=8,Leyenda!$C$10," "))))))))&amp;IF(C336=9,Leyenda!$C$11,IF(C336=10,Leyenda!$C$12,IF(C336=11,Leyenda!$C$13,IF(C336=12,Leyenda!D393," "))))</f>
        <v xml:space="preserve">GASTOS POR TRABAJOS, SUMINISTROS Y SERVICIOS </v>
      </c>
      <c r="E336" s="202" t="s">
        <v>1539</v>
      </c>
      <c r="F336" s="247">
        <v>45517</v>
      </c>
      <c r="G336" s="247" t="str">
        <f t="shared" si="24"/>
        <v>agosto</v>
      </c>
      <c r="H336" s="191">
        <v>6</v>
      </c>
      <c r="I336" s="148" t="str">
        <f>TEXT(gastos[[#This Row],[Fecha]],"DDDD")</f>
        <v>martes</v>
      </c>
      <c r="J336" s="249">
        <f t="shared" si="26"/>
        <v>45510</v>
      </c>
      <c r="K336" s="249"/>
      <c r="L336" s="147"/>
      <c r="M336" s="197">
        <v>0</v>
      </c>
      <c r="N336" s="197">
        <v>2800</v>
      </c>
      <c r="O336" s="222">
        <f t="shared" si="25"/>
        <v>2800</v>
      </c>
      <c r="P336" s="197">
        <v>504</v>
      </c>
      <c r="Q336">
        <v>0</v>
      </c>
      <c r="R336" s="199">
        <v>0</v>
      </c>
      <c r="S336">
        <v>0</v>
      </c>
      <c r="T336" s="200" t="str">
        <f>IFERROR(VLOOKUP($A336,Tabla3[#All],2,0),"no esta registrado")</f>
        <v>no esta registrado</v>
      </c>
    </row>
    <row r="337" spans="1:20" ht="16.5" hidden="1" x14ac:dyDescent="0.3">
      <c r="A337" s="230" t="s">
        <v>511</v>
      </c>
      <c r="B337" s="193">
        <v>1</v>
      </c>
      <c r="C337" s="194">
        <v>2</v>
      </c>
      <c r="D337" s="195" t="str">
        <f>IF(C337=1,Leyenda!$C$3,IF(C337=2,Leyenda!$C$4,IF(C337=3,Leyenda!$C$5,IF(C337=4,Leyenda!$C$6,IF(C337=5,Leyenda!$C$7,IF(C337=6,Leyenda!$C$8,IF(C337=7,Leyenda!$C$9,IF(C337=8,Leyenda!$C$10," "))))))))&amp;IF(C337=9,Leyenda!$C$11,IF(C337=10,Leyenda!$C$12,IF(C337=11,Leyenda!$C$13,IF(C337=12,Leyenda!D394," "))))</f>
        <v xml:space="preserve">GASTOS POR TRABAJOS, SUMINISTROS Y SERVICIOS </v>
      </c>
      <c r="E337" s="202" t="s">
        <v>1540</v>
      </c>
      <c r="F337" s="247">
        <v>45517</v>
      </c>
      <c r="G337" s="247" t="str">
        <f t="shared" si="24"/>
        <v>agosto</v>
      </c>
      <c r="H337" s="191">
        <v>5</v>
      </c>
      <c r="I337" s="148" t="str">
        <f>TEXT(gastos[[#This Row],[Fecha]],"DDDD")</f>
        <v>lunes</v>
      </c>
      <c r="J337" s="249">
        <f t="shared" si="26"/>
        <v>45509</v>
      </c>
      <c r="K337" s="249"/>
      <c r="L337" s="147"/>
      <c r="M337" s="197">
        <v>0</v>
      </c>
      <c r="N337" s="197">
        <v>10719.99</v>
      </c>
      <c r="O337" s="222">
        <f t="shared" si="25"/>
        <v>10719.99</v>
      </c>
      <c r="P337" s="197">
        <v>972.01</v>
      </c>
      <c r="Q337">
        <v>0</v>
      </c>
      <c r="R337" s="199">
        <v>0</v>
      </c>
      <c r="S337">
        <v>0</v>
      </c>
      <c r="T337" s="200" t="str">
        <f>IFERROR(VLOOKUP($A337,Tabla3[#All],2,0),"no esta registrado")</f>
        <v>Bravo, S.A.//Supermercados Bravo</v>
      </c>
    </row>
    <row r="338" spans="1:20" ht="16.5" hidden="1" x14ac:dyDescent="0.3">
      <c r="A338" s="230" t="s">
        <v>495</v>
      </c>
      <c r="B338" s="193">
        <v>1</v>
      </c>
      <c r="C338" s="194">
        <v>2</v>
      </c>
      <c r="D338" s="195" t="str">
        <f>IF(C338=1,Leyenda!$C$3,IF(C338=2,Leyenda!$C$4,IF(C338=3,Leyenda!$C$5,IF(C338=4,Leyenda!$C$6,IF(C338=5,Leyenda!$C$7,IF(C338=6,Leyenda!$C$8,IF(C338=7,Leyenda!$C$9,IF(C338=8,Leyenda!$C$10," "))))))))&amp;IF(C338=9,Leyenda!$C$11,IF(C338=10,Leyenda!$C$12,IF(C338=11,Leyenda!$C$13,IF(C338=12,Leyenda!D395," "))))</f>
        <v xml:space="preserve">GASTOS POR TRABAJOS, SUMINISTROS Y SERVICIOS </v>
      </c>
      <c r="E338" s="202" t="s">
        <v>1541</v>
      </c>
      <c r="F338" s="247">
        <v>45517</v>
      </c>
      <c r="G338" s="247" t="str">
        <f t="shared" si="24"/>
        <v>agosto</v>
      </c>
      <c r="H338" s="191">
        <v>7</v>
      </c>
      <c r="I338" s="148" t="str">
        <f>TEXT(gastos[[#This Row],[Fecha]],"DDDD")</f>
        <v>miércoles</v>
      </c>
      <c r="J338" s="249">
        <f t="shared" si="26"/>
        <v>45511</v>
      </c>
      <c r="K338" s="249"/>
      <c r="L338" s="147"/>
      <c r="M338" s="197">
        <v>2407.69</v>
      </c>
      <c r="N338" s="197">
        <v>0</v>
      </c>
      <c r="O338" s="222">
        <f t="shared" si="25"/>
        <v>2407.69</v>
      </c>
      <c r="P338" s="197">
        <v>433.39</v>
      </c>
      <c r="Q338">
        <v>0</v>
      </c>
      <c r="R338" s="199">
        <v>0</v>
      </c>
      <c r="S338">
        <v>0</v>
      </c>
      <c r="T338" s="200" t="str">
        <f>IFERROR(VLOOKUP($A338,Tabla3[#All],2,0),"no esta registrado")</f>
        <v>CLARO//CODETEL</v>
      </c>
    </row>
    <row r="339" spans="1:20" ht="16.5" hidden="1" x14ac:dyDescent="0.3">
      <c r="A339" s="230" t="s">
        <v>495</v>
      </c>
      <c r="B339" s="193">
        <v>1</v>
      </c>
      <c r="C339" s="194">
        <v>2</v>
      </c>
      <c r="D339" s="195" t="str">
        <f>IF(C339=1,Leyenda!$C$3,IF(C339=2,Leyenda!$C$4,IF(C339=3,Leyenda!$C$5,IF(C339=4,Leyenda!$C$6,IF(C339=5,Leyenda!$C$7,IF(C339=6,Leyenda!$C$8,IF(C339=7,Leyenda!$C$9,IF(C339=8,Leyenda!$C$10," "))))))))&amp;IF(C339=9,Leyenda!$C$11,IF(C339=10,Leyenda!$C$12,IF(C339=11,Leyenda!$C$13,IF(C339=12,Leyenda!D396," "))))</f>
        <v xml:space="preserve">GASTOS POR TRABAJOS, SUMINISTROS Y SERVICIOS </v>
      </c>
      <c r="E339" s="202" t="s">
        <v>1542</v>
      </c>
      <c r="F339" s="247">
        <v>45517</v>
      </c>
      <c r="G339" s="247" t="str">
        <f t="shared" si="24"/>
        <v>agosto</v>
      </c>
      <c r="H339" s="191">
        <v>7</v>
      </c>
      <c r="I339" s="148" t="str">
        <f>TEXT(gastos[[#This Row],[Fecha]],"DDDD")</f>
        <v>miércoles</v>
      </c>
      <c r="J339" s="249">
        <f t="shared" si="26"/>
        <v>45511</v>
      </c>
      <c r="K339" s="249"/>
      <c r="L339" s="147"/>
      <c r="M339" s="197">
        <v>871.5</v>
      </c>
      <c r="N339" s="197">
        <v>0</v>
      </c>
      <c r="O339" s="222">
        <f t="shared" si="25"/>
        <v>871.5</v>
      </c>
      <c r="P339" s="197">
        <v>156.87</v>
      </c>
      <c r="Q339">
        <v>0</v>
      </c>
      <c r="R339" s="199" t="s">
        <v>1543</v>
      </c>
      <c r="S339">
        <v>0</v>
      </c>
      <c r="T339" s="200" t="str">
        <f>IFERROR(VLOOKUP($A339,Tabla3[#All],2,0),"no esta registrado")</f>
        <v>CLARO//CODETEL</v>
      </c>
    </row>
    <row r="340" spans="1:20" ht="16.5" hidden="1" x14ac:dyDescent="0.3">
      <c r="A340" s="230" t="s">
        <v>486</v>
      </c>
      <c r="B340" s="193">
        <v>1</v>
      </c>
      <c r="C340" s="194">
        <v>7</v>
      </c>
      <c r="D340" s="195" t="str">
        <f>IF(C340=1,Leyenda!$C$3,IF(C340=2,Leyenda!$C$4,IF(C340=3,Leyenda!$C$5,IF(C340=4,Leyenda!$C$6,IF(C340=5,Leyenda!$C$7,IF(C340=6,Leyenda!$C$8,IF(C340=7,Leyenda!$C$9,IF(C340=8,Leyenda!$C$10," "))))))))&amp;IF(C340=9,Leyenda!$C$11,IF(C340=10,Leyenda!$C$12,IF(C340=11,Leyenda!$C$13,IF(C340=12,Leyenda!D397," "))))</f>
        <v xml:space="preserve">GASTOS FINANCIEROS </v>
      </c>
      <c r="E340" s="202" t="s">
        <v>1544</v>
      </c>
      <c r="F340" s="247">
        <v>45517</v>
      </c>
      <c r="G340" s="247" t="str">
        <f t="shared" si="24"/>
        <v>agosto</v>
      </c>
      <c r="H340" s="191">
        <v>5</v>
      </c>
      <c r="I340" s="148" t="str">
        <f>TEXT(gastos[[#This Row],[Fecha]],"DDDD")</f>
        <v>lunes</v>
      </c>
      <c r="J340" s="249">
        <f t="shared" si="26"/>
        <v>45509</v>
      </c>
      <c r="K340" s="249"/>
      <c r="L340" s="147"/>
      <c r="M340" s="197">
        <v>15715.28</v>
      </c>
      <c r="N340" s="197">
        <v>0</v>
      </c>
      <c r="O340" s="222">
        <f t="shared" si="25"/>
        <v>15715.28</v>
      </c>
      <c r="P340" s="197">
        <v>0</v>
      </c>
      <c r="Q340">
        <v>0</v>
      </c>
      <c r="R340" s="199">
        <v>0</v>
      </c>
      <c r="S340">
        <v>0</v>
      </c>
      <c r="T340" s="200" t="str">
        <f>IFERROR(VLOOKUP($A340,Tabla3[#All],2,0),"no esta registrado")</f>
        <v>Banco Multiple BHD León, S. A.</v>
      </c>
    </row>
    <row r="341" spans="1:20" ht="16.5" hidden="1" x14ac:dyDescent="0.3">
      <c r="A341" s="230" t="s">
        <v>486</v>
      </c>
      <c r="B341" s="193">
        <v>1</v>
      </c>
      <c r="C341" s="194">
        <v>7</v>
      </c>
      <c r="D341" s="195" t="str">
        <f>IF(C341=1,Leyenda!$C$3,IF(C341=2,Leyenda!$C$4,IF(C341=3,Leyenda!$C$5,IF(C341=4,Leyenda!$C$6,IF(C341=5,Leyenda!$C$7,IF(C341=6,Leyenda!$C$8,IF(C341=7,Leyenda!$C$9,IF(C341=8,Leyenda!$C$10," "))))))))&amp;IF(C341=9,Leyenda!$C$11,IF(C341=10,Leyenda!$C$12,IF(C341=11,Leyenda!$C$13,IF(C341=12,Leyenda!D398," "))))</f>
        <v xml:space="preserve">GASTOS FINANCIEROS </v>
      </c>
      <c r="E341" s="202" t="s">
        <v>1545</v>
      </c>
      <c r="F341" s="247">
        <v>45517</v>
      </c>
      <c r="G341" s="247" t="str">
        <f t="shared" ref="G341:G404" si="27">TEXT(F341,"MMMM")</f>
        <v>agosto</v>
      </c>
      <c r="H341" s="191">
        <v>7</v>
      </c>
      <c r="I341" s="148" t="str">
        <f>TEXT(gastos[[#This Row],[Fecha]],"DDDD")</f>
        <v>miércoles</v>
      </c>
      <c r="J341" s="249">
        <f t="shared" si="26"/>
        <v>45511</v>
      </c>
      <c r="K341" s="249"/>
      <c r="L341" s="147"/>
      <c r="M341" s="197">
        <v>7645.2</v>
      </c>
      <c r="N341" s="197">
        <v>0</v>
      </c>
      <c r="O341" s="222">
        <f t="shared" si="25"/>
        <v>7645.2</v>
      </c>
      <c r="P341" s="197">
        <v>0</v>
      </c>
      <c r="Q341">
        <v>0</v>
      </c>
      <c r="R341" s="199">
        <v>0</v>
      </c>
      <c r="S341">
        <v>0</v>
      </c>
      <c r="T341" s="200" t="str">
        <f>IFERROR(VLOOKUP($A341,Tabla3[#All],2,0),"no esta registrado")</f>
        <v>Banco Multiple BHD León, S. A.</v>
      </c>
    </row>
    <row r="342" spans="1:20" ht="16.5" hidden="1" x14ac:dyDescent="0.3">
      <c r="A342" s="230" t="s">
        <v>486</v>
      </c>
      <c r="B342" s="193">
        <v>1</v>
      </c>
      <c r="C342" s="194">
        <v>7</v>
      </c>
      <c r="D342" s="195" t="str">
        <f>IF(C342=1,Leyenda!$C$3,IF(C342=2,Leyenda!$C$4,IF(C342=3,Leyenda!$C$5,IF(C342=4,Leyenda!$C$6,IF(C342=5,Leyenda!$C$7,IF(C342=6,Leyenda!$C$8,IF(C342=7,Leyenda!$C$9,IF(C342=8,Leyenda!$C$10," "))))))))&amp;IF(C342=9,Leyenda!$C$11,IF(C342=10,Leyenda!$C$12,IF(C342=11,Leyenda!$C$13,IF(C342=12,Leyenda!D399," "))))</f>
        <v xml:space="preserve">GASTOS FINANCIEROS </v>
      </c>
      <c r="E342" s="202" t="s">
        <v>1546</v>
      </c>
      <c r="F342" s="247">
        <v>45517</v>
      </c>
      <c r="G342" s="247" t="str">
        <f t="shared" si="27"/>
        <v>agosto</v>
      </c>
      <c r="H342" s="191">
        <v>26</v>
      </c>
      <c r="I342" s="148" t="str">
        <f>TEXT(gastos[[#This Row],[Fecha]],"DDDD")</f>
        <v>lunes</v>
      </c>
      <c r="J342" s="249">
        <f t="shared" si="26"/>
        <v>45530</v>
      </c>
      <c r="K342" s="249"/>
      <c r="L342" s="147"/>
      <c r="M342" s="197">
        <v>23443.75</v>
      </c>
      <c r="N342" s="197">
        <v>0</v>
      </c>
      <c r="O342" s="222">
        <f t="shared" si="25"/>
        <v>23443.75</v>
      </c>
      <c r="P342" s="197">
        <v>0</v>
      </c>
      <c r="Q342">
        <v>0</v>
      </c>
      <c r="R342" s="199">
        <v>0</v>
      </c>
      <c r="S342">
        <v>0</v>
      </c>
      <c r="T342" s="200" t="str">
        <f>IFERROR(VLOOKUP($A342,Tabla3[#All],2,0),"no esta registrado")</f>
        <v>Banco Multiple BHD León, S. A.</v>
      </c>
    </row>
    <row r="343" spans="1:20" ht="16.5" hidden="1" x14ac:dyDescent="0.3">
      <c r="A343" s="230" t="s">
        <v>489</v>
      </c>
      <c r="B343" s="193">
        <v>1</v>
      </c>
      <c r="C343" s="194">
        <v>7</v>
      </c>
      <c r="D343" s="195" t="str">
        <f>IF(C343=1,Leyenda!$C$3,IF(C343=2,Leyenda!$C$4,IF(C343=3,Leyenda!$C$5,IF(C343=4,Leyenda!$C$6,IF(C343=5,Leyenda!$C$7,IF(C343=6,Leyenda!$C$8,IF(C343=7,Leyenda!$C$9,IF(C343=8,Leyenda!$C$10," "))))))))&amp;IF(C343=9,Leyenda!$C$11,IF(C343=10,Leyenda!$C$12,IF(C343=11,Leyenda!$C$13,IF(C343=12,Leyenda!D400," "))))</f>
        <v xml:space="preserve">GASTOS FINANCIEROS </v>
      </c>
      <c r="E343" s="202" t="s">
        <v>1547</v>
      </c>
      <c r="F343" s="247">
        <v>45517</v>
      </c>
      <c r="G343" s="247" t="str">
        <f t="shared" si="27"/>
        <v>agosto</v>
      </c>
      <c r="H343" s="191">
        <v>31</v>
      </c>
      <c r="I343" s="148" t="str">
        <f>TEXT(gastos[[#This Row],[Fecha]],"DDDD")</f>
        <v>sábado</v>
      </c>
      <c r="J343" s="249">
        <f t="shared" si="26"/>
        <v>45535</v>
      </c>
      <c r="K343" s="249"/>
      <c r="L343" s="147"/>
      <c r="M343" s="197">
        <v>12239.83</v>
      </c>
      <c r="N343" s="197">
        <v>0</v>
      </c>
      <c r="O343" s="222">
        <f t="shared" si="25"/>
        <v>12239.83</v>
      </c>
      <c r="P343" s="197">
        <v>0</v>
      </c>
      <c r="Q343">
        <v>0</v>
      </c>
      <c r="R343" s="199">
        <v>0</v>
      </c>
      <c r="S343">
        <v>0</v>
      </c>
      <c r="T343" s="200" t="str">
        <f>IFERROR(VLOOKUP($A343,Tabla3[#All],2,0),"no esta registrado")</f>
        <v>Banco Popular Dominicano, S. A. Banco Multiple</v>
      </c>
    </row>
    <row r="344" spans="1:20" ht="16.5" hidden="1" x14ac:dyDescent="0.3">
      <c r="A344" s="230" t="s">
        <v>492</v>
      </c>
      <c r="B344" s="193">
        <v>1</v>
      </c>
      <c r="C344" s="194">
        <v>7</v>
      </c>
      <c r="D344" s="195" t="str">
        <f>IF(C344=1,Leyenda!$C$3,IF(C344=2,Leyenda!$C$4,IF(C344=3,Leyenda!$C$5,IF(C344=4,Leyenda!$C$6,IF(C344=5,Leyenda!$C$7,IF(C344=6,Leyenda!$C$8,IF(C344=7,Leyenda!$C$9,IF(C344=8,Leyenda!$C$10," "))))))))&amp;IF(C344=9,Leyenda!$C$11,IF(C344=10,Leyenda!$C$12,IF(C344=11,Leyenda!$C$13,IF(C344=12,Leyenda!D401," "))))</f>
        <v xml:space="preserve">GASTOS FINANCIEROS </v>
      </c>
      <c r="E344" s="202" t="s">
        <v>1548</v>
      </c>
      <c r="F344" s="247">
        <v>45517</v>
      </c>
      <c r="G344" s="247" t="str">
        <f t="shared" si="27"/>
        <v>agosto</v>
      </c>
      <c r="H344" s="191">
        <v>19</v>
      </c>
      <c r="I344" s="148" t="str">
        <f>TEXT(gastos[[#This Row],[Fecha]],"DDDD")</f>
        <v>lunes</v>
      </c>
      <c r="J344" s="249">
        <f t="shared" si="26"/>
        <v>45523</v>
      </c>
      <c r="K344" s="249"/>
      <c r="L344" s="147"/>
      <c r="M344" s="197">
        <v>66.930000000000007</v>
      </c>
      <c r="N344" s="197">
        <v>0</v>
      </c>
      <c r="O344" s="222">
        <f t="shared" si="25"/>
        <v>66.930000000000007</v>
      </c>
      <c r="P344" s="197">
        <v>0</v>
      </c>
      <c r="Q344">
        <v>0</v>
      </c>
      <c r="R344" s="199">
        <v>0</v>
      </c>
      <c r="S344">
        <v>0</v>
      </c>
      <c r="T344" s="200" t="str">
        <f>IFERROR(VLOOKUP($A344,Tabla3[#All],2,0),"no esta registrado")</f>
        <v>Banco Dominicano del Progreso, S. A.//Banco Multiple</v>
      </c>
    </row>
    <row r="345" spans="1:20" ht="16.5" hidden="1" x14ac:dyDescent="0.3">
      <c r="A345" s="230" t="s">
        <v>492</v>
      </c>
      <c r="B345" s="193">
        <v>1</v>
      </c>
      <c r="C345" s="194">
        <v>7</v>
      </c>
      <c r="D345" s="195" t="str">
        <f>IF(C345=1,Leyenda!$C$3,IF(C345=2,Leyenda!$C$4,IF(C345=3,Leyenda!$C$5,IF(C345=4,Leyenda!$C$6,IF(C345=5,Leyenda!$C$7,IF(C345=6,Leyenda!$C$8,IF(C345=7,Leyenda!$C$9,IF(C345=8,Leyenda!$C$10," "))))))))&amp;IF(C345=9,Leyenda!$C$11,IF(C345=10,Leyenda!$C$12,IF(C345=11,Leyenda!$C$13,IF(C345=12,Leyenda!D402," "))))</f>
        <v xml:space="preserve">GASTOS FINANCIEROS </v>
      </c>
      <c r="E345" s="202" t="s">
        <v>1549</v>
      </c>
      <c r="F345" s="247">
        <v>45517</v>
      </c>
      <c r="G345" s="247" t="str">
        <f t="shared" si="27"/>
        <v>agosto</v>
      </c>
      <c r="H345" s="191">
        <v>19</v>
      </c>
      <c r="I345" s="148" t="str">
        <f>TEXT(gastos[[#This Row],[Fecha]],"DDDD")</f>
        <v>lunes</v>
      </c>
      <c r="J345" s="249">
        <f t="shared" si="26"/>
        <v>45523</v>
      </c>
      <c r="K345" s="249"/>
      <c r="L345" s="147"/>
      <c r="M345" s="197">
        <v>23663.45</v>
      </c>
      <c r="N345" s="197">
        <v>0</v>
      </c>
      <c r="O345" s="222">
        <f t="shared" si="25"/>
        <v>23663.45</v>
      </c>
      <c r="P345" s="197">
        <v>0</v>
      </c>
      <c r="Q345">
        <v>0</v>
      </c>
      <c r="R345" s="199">
        <v>0</v>
      </c>
      <c r="S345">
        <v>0</v>
      </c>
      <c r="T345" s="200" t="str">
        <f>IFERROR(VLOOKUP($A345,Tabla3[#All],2,0),"no esta registrado")</f>
        <v>Banco Dominicano del Progreso, S. A.//Banco Multiple</v>
      </c>
    </row>
    <row r="346" spans="1:20" ht="16.5" hidden="1" x14ac:dyDescent="0.3">
      <c r="A346" s="230" t="s">
        <v>492</v>
      </c>
      <c r="B346" s="193">
        <v>1</v>
      </c>
      <c r="C346" s="194">
        <v>7</v>
      </c>
      <c r="D346" s="195" t="str">
        <f>IF(C346=1,Leyenda!$C$3,IF(C346=2,Leyenda!$C$4,IF(C346=3,Leyenda!$C$5,IF(C346=4,Leyenda!$C$6,IF(C346=5,Leyenda!$C$7,IF(C346=6,Leyenda!$C$8,IF(C346=7,Leyenda!$C$9,IF(C346=8,Leyenda!$C$10," "))))))))&amp;IF(C346=9,Leyenda!$C$11,IF(C346=10,Leyenda!$C$12,IF(C346=11,Leyenda!$C$13,IF(C346=12,Leyenda!D403," "))))</f>
        <v xml:space="preserve">GASTOS FINANCIEROS </v>
      </c>
      <c r="E346" s="202" t="s">
        <v>1550</v>
      </c>
      <c r="F346" s="247">
        <v>45517</v>
      </c>
      <c r="G346" s="247" t="str">
        <f t="shared" si="27"/>
        <v>agosto</v>
      </c>
      <c r="H346" s="191">
        <v>30</v>
      </c>
      <c r="I346" s="148" t="str">
        <f>TEXT(gastos[[#This Row],[Fecha]],"DDDD")</f>
        <v>viernes</v>
      </c>
      <c r="J346" s="249">
        <f t="shared" si="26"/>
        <v>45534</v>
      </c>
      <c r="K346" s="249"/>
      <c r="L346" s="147"/>
      <c r="M346" s="197">
        <v>57.68</v>
      </c>
      <c r="N346" s="197">
        <v>0</v>
      </c>
      <c r="O346" s="222">
        <f t="shared" si="25"/>
        <v>57.68</v>
      </c>
      <c r="P346" s="197">
        <v>0</v>
      </c>
      <c r="Q346">
        <v>0</v>
      </c>
      <c r="R346" s="199">
        <v>0</v>
      </c>
      <c r="S346">
        <v>0</v>
      </c>
      <c r="T346" s="200" t="str">
        <f>IFERROR(VLOOKUP($A346,Tabla3[#All],2,0),"no esta registrado")</f>
        <v>Banco Dominicano del Progreso, S. A.//Banco Multiple</v>
      </c>
    </row>
    <row r="347" spans="1:20" ht="16.5" hidden="1" x14ac:dyDescent="0.3">
      <c r="A347" s="230" t="s">
        <v>492</v>
      </c>
      <c r="B347" s="193">
        <v>1</v>
      </c>
      <c r="C347" s="194">
        <v>7</v>
      </c>
      <c r="D347" s="195" t="str">
        <f>IF(C347=1,Leyenda!$C$3,IF(C347=2,Leyenda!$C$4,IF(C347=3,Leyenda!$C$5,IF(C347=4,Leyenda!$C$6,IF(C347=5,Leyenda!$C$7,IF(C347=6,Leyenda!$C$8,IF(C347=7,Leyenda!$C$9,IF(C347=8,Leyenda!$C$10," "))))))))&amp;IF(C347=9,Leyenda!$C$11,IF(C347=10,Leyenda!$C$12,IF(C347=11,Leyenda!$C$13,IF(C347=12,Leyenda!D404," "))))</f>
        <v xml:space="preserve">GASTOS FINANCIEROS </v>
      </c>
      <c r="E347" s="202" t="s">
        <v>1551</v>
      </c>
      <c r="F347" s="247">
        <v>45517</v>
      </c>
      <c r="G347" s="247" t="str">
        <f t="shared" si="27"/>
        <v>agosto</v>
      </c>
      <c r="H347" s="191">
        <v>30</v>
      </c>
      <c r="I347" s="148" t="str">
        <f>TEXT(gastos[[#This Row],[Fecha]],"DDDD")</f>
        <v>viernes</v>
      </c>
      <c r="J347" s="249">
        <f t="shared" si="26"/>
        <v>45534</v>
      </c>
      <c r="K347" s="249"/>
      <c r="L347" s="147"/>
      <c r="M347" s="197">
        <v>400</v>
      </c>
      <c r="N347" s="197">
        <v>0</v>
      </c>
      <c r="O347" s="222">
        <f t="shared" si="25"/>
        <v>400</v>
      </c>
      <c r="P347" s="197">
        <v>0</v>
      </c>
      <c r="Q347">
        <v>0</v>
      </c>
      <c r="R347" s="199">
        <v>0</v>
      </c>
      <c r="S347">
        <v>0</v>
      </c>
      <c r="T347" s="200" t="str">
        <f>IFERROR(VLOOKUP($A347,Tabla3[#All],2,0),"no esta registrado")</f>
        <v>Banco Dominicano del Progreso, S. A.//Banco Multiple</v>
      </c>
    </row>
    <row r="348" spans="1:20" ht="16.5" hidden="1" x14ac:dyDescent="0.3">
      <c r="A348" s="230" t="s">
        <v>909</v>
      </c>
      <c r="B348" s="193">
        <v>1</v>
      </c>
      <c r="C348" s="194">
        <v>4</v>
      </c>
      <c r="D348" s="195" t="str">
        <f>IF(C348=1,Leyenda!$C$3,IF(C348=2,Leyenda!$C$4,IF(C348=3,Leyenda!$C$5,IF(C348=4,Leyenda!$C$6,IF(C348=5,Leyenda!$C$7,IF(C348=6,Leyenda!$C$8,IF(C348=7,Leyenda!$C$9,IF(C348=8,Leyenda!$C$10," "))))))))&amp;IF(C348=9,Leyenda!$C$11,IF(C348=10,Leyenda!$C$12,IF(C348=11,Leyenda!$C$13,IF(C348=12,Leyenda!D405," "))))</f>
        <v xml:space="preserve">GASTOS DE ACTIVOS FIJO </v>
      </c>
      <c r="E348" s="196" t="s">
        <v>1552</v>
      </c>
      <c r="F348" s="248">
        <v>45546</v>
      </c>
      <c r="G348" s="247" t="str">
        <f t="shared" si="27"/>
        <v>septiembre</v>
      </c>
      <c r="H348" s="191">
        <v>11</v>
      </c>
      <c r="I348" s="148" t="str">
        <f>TEXT(gastos[[#This Row],[Fecha]],"DDDD")</f>
        <v>miércoles</v>
      </c>
      <c r="J348" s="249">
        <f t="shared" si="26"/>
        <v>45546</v>
      </c>
      <c r="K348" s="249"/>
      <c r="L348" s="147"/>
      <c r="M348" s="197">
        <v>0</v>
      </c>
      <c r="N348" s="197">
        <v>3450</v>
      </c>
      <c r="O348" s="198">
        <f t="shared" ref="O348:O380" si="28">SUM(M348:N348)</f>
        <v>3450</v>
      </c>
      <c r="P348" s="199">
        <v>0</v>
      </c>
      <c r="Q348" s="199">
        <v>0</v>
      </c>
      <c r="R348" s="199">
        <v>0</v>
      </c>
      <c r="S348">
        <v>0</v>
      </c>
      <c r="T348" s="200" t="str">
        <f>IFERROR(VLOOKUP($A348,Tabla3[#All],2,0),"no esta registrado")</f>
        <v>Strata, S.R.L.</v>
      </c>
    </row>
    <row r="349" spans="1:20" ht="16.5" hidden="1" x14ac:dyDescent="0.3">
      <c r="A349" s="230" t="s">
        <v>909</v>
      </c>
      <c r="B349" s="193">
        <v>1</v>
      </c>
      <c r="C349" s="194">
        <v>4</v>
      </c>
      <c r="D349" s="195" t="str">
        <f>IF(C349=1,Leyenda!$C$3,IF(C349=2,Leyenda!$C$4,IF(C349=3,Leyenda!$C$5,IF(C349=4,Leyenda!$C$6,IF(C349=5,Leyenda!$C$7,IF(C349=6,Leyenda!$C$8,IF(C349=7,Leyenda!$C$9,IF(C349=8,Leyenda!$C$10," "))))))))&amp;IF(C349=9,Leyenda!$C$11,IF(C349=10,Leyenda!$C$12,IF(C349=11,Leyenda!$C$13,IF(C349=12,Leyenda!D406," "))))</f>
        <v xml:space="preserve">GASTOS DE ACTIVOS FIJO </v>
      </c>
      <c r="E349" s="196" t="s">
        <v>1553</v>
      </c>
      <c r="F349" s="247">
        <v>45562</v>
      </c>
      <c r="G349" s="247" t="str">
        <f t="shared" si="27"/>
        <v>septiembre</v>
      </c>
      <c r="H349" s="191">
        <v>27</v>
      </c>
      <c r="I349" s="148" t="str">
        <f>TEXT(gastos[[#This Row],[Fecha]],"DDDD")</f>
        <v>viernes</v>
      </c>
      <c r="J349" s="249">
        <f t="shared" si="26"/>
        <v>45562</v>
      </c>
      <c r="K349" s="249"/>
      <c r="L349" s="147"/>
      <c r="M349" s="197">
        <v>0</v>
      </c>
      <c r="N349" s="197">
        <v>3350</v>
      </c>
      <c r="O349" s="198">
        <f t="shared" si="28"/>
        <v>3350</v>
      </c>
      <c r="P349" s="199">
        <v>0</v>
      </c>
      <c r="Q349" s="199">
        <v>0</v>
      </c>
      <c r="R349" s="199">
        <v>0</v>
      </c>
      <c r="S349">
        <v>0</v>
      </c>
      <c r="T349" s="200" t="str">
        <f>IFERROR(VLOOKUP($A349,Tabla3[#All],2,0),"no esta registrado")</f>
        <v>Strata, S.R.L.</v>
      </c>
    </row>
    <row r="350" spans="1:20" ht="16.5" hidden="1" x14ac:dyDescent="0.3">
      <c r="A350" s="230" t="s">
        <v>1126</v>
      </c>
      <c r="B350" s="193">
        <v>1</v>
      </c>
      <c r="C350" s="194">
        <v>2</v>
      </c>
      <c r="D350" s="195" t="str">
        <f>IF(C350=1,Leyenda!$C$3,IF(C350=2,Leyenda!$C$4,IF(C350=3,Leyenda!$C$5,IF(C350=4,Leyenda!$C$6,IF(C350=5,Leyenda!$C$7,IF(C350=6,Leyenda!$C$8,IF(C350=7,Leyenda!$C$9,IF(C350=8,Leyenda!$C$10," "))))))))&amp;IF(C350=9,Leyenda!$C$11,IF(C350=10,Leyenda!$C$12,IF(C350=11,Leyenda!$C$13,IF(C350=12,Leyenda!D407," "))))</f>
        <v xml:space="preserve">GASTOS POR TRABAJOS, SUMINISTROS Y SERVICIOS </v>
      </c>
      <c r="E350" s="196" t="s">
        <v>1554</v>
      </c>
      <c r="F350" s="247">
        <v>45562</v>
      </c>
      <c r="G350" s="247" t="str">
        <f t="shared" si="27"/>
        <v>septiembre</v>
      </c>
      <c r="H350" s="191">
        <v>27</v>
      </c>
      <c r="I350" s="148" t="str">
        <f>TEXT(gastos[[#This Row],[Fecha]],"DDDD")</f>
        <v>viernes</v>
      </c>
      <c r="J350" s="249">
        <f t="shared" si="26"/>
        <v>45562</v>
      </c>
      <c r="K350" s="249"/>
      <c r="L350" s="147"/>
      <c r="M350" s="197">
        <v>0</v>
      </c>
      <c r="N350" s="197">
        <v>1190</v>
      </c>
      <c r="O350" s="198">
        <f t="shared" si="28"/>
        <v>1190</v>
      </c>
      <c r="P350" s="199">
        <v>50.85</v>
      </c>
      <c r="Q350" s="199">
        <v>0</v>
      </c>
      <c r="R350" s="199">
        <v>0</v>
      </c>
      <c r="S350">
        <v>0</v>
      </c>
      <c r="T350" s="200" t="str">
        <f>IFERROR(VLOOKUP($A350,Tabla3[#All],2,0),"no esta registrado")</f>
        <v>Floremch Importaciones SRL</v>
      </c>
    </row>
    <row r="351" spans="1:20" ht="16.5" hidden="1" x14ac:dyDescent="0.3">
      <c r="A351" s="230" t="s">
        <v>533</v>
      </c>
      <c r="B351" s="193">
        <v>1</v>
      </c>
      <c r="C351" s="194">
        <v>2</v>
      </c>
      <c r="D351" s="195" t="str">
        <f>IF(C351=1,Leyenda!$C$3,IF(C351=2,Leyenda!$C$4,IF(C351=3,Leyenda!$C$5,IF(C351=4,Leyenda!$C$6,IF(C351=5,Leyenda!$C$7,IF(C351=6,Leyenda!$C$8,IF(C351=7,Leyenda!$C$9,IF(C351=8,Leyenda!$C$10," "))))))))&amp;IF(C351=9,Leyenda!$C$11,IF(C351=10,Leyenda!$C$12,IF(C351=11,Leyenda!$C$13,IF(C351=12,Leyenda!D408," "))))</f>
        <v xml:space="preserve">GASTOS POR TRABAJOS, SUMINISTROS Y SERVICIOS </v>
      </c>
      <c r="E351" s="196" t="s">
        <v>1555</v>
      </c>
      <c r="F351" s="247">
        <v>45562</v>
      </c>
      <c r="G351" s="247" t="str">
        <f t="shared" si="27"/>
        <v>septiembre</v>
      </c>
      <c r="H351" s="191">
        <v>30</v>
      </c>
      <c r="I351" s="148" t="str">
        <f>TEXT(gastos[[#This Row],[Fecha]],"DDDD")</f>
        <v>lunes</v>
      </c>
      <c r="J351" s="249">
        <f t="shared" si="26"/>
        <v>45565</v>
      </c>
      <c r="K351" s="249"/>
      <c r="L351" s="147"/>
      <c r="M351" s="197">
        <v>0</v>
      </c>
      <c r="N351" s="197">
        <v>2273.19</v>
      </c>
      <c r="O351" s="198">
        <f t="shared" si="28"/>
        <v>2273.19</v>
      </c>
      <c r="P351" s="199">
        <v>0</v>
      </c>
      <c r="Q351" s="199">
        <v>0</v>
      </c>
      <c r="R351" s="199">
        <v>0</v>
      </c>
      <c r="S351">
        <v>0</v>
      </c>
      <c r="T351" s="200" t="str">
        <f>IFERROR(VLOOKUP($A351,Tabla3[#All],2,0),"no esta registrado")</f>
        <v>Farmacía Medicar GBC, A. H.</v>
      </c>
    </row>
    <row r="352" spans="1:20" ht="16.5" hidden="1" x14ac:dyDescent="0.3">
      <c r="A352" s="230" t="s">
        <v>1138</v>
      </c>
      <c r="B352" s="193">
        <v>1</v>
      </c>
      <c r="C352" s="194">
        <v>2</v>
      </c>
      <c r="D352" s="195" t="str">
        <f>IF(C352=1,Leyenda!$C$3,IF(C352=2,Leyenda!$C$4,IF(C352=3,Leyenda!$C$5,IF(C352=4,Leyenda!$C$6,IF(C352=5,Leyenda!$C$7,IF(C352=6,Leyenda!$C$8,IF(C352=7,Leyenda!$C$9,IF(C352=8,Leyenda!$C$10," "))))))))&amp;IF(C352=9,Leyenda!$C$11,IF(C352=10,Leyenda!$C$12,IF(C352=11,Leyenda!$C$13,IF(C352=12,Leyenda!D409," "))))</f>
        <v xml:space="preserve">GASTOS POR TRABAJOS, SUMINISTROS Y SERVICIOS </v>
      </c>
      <c r="E352" s="196" t="s">
        <v>1556</v>
      </c>
      <c r="F352" s="247">
        <v>45562</v>
      </c>
      <c r="G352" s="247" t="str">
        <f t="shared" si="27"/>
        <v>septiembre</v>
      </c>
      <c r="H352" s="191">
        <v>19</v>
      </c>
      <c r="I352" s="148" t="str">
        <f>TEXT(gastos[[#This Row],[Fecha]],"DDDD")</f>
        <v>jueves</v>
      </c>
      <c r="J352" s="249">
        <f t="shared" si="26"/>
        <v>45554</v>
      </c>
      <c r="K352" s="249"/>
      <c r="L352" s="147"/>
      <c r="M352" s="197">
        <v>0</v>
      </c>
      <c r="N352" s="197">
        <v>413</v>
      </c>
      <c r="O352" s="198">
        <f t="shared" si="28"/>
        <v>413</v>
      </c>
      <c r="P352" s="199">
        <v>0</v>
      </c>
      <c r="Q352" s="199">
        <v>0</v>
      </c>
      <c r="R352" s="199">
        <v>0</v>
      </c>
      <c r="S352">
        <v>0</v>
      </c>
      <c r="T352" s="200" t="str">
        <f>IFERROR(VLOOKUP($A352,Tabla3[#All],2,0),"no esta registrado")</f>
        <v>Almacenes Garrido</v>
      </c>
    </row>
    <row r="353" spans="1:20" ht="16.5" hidden="1" x14ac:dyDescent="0.3">
      <c r="A353" s="230" t="s">
        <v>533</v>
      </c>
      <c r="B353" s="193">
        <v>1</v>
      </c>
      <c r="C353" s="194">
        <v>2</v>
      </c>
      <c r="D353" s="195" t="str">
        <f>IF(C353=1,Leyenda!$C$3,IF(C353=2,Leyenda!$C$4,IF(C353=3,Leyenda!$C$5,IF(C353=4,Leyenda!$C$6,IF(C353=5,Leyenda!$C$7,IF(C353=6,Leyenda!$C$8,IF(C353=7,Leyenda!$C$9,IF(C353=8,Leyenda!$C$10," "))))))))&amp;IF(C353=9,Leyenda!$C$11,IF(C353=10,Leyenda!$C$12,IF(C353=11,Leyenda!$C$13,IF(C353=12,Leyenda!D410," "))))</f>
        <v xml:space="preserve">GASTOS POR TRABAJOS, SUMINISTROS Y SERVICIOS </v>
      </c>
      <c r="E353" s="196" t="s">
        <v>1557</v>
      </c>
      <c r="F353" s="247">
        <v>45562</v>
      </c>
      <c r="G353" s="247" t="str">
        <f t="shared" si="27"/>
        <v>septiembre</v>
      </c>
      <c r="H353" s="191">
        <v>25</v>
      </c>
      <c r="I353" s="148" t="str">
        <f>TEXT(gastos[[#This Row],[Fecha]],"DDDD")</f>
        <v>miércoles</v>
      </c>
      <c r="J353" s="249">
        <f t="shared" si="26"/>
        <v>45560</v>
      </c>
      <c r="K353" s="249"/>
      <c r="L353" s="147"/>
      <c r="M353" s="197">
        <v>0</v>
      </c>
      <c r="N353" s="197">
        <v>1603.72</v>
      </c>
      <c r="O353" s="198">
        <f t="shared" si="28"/>
        <v>1603.72</v>
      </c>
      <c r="P353" s="199">
        <v>0</v>
      </c>
      <c r="Q353" s="199">
        <v>0</v>
      </c>
      <c r="R353" s="199">
        <v>0</v>
      </c>
      <c r="S353">
        <v>0</v>
      </c>
      <c r="T353" s="200" t="str">
        <f>IFERROR(VLOOKUP($A353,Tabla3[#All],2,0),"no esta registrado")</f>
        <v>Farmacía Medicar GBC, A. H.</v>
      </c>
    </row>
    <row r="354" spans="1:20" ht="16.5" hidden="1" x14ac:dyDescent="0.3">
      <c r="A354" s="230" t="s">
        <v>504</v>
      </c>
      <c r="B354" s="193">
        <v>1</v>
      </c>
      <c r="C354" s="194">
        <v>2</v>
      </c>
      <c r="D354" s="195" t="str">
        <f>IF(C354=1,Leyenda!$C$3,IF(C354=2,Leyenda!$C$4,IF(C354=3,Leyenda!$C$5,IF(C354=4,Leyenda!$C$6,IF(C354=5,Leyenda!$C$7,IF(C354=6,Leyenda!$C$8,IF(C354=7,Leyenda!$C$9,IF(C354=8,Leyenda!$C$10," "))))))))&amp;IF(C354=9,Leyenda!$C$11,IF(C354=10,Leyenda!$C$12,IF(C354=11,Leyenda!$C$13,IF(C354=12,Leyenda!D411," "))))</f>
        <v xml:space="preserve">GASTOS POR TRABAJOS, SUMINISTROS Y SERVICIOS </v>
      </c>
      <c r="E354" s="196" t="s">
        <v>1558</v>
      </c>
      <c r="F354" s="247">
        <v>45562</v>
      </c>
      <c r="G354" s="247" t="str">
        <f t="shared" si="27"/>
        <v>septiembre</v>
      </c>
      <c r="H354" s="191">
        <v>28</v>
      </c>
      <c r="I354" s="148" t="str">
        <f>TEXT(gastos[[#This Row],[Fecha]],"DDDD")</f>
        <v>sábado</v>
      </c>
      <c r="J354" s="249">
        <f t="shared" si="26"/>
        <v>45563</v>
      </c>
      <c r="K354" s="249"/>
      <c r="L354" s="147"/>
      <c r="M354" s="197">
        <v>0</v>
      </c>
      <c r="N354" s="197">
        <v>394.95</v>
      </c>
      <c r="O354" s="198">
        <f t="shared" si="28"/>
        <v>394.95</v>
      </c>
      <c r="P354" s="199">
        <v>0</v>
      </c>
      <c r="Q354" s="199">
        <v>0</v>
      </c>
      <c r="R354" s="199">
        <v>0</v>
      </c>
      <c r="S354">
        <v>0</v>
      </c>
      <c r="T354" s="200" t="str">
        <f>IFERROR(VLOOKUP($A354,Tabla3[#All],2,0),"no esta registrado")</f>
        <v>Centro Cuesta Nacional S.A.S.//Supermercados Nacional//Casa Cuesta//Ferretería Cuesta//JUMBO//Bebemundo</v>
      </c>
    </row>
    <row r="355" spans="1:20" ht="16.5" hidden="1" x14ac:dyDescent="0.3">
      <c r="A355" s="230" t="s">
        <v>507</v>
      </c>
      <c r="B355" s="193">
        <v>1</v>
      </c>
      <c r="C355" s="194">
        <v>2</v>
      </c>
      <c r="D355" s="195" t="str">
        <f>IF(C355=1,Leyenda!$C$3,IF(C355=2,Leyenda!$C$4,IF(C355=3,Leyenda!$C$5,IF(C355=4,Leyenda!$C$6,IF(C355=5,Leyenda!$C$7,IF(C355=6,Leyenda!$C$8,IF(C355=7,Leyenda!$C$9,IF(C355=8,Leyenda!$C$10," "))))))))&amp;IF(C355=9,Leyenda!$C$11,IF(C355=10,Leyenda!$C$12,IF(C355=11,Leyenda!$C$13,IF(C355=12,Leyenda!D412," "))))</f>
        <v xml:space="preserve">GASTOS POR TRABAJOS, SUMINISTROS Y SERVICIOS </v>
      </c>
      <c r="E355" s="196" t="s">
        <v>1559</v>
      </c>
      <c r="F355" s="247">
        <v>45562</v>
      </c>
      <c r="G355" s="247" t="str">
        <f t="shared" si="27"/>
        <v>septiembre</v>
      </c>
      <c r="H355" s="191">
        <v>8</v>
      </c>
      <c r="I355" s="148" t="str">
        <f>TEXT(gastos[[#This Row],[Fecha]],"DDDD")</f>
        <v>domingo</v>
      </c>
      <c r="J355" s="249">
        <f t="shared" si="26"/>
        <v>45543</v>
      </c>
      <c r="K355" s="249"/>
      <c r="L355" s="147"/>
      <c r="M355" s="197">
        <v>0</v>
      </c>
      <c r="N355" s="197">
        <f>2914-124.93</f>
        <v>2789.07</v>
      </c>
      <c r="O355" s="198">
        <f t="shared" si="28"/>
        <v>2789.07</v>
      </c>
      <c r="P355" s="199">
        <v>124.93</v>
      </c>
      <c r="Q355" s="199">
        <v>0</v>
      </c>
      <c r="R355" s="199">
        <v>0</v>
      </c>
      <c r="S355">
        <v>0</v>
      </c>
      <c r="T355" s="200" t="str">
        <f>IFERROR(VLOOKUP($A355,Tabla3[#All],2,0),"no esta registrado")</f>
        <v>Grupo Ramos, S. A.//Super Pola//La Sirena</v>
      </c>
    </row>
    <row r="356" spans="1:20" ht="16.5" hidden="1" x14ac:dyDescent="0.3">
      <c r="A356" s="231" t="s">
        <v>742</v>
      </c>
      <c r="B356" s="193">
        <v>1</v>
      </c>
      <c r="C356" s="194">
        <v>2</v>
      </c>
      <c r="D356" s="195" t="str">
        <f>IF(C356=1,Leyenda!$C$3,IF(C356=2,Leyenda!$C$4,IF(C356=3,Leyenda!$C$5,IF(C356=4,Leyenda!$C$6,IF(C356=5,Leyenda!$C$7,IF(C356=6,Leyenda!$C$8,IF(C356=7,Leyenda!$C$9,IF(C356=8,Leyenda!$C$10," "))))))))&amp;IF(C356=9,Leyenda!$C$11,IF(C356=10,Leyenda!$C$12,IF(C356=11,Leyenda!$C$13,IF(C356=12,Leyenda!D413," "))))</f>
        <v xml:space="preserve">GASTOS POR TRABAJOS, SUMINISTROS Y SERVICIOS </v>
      </c>
      <c r="E356" s="196" t="s">
        <v>1560</v>
      </c>
      <c r="F356" s="247">
        <v>45562</v>
      </c>
      <c r="G356" s="247" t="str">
        <f t="shared" si="27"/>
        <v>septiembre</v>
      </c>
      <c r="H356" s="191">
        <v>3</v>
      </c>
      <c r="I356" s="148" t="str">
        <f>TEXT(gastos[[#This Row],[Fecha]],"DDDD")</f>
        <v>martes</v>
      </c>
      <c r="J356" s="249">
        <f t="shared" si="26"/>
        <v>45538</v>
      </c>
      <c r="K356" s="249"/>
      <c r="L356" s="147"/>
      <c r="M356" s="197">
        <v>0</v>
      </c>
      <c r="N356" s="197">
        <v>923.72</v>
      </c>
      <c r="O356" s="198">
        <f t="shared" si="28"/>
        <v>923.72</v>
      </c>
      <c r="P356" s="199">
        <v>166.27</v>
      </c>
      <c r="Q356" s="199">
        <v>0</v>
      </c>
      <c r="R356" s="199">
        <v>0</v>
      </c>
      <c r="S356">
        <v>0</v>
      </c>
      <c r="T356" s="200" t="str">
        <f>IFERROR(VLOOKUP($A356,Tabla3[#All],2,0),"no esta registrado")</f>
        <v>Narex, S.A.//Pizza Hut</v>
      </c>
    </row>
    <row r="357" spans="1:20" ht="16.5" hidden="1" x14ac:dyDescent="0.3">
      <c r="A357" s="230" t="s">
        <v>742</v>
      </c>
      <c r="B357" s="193">
        <v>1</v>
      </c>
      <c r="C357" s="194">
        <v>2</v>
      </c>
      <c r="D357" s="195" t="str">
        <f>IF(C357=1,Leyenda!$C$3,IF(C357=2,Leyenda!$C$4,IF(C357=3,Leyenda!$C$5,IF(C357=4,Leyenda!$C$6,IF(C357=5,Leyenda!$C$7,IF(C357=6,Leyenda!$C$8,IF(C357=7,Leyenda!$C$9,IF(C357=8,Leyenda!$C$10," "))))))))&amp;IF(C357=9,Leyenda!$C$11,IF(C357=10,Leyenda!$C$12,IF(C357=11,Leyenda!$C$13,IF(C357=12,Leyenda!D414," "))))</f>
        <v xml:space="preserve">GASTOS POR TRABAJOS, SUMINISTROS Y SERVICIOS </v>
      </c>
      <c r="E357" s="196" t="s">
        <v>1561</v>
      </c>
      <c r="F357" s="247">
        <v>45562</v>
      </c>
      <c r="G357" s="247" t="str">
        <f t="shared" si="27"/>
        <v>septiembre</v>
      </c>
      <c r="H357" s="191">
        <v>19</v>
      </c>
      <c r="I357" s="148" t="str">
        <f>TEXT(gastos[[#This Row],[Fecha]],"DDDD")</f>
        <v>jueves</v>
      </c>
      <c r="J357" s="249">
        <f t="shared" si="26"/>
        <v>45554</v>
      </c>
      <c r="K357" s="249"/>
      <c r="L357" s="147"/>
      <c r="M357" s="197">
        <v>0</v>
      </c>
      <c r="N357" s="197">
        <v>923.72</v>
      </c>
      <c r="O357" s="198">
        <f t="shared" si="28"/>
        <v>923.72</v>
      </c>
      <c r="P357" s="199">
        <v>166.27</v>
      </c>
      <c r="Q357" s="199">
        <v>0</v>
      </c>
      <c r="R357" s="199">
        <v>0</v>
      </c>
      <c r="S357">
        <v>0</v>
      </c>
      <c r="T357" s="200" t="str">
        <f>IFERROR(VLOOKUP($A357,Tabla3[#All],2,0),"no esta registrado")</f>
        <v>Narex, S.A.//Pizza Hut</v>
      </c>
    </row>
    <row r="358" spans="1:20" ht="16.5" hidden="1" x14ac:dyDescent="0.3">
      <c r="A358" s="230" t="s">
        <v>504</v>
      </c>
      <c r="B358" s="193">
        <v>1</v>
      </c>
      <c r="C358" s="194">
        <v>2</v>
      </c>
      <c r="D358" s="195" t="str">
        <f>IF(C358=1,Leyenda!$C$3,IF(C358=2,Leyenda!$C$4,IF(C358=3,Leyenda!$C$5,IF(C358=4,Leyenda!$C$6,IF(C358=5,Leyenda!$C$7,IF(C358=6,Leyenda!$C$8,IF(C358=7,Leyenda!$C$9,IF(C358=8,Leyenda!$C$10," "))))))))&amp;IF(C358=9,Leyenda!$C$11,IF(C358=10,Leyenda!$C$12,IF(C358=11,Leyenda!$C$13,IF(C358=12,Leyenda!D415," "))))</f>
        <v xml:space="preserve">GASTOS POR TRABAJOS, SUMINISTROS Y SERVICIOS </v>
      </c>
      <c r="E358" s="196" t="s">
        <v>1562</v>
      </c>
      <c r="F358" s="247">
        <v>45562</v>
      </c>
      <c r="G358" s="247" t="str">
        <f t="shared" si="27"/>
        <v>septiembre</v>
      </c>
      <c r="H358" s="191">
        <v>19</v>
      </c>
      <c r="I358" s="148" t="str">
        <f>TEXT(gastos[[#This Row],[Fecha]],"DDDD")</f>
        <v>jueves</v>
      </c>
      <c r="J358" s="249">
        <f t="shared" si="26"/>
        <v>45554</v>
      </c>
      <c r="K358" s="249"/>
      <c r="L358" s="147"/>
      <c r="M358" s="197">
        <v>0</v>
      </c>
      <c r="N358" s="197">
        <f>1387.37-211.64</f>
        <v>1175.73</v>
      </c>
      <c r="O358" s="198">
        <f t="shared" si="28"/>
        <v>1175.73</v>
      </c>
      <c r="P358" s="199">
        <v>211.64</v>
      </c>
      <c r="Q358" s="199">
        <v>0</v>
      </c>
      <c r="R358" s="199">
        <v>0</v>
      </c>
      <c r="S358">
        <v>0</v>
      </c>
      <c r="T358" s="200" t="str">
        <f>IFERROR(VLOOKUP($A358,Tabla3[#All],2,0),"no esta registrado")</f>
        <v>Centro Cuesta Nacional S.A.S.//Supermercados Nacional//Casa Cuesta//Ferretería Cuesta//JUMBO//Bebemundo</v>
      </c>
    </row>
    <row r="359" spans="1:20" ht="16.5" hidden="1" x14ac:dyDescent="0.3">
      <c r="A359" s="230" t="s">
        <v>504</v>
      </c>
      <c r="B359" s="193">
        <v>1</v>
      </c>
      <c r="C359" s="194">
        <v>2</v>
      </c>
      <c r="D359" s="195" t="str">
        <f>IF(C359=1,Leyenda!$C$3,IF(C359=2,Leyenda!$C$4,IF(C359=3,Leyenda!$C$5,IF(C359=4,Leyenda!$C$6,IF(C359=5,Leyenda!$C$7,IF(C359=6,Leyenda!$C$8,IF(C359=7,Leyenda!$C$9,IF(C359=8,Leyenda!$C$10," "))))))))&amp;IF(C359=9,Leyenda!$C$11,IF(C359=10,Leyenda!$C$12,IF(C359=11,Leyenda!$C$13,IF(C359=12,Leyenda!D416," "))))</f>
        <v xml:space="preserve">GASTOS POR TRABAJOS, SUMINISTROS Y SERVICIOS </v>
      </c>
      <c r="E359" s="196" t="s">
        <v>1563</v>
      </c>
      <c r="F359" s="247">
        <v>45562</v>
      </c>
      <c r="G359" s="247" t="str">
        <f t="shared" si="27"/>
        <v>septiembre</v>
      </c>
      <c r="H359" s="191">
        <v>27</v>
      </c>
      <c r="I359" s="148" t="str">
        <f>TEXT(gastos[[#This Row],[Fecha]],"DDDD")</f>
        <v>viernes</v>
      </c>
      <c r="J359" s="249">
        <f t="shared" si="26"/>
        <v>45562</v>
      </c>
      <c r="K359" s="249"/>
      <c r="L359" s="147"/>
      <c r="M359" s="197">
        <v>0</v>
      </c>
      <c r="N359" s="197">
        <f>2018.95-307.99</f>
        <v>1710.96</v>
      </c>
      <c r="O359" s="198">
        <f t="shared" si="28"/>
        <v>1710.96</v>
      </c>
      <c r="P359" s="199">
        <v>307.99</v>
      </c>
      <c r="Q359" s="199">
        <v>0</v>
      </c>
      <c r="R359" s="199">
        <v>0</v>
      </c>
      <c r="S359">
        <v>0</v>
      </c>
      <c r="T359" s="200" t="str">
        <f>IFERROR(VLOOKUP($A359,Tabla3[#All],2,0),"no esta registrado")</f>
        <v>Centro Cuesta Nacional S.A.S.//Supermercados Nacional//Casa Cuesta//Ferretería Cuesta//JUMBO//Bebemundo</v>
      </c>
    </row>
    <row r="360" spans="1:20" ht="16.5" hidden="1" x14ac:dyDescent="0.3">
      <c r="A360" s="230" t="s">
        <v>925</v>
      </c>
      <c r="B360" s="193">
        <v>1</v>
      </c>
      <c r="C360" s="194">
        <v>2</v>
      </c>
      <c r="D360" s="195" t="str">
        <f>IF(C360=1,Leyenda!$C$3,IF(C360=2,Leyenda!$C$4,IF(C360=3,Leyenda!$C$5,IF(C360=4,Leyenda!$C$6,IF(C360=5,Leyenda!$C$7,IF(C360=6,Leyenda!$C$8,IF(C360=7,Leyenda!$C$9,IF(C360=8,Leyenda!$C$10," "))))))))&amp;IF(C360=9,Leyenda!$C$11,IF(C360=10,Leyenda!$C$12,IF(C360=11,Leyenda!$C$13,IF(C360=12,Leyenda!D417," "))))</f>
        <v xml:space="preserve">GASTOS POR TRABAJOS, SUMINISTROS Y SERVICIOS </v>
      </c>
      <c r="E360" s="196" t="s">
        <v>1564</v>
      </c>
      <c r="F360" s="247">
        <v>45562</v>
      </c>
      <c r="G360" s="247" t="str">
        <f t="shared" si="27"/>
        <v>septiembre</v>
      </c>
      <c r="H360" s="191">
        <v>8</v>
      </c>
      <c r="I360" s="148" t="str">
        <f>TEXT(gastos[[#This Row],[Fecha]],"DDDD")</f>
        <v>domingo</v>
      </c>
      <c r="J360" s="249">
        <f t="shared" si="26"/>
        <v>45543</v>
      </c>
      <c r="K360" s="249"/>
      <c r="L360" s="147"/>
      <c r="M360" s="197">
        <v>0</v>
      </c>
      <c r="N360" s="197">
        <v>2000</v>
      </c>
      <c r="O360" s="198">
        <f t="shared" si="28"/>
        <v>2000</v>
      </c>
      <c r="P360" s="199">
        <v>360</v>
      </c>
      <c r="Q360" s="199">
        <v>0</v>
      </c>
      <c r="R360" s="199">
        <v>200</v>
      </c>
      <c r="S360">
        <v>0</v>
      </c>
      <c r="T360" s="200" t="str">
        <f>IFERROR(VLOOKUP($A360,Tabla3[#All],2,0),"no esta registrado")</f>
        <v>Jade Teriyaki, S.A.</v>
      </c>
    </row>
    <row r="361" spans="1:20" ht="16.5" hidden="1" x14ac:dyDescent="0.3">
      <c r="A361" s="231" t="s">
        <v>633</v>
      </c>
      <c r="B361" s="193">
        <v>1</v>
      </c>
      <c r="C361" s="194">
        <v>2</v>
      </c>
      <c r="D361" s="195" t="str">
        <f>IF(C361=1,Leyenda!$C$3,IF(C361=2,Leyenda!$C$4,IF(C361=3,Leyenda!$C$5,IF(C361=4,Leyenda!$C$6,IF(C361=5,Leyenda!$C$7,IF(C361=6,Leyenda!$C$8,IF(C361=7,Leyenda!$C$9,IF(C361=8,Leyenda!$C$10," "))))))))&amp;IF(C361=9,Leyenda!$C$11,IF(C361=10,Leyenda!$C$12,IF(C361=11,Leyenda!$C$13,IF(C361=12,Leyenda!D418," "))))</f>
        <v xml:space="preserve">GASTOS POR TRABAJOS, SUMINISTROS Y SERVICIOS </v>
      </c>
      <c r="E361" s="196" t="s">
        <v>1565</v>
      </c>
      <c r="F361" s="247">
        <v>45562</v>
      </c>
      <c r="G361" s="247" t="str">
        <f t="shared" si="27"/>
        <v>septiembre</v>
      </c>
      <c r="H361" s="191">
        <v>29</v>
      </c>
      <c r="I361" s="148" t="str">
        <f>TEXT(gastos[[#This Row],[Fecha]],"DDDD")</f>
        <v>domingo</v>
      </c>
      <c r="J361" s="249">
        <f t="shared" si="26"/>
        <v>45564</v>
      </c>
      <c r="K361" s="249"/>
      <c r="L361" s="147"/>
      <c r="M361" s="197">
        <v>0</v>
      </c>
      <c r="N361" s="197">
        <v>2187.4899999999998</v>
      </c>
      <c r="O361" s="198">
        <f t="shared" si="28"/>
        <v>2187.4899999999998</v>
      </c>
      <c r="P361" s="199">
        <v>393.75</v>
      </c>
      <c r="Q361" s="199">
        <v>0</v>
      </c>
      <c r="R361" s="199">
        <v>218.75</v>
      </c>
      <c r="S361">
        <v>0</v>
      </c>
      <c r="T361" s="200" t="str">
        <f>IFERROR(VLOOKUP($A361,Tabla3[#All],2,0),"no esta registrado")</f>
        <v>Raya Food Dominicana,S.R.L.//Wendys</v>
      </c>
    </row>
    <row r="362" spans="1:20" ht="16.5" hidden="1" x14ac:dyDescent="0.3">
      <c r="A362" s="230" t="s">
        <v>511</v>
      </c>
      <c r="B362" s="193">
        <v>1</v>
      </c>
      <c r="C362" s="194">
        <v>2</v>
      </c>
      <c r="D362" s="195" t="str">
        <f>IF(C362=1,Leyenda!$C$3,IF(C362=2,Leyenda!$C$4,IF(C362=3,Leyenda!$C$5,IF(C362=4,Leyenda!$C$6,IF(C362=5,Leyenda!$C$7,IF(C362=6,Leyenda!$C$8,IF(C362=7,Leyenda!$C$9,IF(C362=8,Leyenda!$C$10," "))))))))&amp;IF(C362=9,Leyenda!$C$11,IF(C362=10,Leyenda!$C$12,IF(C362=11,Leyenda!$C$13,IF(C362=12,Leyenda!D419," "))))</f>
        <v xml:space="preserve">GASTOS POR TRABAJOS, SUMINISTROS Y SERVICIOS </v>
      </c>
      <c r="E362" s="196" t="s">
        <v>1566</v>
      </c>
      <c r="F362" s="247">
        <v>45562</v>
      </c>
      <c r="G362" s="247" t="str">
        <f t="shared" si="27"/>
        <v>septiembre</v>
      </c>
      <c r="H362" s="191">
        <v>7</v>
      </c>
      <c r="I362" s="148" t="str">
        <f>TEXT(gastos[[#This Row],[Fecha]],"DDDD")</f>
        <v>sábado</v>
      </c>
      <c r="J362" s="249">
        <f t="shared" si="26"/>
        <v>45542</v>
      </c>
      <c r="K362" s="249"/>
      <c r="L362" s="147"/>
      <c r="M362" s="197">
        <v>0</v>
      </c>
      <c r="N362" s="197">
        <f>12659-898.01</f>
        <v>11760.99</v>
      </c>
      <c r="O362" s="198">
        <f t="shared" si="28"/>
        <v>11760.99</v>
      </c>
      <c r="P362" s="199">
        <v>898.01</v>
      </c>
      <c r="Q362" s="199">
        <v>0</v>
      </c>
      <c r="R362" s="199">
        <v>0</v>
      </c>
      <c r="S362">
        <v>0</v>
      </c>
      <c r="T362" s="200" t="str">
        <f>IFERROR(VLOOKUP($A362,Tabla3[#All],2,0),"no esta registrado")</f>
        <v>Bravo, S.A.//Supermercados Bravo</v>
      </c>
    </row>
    <row r="363" spans="1:20" ht="16.5" hidden="1" x14ac:dyDescent="0.3">
      <c r="A363" s="230" t="s">
        <v>511</v>
      </c>
      <c r="B363" s="193">
        <v>1</v>
      </c>
      <c r="C363" s="194">
        <v>2</v>
      </c>
      <c r="D363" s="195" t="str">
        <f>IF(C363=1,Leyenda!$C$3,IF(C363=2,Leyenda!$C$4,IF(C363=3,Leyenda!$C$5,IF(C363=4,Leyenda!$C$6,IF(C363=5,Leyenda!$C$7,IF(C363=6,Leyenda!$C$8,IF(C363=7,Leyenda!$C$9,IF(C363=8,Leyenda!$C$10," "))))))))&amp;IF(C363=9,Leyenda!$C$11,IF(C363=10,Leyenda!$C$12,IF(C363=11,Leyenda!$C$13,IF(C363=12,Leyenda!D420," "))))</f>
        <v xml:space="preserve">GASTOS POR TRABAJOS, SUMINISTROS Y SERVICIOS </v>
      </c>
      <c r="E363" s="196" t="s">
        <v>1567</v>
      </c>
      <c r="F363" s="247">
        <v>45562</v>
      </c>
      <c r="G363" s="247" t="str">
        <f t="shared" si="27"/>
        <v>septiembre</v>
      </c>
      <c r="H363" s="191">
        <v>13</v>
      </c>
      <c r="I363" s="148" t="str">
        <f>TEXT(gastos[[#This Row],[Fecha]],"DDDD")</f>
        <v>viernes</v>
      </c>
      <c r="J363" s="249">
        <f t="shared" si="26"/>
        <v>45548</v>
      </c>
      <c r="K363" s="249"/>
      <c r="L363" s="147"/>
      <c r="M363" s="197">
        <v>0</v>
      </c>
      <c r="N363" s="197">
        <f>6121.08-308.28</f>
        <v>5812.8</v>
      </c>
      <c r="O363" s="198">
        <f t="shared" si="28"/>
        <v>5812.8</v>
      </c>
      <c r="P363" s="199">
        <v>309.27999999999997</v>
      </c>
      <c r="Q363" s="199">
        <v>0</v>
      </c>
      <c r="R363" s="199">
        <v>0</v>
      </c>
      <c r="S363">
        <v>0</v>
      </c>
      <c r="T363" s="200" t="str">
        <f>IFERROR(VLOOKUP($A363,Tabla3[#All],2,0),"no esta registrado")</f>
        <v>Bravo, S.A.//Supermercados Bravo</v>
      </c>
    </row>
    <row r="364" spans="1:20" ht="16.5" hidden="1" x14ac:dyDescent="0.3">
      <c r="A364" s="230" t="s">
        <v>511</v>
      </c>
      <c r="B364" s="193">
        <v>1</v>
      </c>
      <c r="C364" s="194">
        <v>2</v>
      </c>
      <c r="D364" s="195" t="str">
        <f>IF(C364=1,Leyenda!$C$3,IF(C364=2,Leyenda!$C$4,IF(C364=3,Leyenda!$C$5,IF(C364=4,Leyenda!$C$6,IF(C364=5,Leyenda!$C$7,IF(C364=6,Leyenda!$C$8,IF(C364=7,Leyenda!$C$9,IF(C364=8,Leyenda!$C$10," "))))))))&amp;IF(C364=9,Leyenda!$C$11,IF(C364=10,Leyenda!$C$12,IF(C364=11,Leyenda!$C$13,IF(C364=12,Leyenda!D421," "))))</f>
        <v xml:space="preserve">GASTOS POR TRABAJOS, SUMINISTROS Y SERVICIOS </v>
      </c>
      <c r="E364" s="196" t="s">
        <v>1568</v>
      </c>
      <c r="F364" s="247">
        <v>45562</v>
      </c>
      <c r="G364" s="247" t="str">
        <f t="shared" si="27"/>
        <v>septiembre</v>
      </c>
      <c r="H364" s="191">
        <v>27</v>
      </c>
      <c r="I364" s="148" t="str">
        <f>TEXT(gastos[[#This Row],[Fecha]],"DDDD")</f>
        <v>viernes</v>
      </c>
      <c r="J364" s="249">
        <f t="shared" si="26"/>
        <v>45562</v>
      </c>
      <c r="K364" s="249"/>
      <c r="L364" s="147"/>
      <c r="M364" s="197">
        <v>0</v>
      </c>
      <c r="N364" s="197">
        <f>8648-754.13</f>
        <v>7893.87</v>
      </c>
      <c r="O364" s="198">
        <f t="shared" si="28"/>
        <v>7893.87</v>
      </c>
      <c r="P364" s="199">
        <v>754.13</v>
      </c>
      <c r="Q364" s="199">
        <v>0</v>
      </c>
      <c r="R364" s="199">
        <v>0</v>
      </c>
      <c r="S364">
        <v>0</v>
      </c>
      <c r="T364" s="200" t="str">
        <f>IFERROR(VLOOKUP($A364,Tabla3[#All],2,0),"no esta registrado")</f>
        <v>Bravo, S.A.//Supermercados Bravo</v>
      </c>
    </row>
    <row r="365" spans="1:20" ht="16.5" hidden="1" x14ac:dyDescent="0.3">
      <c r="A365" s="230" t="s">
        <v>1116</v>
      </c>
      <c r="B365" s="193">
        <v>1</v>
      </c>
      <c r="C365" s="194">
        <v>2</v>
      </c>
      <c r="D365" s="195" t="str">
        <f>IF(C365=1,Leyenda!$C$3,IF(C365=2,Leyenda!$C$4,IF(C365=3,Leyenda!$C$5,IF(C365=4,Leyenda!$C$6,IF(C365=5,Leyenda!$C$7,IF(C365=6,Leyenda!$C$8,IF(C365=7,Leyenda!$C$9,IF(C365=8,Leyenda!$C$10," "))))))))&amp;IF(C365=9,Leyenda!$C$11,IF(C365=10,Leyenda!$C$12,IF(C365=11,Leyenda!$C$13,IF(C365=12,Leyenda!D422," "))))</f>
        <v xml:space="preserve">GASTOS POR TRABAJOS, SUMINISTROS Y SERVICIOS </v>
      </c>
      <c r="E365" s="196" t="s">
        <v>1569</v>
      </c>
      <c r="F365" s="247">
        <v>45562</v>
      </c>
      <c r="G365" s="247" t="str">
        <f t="shared" si="27"/>
        <v>septiembre</v>
      </c>
      <c r="H365" s="191">
        <v>27</v>
      </c>
      <c r="I365" s="148" t="str">
        <f>TEXT(gastos[[#This Row],[Fecha]],"DDDD")</f>
        <v>viernes</v>
      </c>
      <c r="J365" s="249">
        <f t="shared" si="26"/>
        <v>45562</v>
      </c>
      <c r="K365" s="249"/>
      <c r="L365" s="147"/>
      <c r="M365" s="197">
        <v>7600</v>
      </c>
      <c r="N365" s="197">
        <v>0</v>
      </c>
      <c r="O365" s="198">
        <f t="shared" si="28"/>
        <v>7600</v>
      </c>
      <c r="P365" s="199">
        <v>0</v>
      </c>
      <c r="Q365" s="199">
        <v>0</v>
      </c>
      <c r="R365" s="199">
        <v>0</v>
      </c>
      <c r="S365">
        <v>0</v>
      </c>
      <c r="T365" s="200" t="str">
        <f>IFERROR(VLOOKUP($A365,Tabla3[#All],2,0),"no esta registrado")</f>
        <v>COLEGIO SANTA ROSA DE LIMA</v>
      </c>
    </row>
    <row r="366" spans="1:20" ht="16.5" hidden="1" x14ac:dyDescent="0.3">
      <c r="A366" s="230" t="s">
        <v>1116</v>
      </c>
      <c r="B366" s="193">
        <v>1</v>
      </c>
      <c r="C366" s="194">
        <v>2</v>
      </c>
      <c r="D366" s="195" t="str">
        <f>IF(C366=1,Leyenda!$C$3,IF(C366=2,Leyenda!$C$4,IF(C366=3,Leyenda!$C$5,IF(C366=4,Leyenda!$C$6,IF(C366=5,Leyenda!$C$7,IF(C366=6,Leyenda!$C$8,IF(C366=7,Leyenda!$C$9,IF(C366=8,Leyenda!$C$10," "))))))))&amp;IF(C366=9,Leyenda!$C$11,IF(C366=10,Leyenda!$C$12,IF(C366=11,Leyenda!$C$13,IF(C366=12,Leyenda!D423," "))))</f>
        <v xml:space="preserve">GASTOS POR TRABAJOS, SUMINISTROS Y SERVICIOS </v>
      </c>
      <c r="E366" s="196" t="s">
        <v>1570</v>
      </c>
      <c r="F366" s="247">
        <v>45562</v>
      </c>
      <c r="G366" s="247" t="str">
        <f t="shared" si="27"/>
        <v>septiembre</v>
      </c>
      <c r="H366" s="191">
        <v>27</v>
      </c>
      <c r="I366" s="148" t="str">
        <f>TEXT(gastos[[#This Row],[Fecha]],"DDDD")</f>
        <v>viernes</v>
      </c>
      <c r="J366" s="249">
        <f t="shared" si="26"/>
        <v>45562</v>
      </c>
      <c r="K366" s="249"/>
      <c r="L366" s="147"/>
      <c r="M366" s="197">
        <v>7300</v>
      </c>
      <c r="N366" s="197">
        <v>0</v>
      </c>
      <c r="O366" s="198">
        <f t="shared" si="28"/>
        <v>7300</v>
      </c>
      <c r="P366" s="199">
        <v>0</v>
      </c>
      <c r="Q366" s="199">
        <v>0</v>
      </c>
      <c r="R366" s="199">
        <v>0</v>
      </c>
      <c r="S366">
        <v>0</v>
      </c>
      <c r="T366" s="200" t="str">
        <f>IFERROR(VLOOKUP($A366,Tabla3[#All],2,0),"no esta registrado")</f>
        <v>COLEGIO SANTA ROSA DE LIMA</v>
      </c>
    </row>
    <row r="367" spans="1:20" ht="16.5" hidden="1" x14ac:dyDescent="0.3">
      <c r="A367" s="230" t="s">
        <v>1116</v>
      </c>
      <c r="B367" s="193">
        <v>1</v>
      </c>
      <c r="C367" s="194">
        <v>2</v>
      </c>
      <c r="D367" s="195" t="str">
        <f>IF(C367=1,Leyenda!$C$3,IF(C367=2,Leyenda!$C$4,IF(C367=3,Leyenda!$C$5,IF(C367=4,Leyenda!$C$6,IF(C367=5,Leyenda!$C$7,IF(C367=6,Leyenda!$C$8,IF(C367=7,Leyenda!$C$9,IF(C367=8,Leyenda!$C$10," "))))))))&amp;IF(C367=9,Leyenda!$C$11,IF(C367=10,Leyenda!$C$12,IF(C367=11,Leyenda!$C$13,IF(C367=12,Leyenda!D424," "))))</f>
        <v xml:space="preserve">GASTOS POR TRABAJOS, SUMINISTROS Y SERVICIOS </v>
      </c>
      <c r="E367" s="196" t="s">
        <v>1571</v>
      </c>
      <c r="F367" s="247">
        <v>45562</v>
      </c>
      <c r="G367" s="247" t="str">
        <f t="shared" si="27"/>
        <v>septiembre</v>
      </c>
      <c r="H367" s="191">
        <v>27</v>
      </c>
      <c r="I367" s="148" t="str">
        <f>TEXT(gastos[[#This Row],[Fecha]],"DDDD")</f>
        <v>viernes</v>
      </c>
      <c r="J367" s="249">
        <f t="shared" si="26"/>
        <v>45562</v>
      </c>
      <c r="K367" s="249"/>
      <c r="L367" s="147"/>
      <c r="M367" s="197">
        <v>7300</v>
      </c>
      <c r="N367" s="197">
        <v>0</v>
      </c>
      <c r="O367" s="198">
        <f t="shared" si="28"/>
        <v>7300</v>
      </c>
      <c r="P367" s="199">
        <v>0</v>
      </c>
      <c r="Q367" s="199">
        <v>0</v>
      </c>
      <c r="R367" s="199">
        <v>0</v>
      </c>
      <c r="S367">
        <v>0</v>
      </c>
      <c r="T367" s="200" t="str">
        <f>IFERROR(VLOOKUP($A367,Tabla3[#All],2,0),"no esta registrado")</f>
        <v>COLEGIO SANTA ROSA DE LIMA</v>
      </c>
    </row>
    <row r="368" spans="1:20" ht="16.5" hidden="1" x14ac:dyDescent="0.3">
      <c r="A368" s="230" t="s">
        <v>504</v>
      </c>
      <c r="B368" s="193">
        <v>1</v>
      </c>
      <c r="C368" s="194">
        <v>2</v>
      </c>
      <c r="D368" s="195" t="str">
        <f>IF(C368=1,Leyenda!$C$3,IF(C368=2,Leyenda!$C$4,IF(C368=3,Leyenda!$C$5,IF(C368=4,Leyenda!$C$6,IF(C368=5,Leyenda!$C$7,IF(C368=6,Leyenda!$C$8,IF(C368=7,Leyenda!$C$9,IF(C368=8,Leyenda!$C$10," "))))))))&amp;IF(C368=9,Leyenda!$C$11,IF(C368=10,Leyenda!$C$12,IF(C368=11,Leyenda!$C$13,IF(C368=12,Leyenda!D425," "))))</f>
        <v xml:space="preserve">GASTOS POR TRABAJOS, SUMINISTROS Y SERVICIOS </v>
      </c>
      <c r="E368" s="196" t="s">
        <v>1572</v>
      </c>
      <c r="F368" s="247">
        <v>45562</v>
      </c>
      <c r="G368" s="247" t="str">
        <f t="shared" si="27"/>
        <v>septiembre</v>
      </c>
      <c r="H368" s="191">
        <v>20</v>
      </c>
      <c r="I368" s="148" t="str">
        <f>TEXT(gastos[[#This Row],[Fecha]],"DDDD")</f>
        <v>viernes</v>
      </c>
      <c r="J368" s="249">
        <f t="shared" si="26"/>
        <v>45555</v>
      </c>
      <c r="K368" s="249"/>
      <c r="L368" s="147"/>
      <c r="M368" s="197">
        <v>0</v>
      </c>
      <c r="N368" s="197">
        <v>1715</v>
      </c>
      <c r="O368" s="198">
        <f t="shared" si="28"/>
        <v>1715</v>
      </c>
      <c r="P368" s="199">
        <v>0</v>
      </c>
      <c r="Q368" s="199">
        <v>0</v>
      </c>
      <c r="R368" s="199">
        <v>0</v>
      </c>
      <c r="S368">
        <v>0</v>
      </c>
      <c r="T368" s="200" t="str">
        <f>IFERROR(VLOOKUP($A368,Tabla3[#All],2,0),"no esta registrado")</f>
        <v>Centro Cuesta Nacional S.A.S.//Supermercados Nacional//Casa Cuesta//Ferretería Cuesta//JUMBO//Bebemundo</v>
      </c>
    </row>
    <row r="369" spans="1:20" ht="16.5" hidden="1" x14ac:dyDescent="0.3">
      <c r="A369" s="230" t="s">
        <v>1114</v>
      </c>
      <c r="B369" s="193">
        <v>1</v>
      </c>
      <c r="C369" s="194">
        <v>2</v>
      </c>
      <c r="D369" s="195" t="str">
        <f>IF(C369=1,Leyenda!$C$3,IF(C369=2,Leyenda!$C$4,IF(C369=3,Leyenda!$C$5,IF(C369=4,Leyenda!$C$6,IF(C369=5,Leyenda!$C$7,IF(C369=6,Leyenda!$C$8,IF(C369=7,Leyenda!$C$9,IF(C369=8,Leyenda!$C$10," "))))))))&amp;IF(C369=9,Leyenda!$C$11,IF(C369=10,Leyenda!$C$12,IF(C369=11,Leyenda!$C$13,IF(C369=12,Leyenda!D426," "))))</f>
        <v xml:space="preserve">GASTOS POR TRABAJOS, SUMINISTROS Y SERVICIOS </v>
      </c>
      <c r="E369" s="196" t="s">
        <v>1573</v>
      </c>
      <c r="F369" s="247">
        <v>45562</v>
      </c>
      <c r="G369" s="247" t="str">
        <f t="shared" si="27"/>
        <v>septiembre</v>
      </c>
      <c r="H369" s="191">
        <v>13</v>
      </c>
      <c r="I369" s="148" t="str">
        <f>TEXT(gastos[[#This Row],[Fecha]],"DDDD")</f>
        <v>viernes</v>
      </c>
      <c r="J369" s="249">
        <f t="shared" si="26"/>
        <v>45548</v>
      </c>
      <c r="K369" s="249"/>
      <c r="L369" s="147"/>
      <c r="M369" s="197">
        <v>3190</v>
      </c>
      <c r="N369" s="197">
        <v>0</v>
      </c>
      <c r="O369" s="198">
        <f t="shared" si="28"/>
        <v>3190</v>
      </c>
      <c r="P369" s="199">
        <v>0</v>
      </c>
      <c r="Q369" s="199">
        <v>0</v>
      </c>
      <c r="R369" s="199">
        <v>0</v>
      </c>
      <c r="S369">
        <v>0</v>
      </c>
      <c r="T369" s="200" t="str">
        <f>IFERROR(VLOOKUP($A369,Tabla3[#All],2,0),"no esta registrado")</f>
        <v>ACADEMIA EUROPEA</v>
      </c>
    </row>
    <row r="370" spans="1:20" ht="16.5" hidden="1" x14ac:dyDescent="0.3">
      <c r="A370" s="230" t="s">
        <v>1114</v>
      </c>
      <c r="B370" s="193">
        <v>1</v>
      </c>
      <c r="C370" s="194">
        <v>2</v>
      </c>
      <c r="D370" s="195" t="str">
        <f>IF(C370=1,Leyenda!$C$3,IF(C370=2,Leyenda!$C$4,IF(C370=3,Leyenda!$C$5,IF(C370=4,Leyenda!$C$6,IF(C370=5,Leyenda!$C$7,IF(C370=6,Leyenda!$C$8,IF(C370=7,Leyenda!$C$9,IF(C370=8,Leyenda!$C$10," "))))))))&amp;IF(C370=9,Leyenda!$C$11,IF(C370=10,Leyenda!$C$12,IF(C370=11,Leyenda!$C$13,IF(C370=12,Leyenda!D427," "))))</f>
        <v xml:space="preserve">GASTOS POR TRABAJOS, SUMINISTROS Y SERVICIOS </v>
      </c>
      <c r="E370" s="196" t="s">
        <v>1574</v>
      </c>
      <c r="F370" s="247">
        <v>45562</v>
      </c>
      <c r="G370" s="247" t="str">
        <f t="shared" si="27"/>
        <v>septiembre</v>
      </c>
      <c r="H370" s="191">
        <v>27</v>
      </c>
      <c r="I370" s="148" t="str">
        <f>TEXT(gastos[[#This Row],[Fecha]],"DDDD")</f>
        <v>viernes</v>
      </c>
      <c r="J370" s="249">
        <f t="shared" si="26"/>
        <v>45562</v>
      </c>
      <c r="K370" s="249"/>
      <c r="L370" s="147"/>
      <c r="M370" s="197">
        <v>8696</v>
      </c>
      <c r="N370" s="197">
        <v>0</v>
      </c>
      <c r="O370" s="198">
        <f t="shared" si="28"/>
        <v>8696</v>
      </c>
      <c r="P370" s="199">
        <v>0</v>
      </c>
      <c r="Q370" s="199">
        <v>0</v>
      </c>
      <c r="R370" s="199">
        <v>0</v>
      </c>
      <c r="S370">
        <v>0</v>
      </c>
      <c r="T370" s="200" t="str">
        <f>IFERROR(VLOOKUP($A370,Tabla3[#All],2,0),"no esta registrado")</f>
        <v>ACADEMIA EUROPEA</v>
      </c>
    </row>
    <row r="371" spans="1:20" ht="16.5" hidden="1" x14ac:dyDescent="0.3">
      <c r="A371" s="230" t="s">
        <v>495</v>
      </c>
      <c r="B371" s="193">
        <v>1</v>
      </c>
      <c r="C371" s="194">
        <v>2</v>
      </c>
      <c r="D371" s="195" t="str">
        <f>IF(C371=1,Leyenda!$C$3,IF(C371=2,Leyenda!$C$4,IF(C371=3,Leyenda!$C$5,IF(C371=4,Leyenda!$C$6,IF(C371=5,Leyenda!$C$7,IF(C371=6,Leyenda!$C$8,IF(C371=7,Leyenda!$C$9,IF(C371=8,Leyenda!$C$10," "))))))))&amp;IF(C371=9,Leyenda!$C$11,IF(C371=10,Leyenda!$C$12,IF(C371=11,Leyenda!$C$13,IF(C371=12,Leyenda!D428," "))))</f>
        <v xml:space="preserve">GASTOS POR TRABAJOS, SUMINISTROS Y SERVICIOS </v>
      </c>
      <c r="E371" s="196" t="s">
        <v>1575</v>
      </c>
      <c r="F371" s="247">
        <v>45562</v>
      </c>
      <c r="G371" s="247" t="str">
        <f t="shared" si="27"/>
        <v>septiembre</v>
      </c>
      <c r="H371" s="191">
        <v>7</v>
      </c>
      <c r="I371" s="148" t="str">
        <f>TEXT(gastos[[#This Row],[Fecha]],"DDDD")</f>
        <v>sábado</v>
      </c>
      <c r="J371" s="249">
        <f t="shared" si="26"/>
        <v>45542</v>
      </c>
      <c r="K371" s="249"/>
      <c r="L371" s="147"/>
      <c r="M371" s="197">
        <v>2407.69</v>
      </c>
      <c r="N371" s="197">
        <v>0</v>
      </c>
      <c r="O371" s="198">
        <f t="shared" si="28"/>
        <v>2407.69</v>
      </c>
      <c r="P371" s="199">
        <v>433.39</v>
      </c>
      <c r="Q371" s="199">
        <v>0</v>
      </c>
      <c r="R371" s="199">
        <v>0</v>
      </c>
      <c r="S371">
        <v>0</v>
      </c>
      <c r="T371" s="200" t="str">
        <f>IFERROR(VLOOKUP($A371,Tabla3[#All],2,0),"no esta registrado")</f>
        <v>CLARO//CODETEL</v>
      </c>
    </row>
    <row r="372" spans="1:20" ht="16.5" hidden="1" x14ac:dyDescent="0.3">
      <c r="A372" s="230" t="s">
        <v>495</v>
      </c>
      <c r="B372" s="193">
        <v>1</v>
      </c>
      <c r="C372" s="194">
        <v>2</v>
      </c>
      <c r="D372" s="195" t="str">
        <f>IF(C372=1,Leyenda!$C$3,IF(C372=2,Leyenda!$C$4,IF(C372=3,Leyenda!$C$5,IF(C372=4,Leyenda!$C$6,IF(C372=5,Leyenda!$C$7,IF(C372=6,Leyenda!$C$8,IF(C372=7,Leyenda!$C$9,IF(C372=8,Leyenda!$C$10," "))))))))&amp;IF(C372=9,Leyenda!$C$11,IF(C372=10,Leyenda!$C$12,IF(C372=11,Leyenda!$C$13,IF(C372=12,Leyenda!D429," "))))</f>
        <v xml:space="preserve">GASTOS POR TRABAJOS, SUMINISTROS Y SERVICIOS </v>
      </c>
      <c r="E372" s="196" t="s">
        <v>1576</v>
      </c>
      <c r="F372" s="247">
        <v>45562</v>
      </c>
      <c r="G372" s="247" t="str">
        <f t="shared" si="27"/>
        <v>septiembre</v>
      </c>
      <c r="H372" s="191">
        <v>7</v>
      </c>
      <c r="I372" s="148" t="str">
        <f>TEXT(gastos[[#This Row],[Fecha]],"DDDD")</f>
        <v>sábado</v>
      </c>
      <c r="J372" s="249">
        <f t="shared" si="26"/>
        <v>45542</v>
      </c>
      <c r="K372" s="249"/>
      <c r="L372" s="147"/>
      <c r="M372" s="197">
        <v>871.5</v>
      </c>
      <c r="N372" s="197">
        <v>0</v>
      </c>
      <c r="O372" s="198">
        <f t="shared" si="28"/>
        <v>871.5</v>
      </c>
      <c r="P372" s="199">
        <v>156.87</v>
      </c>
      <c r="Q372" s="199">
        <v>0</v>
      </c>
      <c r="R372" s="199">
        <v>0</v>
      </c>
      <c r="S372">
        <v>0</v>
      </c>
      <c r="T372" s="200" t="str">
        <f>IFERROR(VLOOKUP($A372,Tabla3[#All],2,0),"no esta registrado")</f>
        <v>CLARO//CODETEL</v>
      </c>
    </row>
    <row r="373" spans="1:20" ht="16.5" hidden="1" x14ac:dyDescent="0.3">
      <c r="A373" s="230" t="s">
        <v>1112</v>
      </c>
      <c r="B373" s="193">
        <v>1</v>
      </c>
      <c r="C373" s="194">
        <v>2</v>
      </c>
      <c r="D373" s="195" t="str">
        <f>IF(C373=1,Leyenda!$C$3,IF(C373=2,Leyenda!$C$4,IF(C373=3,Leyenda!$C$5,IF(C373=4,Leyenda!$C$6,IF(C373=5,Leyenda!$C$7,IF(C373=6,Leyenda!$C$8,IF(C373=7,Leyenda!$C$9,IF(C373=8,Leyenda!$C$10," "))))))))&amp;IF(C373=9,Leyenda!$C$11,IF(C373=10,Leyenda!$C$12,IF(C373=11,Leyenda!$C$13,IF(C373=12,Leyenda!D430," "))))</f>
        <v xml:space="preserve">GASTOS POR TRABAJOS, SUMINISTROS Y SERVICIOS </v>
      </c>
      <c r="E373" s="196" t="s">
        <v>1577</v>
      </c>
      <c r="F373" s="247">
        <v>45562</v>
      </c>
      <c r="G373" s="247" t="str">
        <f t="shared" si="27"/>
        <v>septiembre</v>
      </c>
      <c r="H373" s="191">
        <v>19</v>
      </c>
      <c r="I373" s="148" t="str">
        <f>TEXT(gastos[[#This Row],[Fecha]],"DDDD")</f>
        <v>jueves</v>
      </c>
      <c r="J373" s="249">
        <f t="shared" si="26"/>
        <v>45554</v>
      </c>
      <c r="K373" s="249"/>
      <c r="L373" s="147"/>
      <c r="M373" s="197">
        <v>7331.47</v>
      </c>
      <c r="N373" s="197">
        <v>0</v>
      </c>
      <c r="O373" s="198">
        <f t="shared" si="28"/>
        <v>7331.47</v>
      </c>
      <c r="P373" s="199">
        <v>0</v>
      </c>
      <c r="Q373" s="199">
        <v>0</v>
      </c>
      <c r="R373" s="199">
        <v>0</v>
      </c>
      <c r="S373">
        <v>0</v>
      </c>
      <c r="T373" s="200" t="str">
        <f>IFERROR(VLOOKUP($A373,Tabla3[#All],2,0),"no esta registrado")</f>
        <v>EDEESTE</v>
      </c>
    </row>
    <row r="374" spans="1:20" ht="16.5" hidden="1" x14ac:dyDescent="0.3">
      <c r="A374" s="230" t="s">
        <v>486</v>
      </c>
      <c r="B374" s="193">
        <v>1</v>
      </c>
      <c r="C374" s="194">
        <v>7</v>
      </c>
      <c r="D374" s="195" t="str">
        <f>IF(C374=1,Leyenda!$C$3,IF(C374=2,Leyenda!$C$4,IF(C374=3,Leyenda!$C$5,IF(C374=4,Leyenda!$C$6,IF(C374=5,Leyenda!$C$7,IF(C374=6,Leyenda!$C$8,IF(C374=7,Leyenda!$C$9,IF(C374=8,Leyenda!$C$10," "))))))))&amp;IF(C374=9,Leyenda!$C$11,IF(C374=10,Leyenda!$C$12,IF(C374=11,Leyenda!$C$13,IF(C374=12,Leyenda!D431," "))))</f>
        <v xml:space="preserve">GASTOS FINANCIEROS </v>
      </c>
      <c r="E374" s="196" t="s">
        <v>1578</v>
      </c>
      <c r="F374" s="247">
        <v>45562</v>
      </c>
      <c r="G374" s="247" t="str">
        <f t="shared" si="27"/>
        <v>septiembre</v>
      </c>
      <c r="H374" s="191">
        <v>25</v>
      </c>
      <c r="I374" s="148" t="str">
        <f>TEXT(gastos[[#This Row],[Fecha]],"DDDD")</f>
        <v>miércoles</v>
      </c>
      <c r="J374" s="249">
        <f t="shared" si="26"/>
        <v>45560</v>
      </c>
      <c r="K374" s="249"/>
      <c r="L374" s="147"/>
      <c r="M374" s="197">
        <f>13928.46+9515.29</f>
        <v>23443.75</v>
      </c>
      <c r="N374" s="197">
        <v>0</v>
      </c>
      <c r="O374" s="198">
        <f t="shared" si="28"/>
        <v>23443.75</v>
      </c>
      <c r="P374" s="199">
        <v>0</v>
      </c>
      <c r="Q374" s="199">
        <v>0</v>
      </c>
      <c r="R374" s="199">
        <v>0</v>
      </c>
      <c r="S374">
        <v>0</v>
      </c>
      <c r="T374" s="200" t="str">
        <f>IFERROR(VLOOKUP($A374,Tabla3[#All],2,0),"no esta registrado")</f>
        <v>Banco Multiple BHD León, S. A.</v>
      </c>
    </row>
    <row r="375" spans="1:20" ht="16.5" hidden="1" x14ac:dyDescent="0.3">
      <c r="A375" s="231" t="s">
        <v>486</v>
      </c>
      <c r="B375" s="193">
        <v>1</v>
      </c>
      <c r="C375" s="194">
        <v>7</v>
      </c>
      <c r="D375" s="195" t="str">
        <f>IF(C375=1,Leyenda!$C$3,IF(C375=2,Leyenda!$C$4,IF(C375=3,Leyenda!$C$5,IF(C375=4,Leyenda!$C$6,IF(C375=5,Leyenda!$C$7,IF(C375=6,Leyenda!$C$8,IF(C375=7,Leyenda!$C$9,IF(C375=8,Leyenda!$C$10," "))))))))&amp;IF(C375=9,Leyenda!$C$11,IF(C375=10,Leyenda!$C$12,IF(C375=11,Leyenda!$C$13,IF(C375=12,Leyenda!D432," "))))</f>
        <v xml:space="preserve">GASTOS FINANCIEROS </v>
      </c>
      <c r="E375" s="202" t="s">
        <v>1579</v>
      </c>
      <c r="F375" s="247">
        <v>45562</v>
      </c>
      <c r="G375" s="247" t="str">
        <f t="shared" si="27"/>
        <v>septiembre</v>
      </c>
      <c r="H375" s="203">
        <v>7</v>
      </c>
      <c r="I375" s="250" t="str">
        <f>TEXT(gastos[[#This Row],[Fecha]],"DDDD")</f>
        <v>sábado</v>
      </c>
      <c r="J375" s="249">
        <f t="shared" si="26"/>
        <v>45542</v>
      </c>
      <c r="K375" s="249"/>
      <c r="L375" s="147"/>
      <c r="M375" s="197">
        <v>5564.94</v>
      </c>
      <c r="N375" s="197">
        <v>0</v>
      </c>
      <c r="O375" s="198">
        <f t="shared" si="28"/>
        <v>5564.94</v>
      </c>
      <c r="P375" s="199">
        <v>0</v>
      </c>
      <c r="Q375" s="199">
        <v>0</v>
      </c>
      <c r="R375" s="199">
        <v>0</v>
      </c>
      <c r="S375">
        <v>0</v>
      </c>
      <c r="T375" s="200" t="str">
        <f>IFERROR(VLOOKUP($A375,Tabla3[#All],2,0),"no esta registrado")</f>
        <v>Banco Multiple BHD León, S. A.</v>
      </c>
    </row>
    <row r="376" spans="1:20" ht="16.5" hidden="1" x14ac:dyDescent="0.3">
      <c r="A376" s="230" t="s">
        <v>486</v>
      </c>
      <c r="B376" s="193">
        <v>1</v>
      </c>
      <c r="C376" s="194">
        <v>7</v>
      </c>
      <c r="D376" s="195" t="str">
        <f>IF(C376=1,Leyenda!$C$3,IF(C376=2,Leyenda!$C$4,IF(C376=3,Leyenda!$C$5,IF(C376=4,Leyenda!$C$6,IF(C376=5,Leyenda!$C$7,IF(C376=6,Leyenda!$C$8,IF(C376=7,Leyenda!$C$9,IF(C376=8,Leyenda!$C$10," "))))))))&amp;IF(C376=9,Leyenda!$C$11,IF(C376=10,Leyenda!$C$12,IF(C376=11,Leyenda!$C$13,IF(C376=12,Leyenda!D433," "))))</f>
        <v xml:space="preserve">GASTOS FINANCIEROS </v>
      </c>
      <c r="E376" s="196" t="s">
        <v>1580</v>
      </c>
      <c r="F376" s="247">
        <v>45562</v>
      </c>
      <c r="G376" s="247" t="str">
        <f t="shared" si="27"/>
        <v>septiembre</v>
      </c>
      <c r="H376" s="191">
        <v>4</v>
      </c>
      <c r="I376" s="148" t="str">
        <f>TEXT(gastos[[#This Row],[Fecha]],"DDDD")</f>
        <v>miércoles</v>
      </c>
      <c r="J376" s="249">
        <f t="shared" si="26"/>
        <v>45539</v>
      </c>
      <c r="K376" s="249"/>
      <c r="L376" s="147"/>
      <c r="M376" s="197">
        <v>15715.28</v>
      </c>
      <c r="N376" s="197">
        <v>0</v>
      </c>
      <c r="O376" s="198">
        <f t="shared" si="28"/>
        <v>15715.28</v>
      </c>
      <c r="P376" s="199">
        <v>0</v>
      </c>
      <c r="Q376" s="199">
        <v>0</v>
      </c>
      <c r="R376" s="199">
        <v>0</v>
      </c>
      <c r="S376">
        <v>0</v>
      </c>
      <c r="T376" s="200" t="str">
        <f>IFERROR(VLOOKUP($A376,Tabla3[#All],2,0),"no esta registrado")</f>
        <v>Banco Multiple BHD León, S. A.</v>
      </c>
    </row>
    <row r="377" spans="1:20" ht="16.5" hidden="1" x14ac:dyDescent="0.3">
      <c r="A377" s="230" t="s">
        <v>489</v>
      </c>
      <c r="B377" s="193">
        <v>1</v>
      </c>
      <c r="C377" s="194">
        <v>7</v>
      </c>
      <c r="D377" s="195" t="str">
        <f>IF(C377=1,Leyenda!$C$3,IF(C377=2,Leyenda!$C$4,IF(C377=3,Leyenda!$C$5,IF(C377=4,Leyenda!$C$6,IF(C377=5,Leyenda!$C$7,IF(C377=6,Leyenda!$C$8,IF(C377=7,Leyenda!$C$9,IF(C377=8,Leyenda!$C$10," "))))))))&amp;IF(C377=9,Leyenda!$C$11,IF(C377=10,Leyenda!$C$12,IF(C377=11,Leyenda!$C$13,IF(C377=12,Leyenda!D434," "))))</f>
        <v xml:space="preserve">GASTOS FINANCIEROS </v>
      </c>
      <c r="E377" s="196" t="s">
        <v>1581</v>
      </c>
      <c r="F377" s="247">
        <v>45562</v>
      </c>
      <c r="G377" s="247" t="str">
        <f t="shared" si="27"/>
        <v>septiembre</v>
      </c>
      <c r="H377" s="191">
        <v>30</v>
      </c>
      <c r="I377" s="148" t="str">
        <f>TEXT(gastos[[#This Row],[Fecha]],"DDDD")</f>
        <v>lunes</v>
      </c>
      <c r="J377" s="249">
        <f t="shared" si="26"/>
        <v>45565</v>
      </c>
      <c r="K377" s="249"/>
      <c r="L377" s="147"/>
      <c r="M377" s="197">
        <v>11779.59</v>
      </c>
      <c r="N377" s="197">
        <v>0</v>
      </c>
      <c r="O377" s="198">
        <f t="shared" si="28"/>
        <v>11779.59</v>
      </c>
      <c r="P377" s="199">
        <v>0</v>
      </c>
      <c r="Q377" s="199">
        <v>0</v>
      </c>
      <c r="R377" s="199">
        <v>0</v>
      </c>
      <c r="S377">
        <v>0</v>
      </c>
      <c r="T377" s="200" t="str">
        <f>IFERROR(VLOOKUP($A377,Tabla3[#All],2,0),"no esta registrado")</f>
        <v>Banco Popular Dominicano, S. A. Banco Multiple</v>
      </c>
    </row>
    <row r="378" spans="1:20" ht="16.5" hidden="1" x14ac:dyDescent="0.3">
      <c r="A378" s="230" t="s">
        <v>492</v>
      </c>
      <c r="B378" s="193">
        <v>1</v>
      </c>
      <c r="C378" s="194">
        <v>7</v>
      </c>
      <c r="D378" s="195" t="str">
        <f>IF(C378=1,Leyenda!$C$3,IF(C378=2,Leyenda!$C$4,IF(C378=3,Leyenda!$C$5,IF(C378=4,Leyenda!$C$6,IF(C378=5,Leyenda!$C$7,IF(C378=6,Leyenda!$C$8,IF(C378=7,Leyenda!$C$9,IF(C378=8,Leyenda!$C$10," "))))))))&amp;IF(C378=9,Leyenda!$C$11,IF(C378=10,Leyenda!$C$12,IF(C378=11,Leyenda!$C$13,IF(C378=12,Leyenda!D435," "))))</f>
        <v xml:space="preserve">GASTOS FINANCIEROS </v>
      </c>
      <c r="E378" s="196" t="s">
        <v>1582</v>
      </c>
      <c r="F378" s="247">
        <v>45562</v>
      </c>
      <c r="G378" s="247" t="str">
        <f t="shared" si="27"/>
        <v>septiembre</v>
      </c>
      <c r="H378" s="191">
        <v>16</v>
      </c>
      <c r="I378" s="148" t="str">
        <f>TEXT(gastos[[#This Row],[Fecha]],"DDDD")</f>
        <v>lunes</v>
      </c>
      <c r="J378" s="249">
        <f t="shared" si="26"/>
        <v>45551</v>
      </c>
      <c r="K378" s="249"/>
      <c r="L378" s="147"/>
      <c r="M378" s="197">
        <v>23568.84</v>
      </c>
      <c r="N378" s="197">
        <v>0</v>
      </c>
      <c r="O378" s="198">
        <f t="shared" si="28"/>
        <v>23568.84</v>
      </c>
      <c r="P378" s="199">
        <v>0</v>
      </c>
      <c r="Q378" s="199">
        <v>0</v>
      </c>
      <c r="R378" s="199">
        <v>0</v>
      </c>
      <c r="S378">
        <v>0</v>
      </c>
      <c r="T378" s="200" t="str">
        <f>IFERROR(VLOOKUP($A378,Tabla3[#All],2,0),"no esta registrado")</f>
        <v>Banco Dominicano del Progreso, S. A.//Banco Multiple</v>
      </c>
    </row>
    <row r="379" spans="1:20" ht="16.5" hidden="1" x14ac:dyDescent="0.3">
      <c r="A379" s="230" t="s">
        <v>492</v>
      </c>
      <c r="B379" s="193">
        <v>1</v>
      </c>
      <c r="C379" s="194">
        <v>7</v>
      </c>
      <c r="D379" s="195" t="str">
        <f>IF(C379=1,Leyenda!$C$3,IF(C379=2,Leyenda!$C$4,IF(C379=3,Leyenda!$C$5,IF(C379=4,Leyenda!$C$6,IF(C379=5,Leyenda!$C$7,IF(C379=6,Leyenda!$C$8,IF(C379=7,Leyenda!$C$9,IF(C379=8,Leyenda!$C$10," "))))))))&amp;IF(C379=9,Leyenda!$C$11,IF(C379=10,Leyenda!$C$12,IF(C379=11,Leyenda!$C$13,IF(C379=12,Leyenda!D436," "))))</f>
        <v xml:space="preserve">GASTOS FINANCIEROS </v>
      </c>
      <c r="E379" s="196" t="s">
        <v>1583</v>
      </c>
      <c r="F379" s="247">
        <v>45562</v>
      </c>
      <c r="G379" s="247" t="str">
        <f t="shared" si="27"/>
        <v>septiembre</v>
      </c>
      <c r="H379" s="191">
        <v>17</v>
      </c>
      <c r="I379" s="148" t="str">
        <f>TEXT(gastos[[#This Row],[Fecha]],"DDDD")</f>
        <v>martes</v>
      </c>
      <c r="J379" s="249">
        <f t="shared" si="26"/>
        <v>45552</v>
      </c>
      <c r="K379" s="249"/>
      <c r="L379" s="147"/>
      <c r="M379" s="197">
        <v>66.930000000000007</v>
      </c>
      <c r="N379" s="205">
        <v>0</v>
      </c>
      <c r="O379" s="198">
        <f t="shared" si="28"/>
        <v>66.930000000000007</v>
      </c>
      <c r="P379" s="199">
        <v>0</v>
      </c>
      <c r="Q379" s="199">
        <v>0</v>
      </c>
      <c r="R379" s="199">
        <v>0</v>
      </c>
      <c r="S379">
        <v>0</v>
      </c>
      <c r="T379" s="200" t="str">
        <f>IFERROR(VLOOKUP($A379,Tabla3[#All],2,0),"no esta registrado")</f>
        <v>Banco Dominicano del Progreso, S. A.//Banco Multiple</v>
      </c>
    </row>
    <row r="380" spans="1:20" ht="16.5" hidden="1" x14ac:dyDescent="0.3">
      <c r="A380" s="230" t="s">
        <v>492</v>
      </c>
      <c r="B380" s="193">
        <v>1</v>
      </c>
      <c r="C380" s="194">
        <v>7</v>
      </c>
      <c r="D380" s="195" t="str">
        <f>IF(C380=1,Leyenda!$C$3,IF(C380=2,Leyenda!$C$4,IF(C380=3,Leyenda!$C$5,IF(C380=4,Leyenda!$C$6,IF(C380=5,Leyenda!$C$7,IF(C380=6,Leyenda!$C$8,IF(C380=7,Leyenda!$C$9,IF(C380=8,Leyenda!$C$10," "))))))))&amp;IF(C380=9,Leyenda!$C$11,IF(C380=10,Leyenda!$C$12,IF(C380=11,Leyenda!$C$13,IF(C380=12,Leyenda!D437," "))))</f>
        <v xml:space="preserve">GASTOS FINANCIEROS </v>
      </c>
      <c r="E380" s="196" t="s">
        <v>1584</v>
      </c>
      <c r="F380" s="247">
        <v>45562</v>
      </c>
      <c r="G380" s="247" t="str">
        <f t="shared" si="27"/>
        <v>septiembre</v>
      </c>
      <c r="H380" s="191">
        <v>0</v>
      </c>
      <c r="I380" s="148" t="str">
        <f>TEXT(gastos[[#This Row],[Fecha]],"DDDD")</f>
        <v>sábado</v>
      </c>
      <c r="J380" s="249">
        <f t="shared" si="26"/>
        <v>45535</v>
      </c>
      <c r="K380" s="249"/>
      <c r="L380" s="147"/>
      <c r="M380" s="197">
        <v>400</v>
      </c>
      <c r="N380" s="205">
        <v>0</v>
      </c>
      <c r="O380" s="198">
        <f t="shared" si="28"/>
        <v>400</v>
      </c>
      <c r="P380" s="199">
        <v>0</v>
      </c>
      <c r="Q380" s="199">
        <v>0</v>
      </c>
      <c r="R380" s="199">
        <v>0</v>
      </c>
      <c r="S380">
        <v>0</v>
      </c>
      <c r="T380" s="200" t="str">
        <f>IFERROR(VLOOKUP($A380,Tabla3[#All],2,0),"no esta registrado")</f>
        <v>Banco Dominicano del Progreso, S. A.//Banco Multiple</v>
      </c>
    </row>
    <row r="381" spans="1:20" ht="16.5" hidden="1" x14ac:dyDescent="0.3">
      <c r="A381" s="230" t="s">
        <v>909</v>
      </c>
      <c r="B381" s="193">
        <v>1</v>
      </c>
      <c r="C381" s="194">
        <v>4</v>
      </c>
      <c r="D381" s="195" t="str">
        <f>IF(C381=1,Leyenda!$C$3,IF(C381=2,Leyenda!$C$4,IF(C381=3,Leyenda!$C$5,IF(C381=4,Leyenda!$C$6,IF(C381=5,Leyenda!$C$7,IF(C381=6,Leyenda!$C$8,IF(C381=7,Leyenda!$C$9,IF(C381=8,Leyenda!$C$10," "))))))))&amp;IF(C381=9,Leyenda!$C$11,IF(C381=10,Leyenda!$C$12,IF(C381=11,Leyenda!$C$13,IF(C381=12,Leyenda!D438," "))))</f>
        <v xml:space="preserve">GASTOS DE ACTIVOS FIJO </v>
      </c>
      <c r="E381" s="196" t="s">
        <v>1585</v>
      </c>
      <c r="F381" s="248">
        <v>45580</v>
      </c>
      <c r="G381" s="247" t="str">
        <f t="shared" si="27"/>
        <v>octubre</v>
      </c>
      <c r="H381" s="191">
        <v>15</v>
      </c>
      <c r="I381" s="148" t="str">
        <f>TEXT(gastos[[#This Row],[Fecha]],"DDDD")</f>
        <v>martes</v>
      </c>
      <c r="J381" s="249">
        <f t="shared" si="26"/>
        <v>45580</v>
      </c>
      <c r="K381" s="249"/>
      <c r="L381" s="147"/>
      <c r="M381" s="197">
        <v>0</v>
      </c>
      <c r="N381" s="197">
        <v>3588</v>
      </c>
      <c r="O381" s="198">
        <f t="shared" ref="O381:O411" si="29">SUM(M381:N381)</f>
        <v>3588</v>
      </c>
      <c r="P381" s="199">
        <v>0</v>
      </c>
      <c r="Q381" s="199">
        <v>0</v>
      </c>
      <c r="R381" s="199">
        <v>0</v>
      </c>
      <c r="S381">
        <v>0</v>
      </c>
      <c r="T381" s="200" t="str">
        <f>IFERROR(VLOOKUP($A381,Tabla3[#All],2,0),"no esta registrado")</f>
        <v>Strata, S.R.L.</v>
      </c>
    </row>
    <row r="382" spans="1:20" ht="16.5" hidden="1" x14ac:dyDescent="0.3">
      <c r="A382" s="230" t="s">
        <v>577</v>
      </c>
      <c r="B382" s="193">
        <v>1</v>
      </c>
      <c r="C382" s="194">
        <v>4</v>
      </c>
      <c r="D382" s="195" t="str">
        <f>IF(C382=1,Leyenda!$C$3,IF(C382=2,Leyenda!$C$4,IF(C382=3,Leyenda!$C$5,IF(C382=4,Leyenda!$C$6,IF(C382=5,Leyenda!$C$7,IF(C382=6,Leyenda!$C$8,IF(C382=7,Leyenda!$C$9,IF(C382=8,Leyenda!$C$10," "))))))))&amp;IF(C382=9,Leyenda!$C$11,IF(C382=10,Leyenda!$C$12,IF(C382=11,Leyenda!$C$13,IF(C382=12,Leyenda!D439," "))))</f>
        <v xml:space="preserve">GASTOS DE ACTIVOS FIJO </v>
      </c>
      <c r="E382" s="196" t="s">
        <v>1586</v>
      </c>
      <c r="F382" s="247">
        <v>45576</v>
      </c>
      <c r="G382" s="247" t="str">
        <f t="shared" si="27"/>
        <v>octubre</v>
      </c>
      <c r="H382" s="191">
        <v>11</v>
      </c>
      <c r="I382" s="148" t="str">
        <f>TEXT(gastos[[#This Row],[Fecha]],"DDDD")</f>
        <v>viernes</v>
      </c>
      <c r="J382" s="249">
        <f t="shared" si="26"/>
        <v>45576</v>
      </c>
      <c r="K382" s="249"/>
      <c r="L382" s="147"/>
      <c r="M382" s="197">
        <v>0</v>
      </c>
      <c r="N382" s="197">
        <v>1592</v>
      </c>
      <c r="O382" s="198">
        <f t="shared" si="29"/>
        <v>1592</v>
      </c>
      <c r="P382" s="199">
        <v>0</v>
      </c>
      <c r="Q382" s="199">
        <v>0</v>
      </c>
      <c r="R382" s="199">
        <v>0</v>
      </c>
      <c r="S382">
        <v>0</v>
      </c>
      <c r="T382" s="200" t="str">
        <f>IFERROR(VLOOKUP($A382,Tabla3[#All],2,0),"no esta registrado")</f>
        <v>Isla Dominicana de Petroleo, Corp.</v>
      </c>
    </row>
    <row r="383" spans="1:20" ht="16.5" hidden="1" x14ac:dyDescent="0.3">
      <c r="A383" s="230" t="s">
        <v>1366</v>
      </c>
      <c r="B383" s="193">
        <v>1</v>
      </c>
      <c r="C383" s="194">
        <v>2</v>
      </c>
      <c r="D383" s="195" t="str">
        <f>IF(C383=1,Leyenda!$C$3,IF(C383=2,Leyenda!$C$4,IF(C383=3,Leyenda!$C$5,IF(C383=4,Leyenda!$C$6,IF(C383=5,Leyenda!$C$7,IF(C383=6,Leyenda!$C$8,IF(C383=7,Leyenda!$C$9,IF(C383=8,Leyenda!$C$10," "))))))))&amp;IF(C383=9,Leyenda!$C$11,IF(C383=10,Leyenda!$C$12,IF(C383=11,Leyenda!$C$13,IF(C383=12,Leyenda!D440," "))))</f>
        <v xml:space="preserve">GASTOS POR TRABAJOS, SUMINISTROS Y SERVICIOS </v>
      </c>
      <c r="E383" s="196" t="s">
        <v>1587</v>
      </c>
      <c r="F383" s="247">
        <v>45576</v>
      </c>
      <c r="G383" s="247" t="str">
        <f t="shared" si="27"/>
        <v>octubre</v>
      </c>
      <c r="H383" s="191">
        <v>24</v>
      </c>
      <c r="I383" s="148" t="str">
        <f>TEXT(gastos[[#This Row],[Fecha]],"DDDD")</f>
        <v>jueves</v>
      </c>
      <c r="J383" s="249">
        <f t="shared" si="26"/>
        <v>45589</v>
      </c>
      <c r="K383" s="249"/>
      <c r="L383" s="147"/>
      <c r="M383" s="197">
        <v>0</v>
      </c>
      <c r="N383" s="197">
        <v>1000</v>
      </c>
      <c r="O383" s="198">
        <f t="shared" si="29"/>
        <v>1000</v>
      </c>
      <c r="P383" s="199">
        <v>0</v>
      </c>
      <c r="Q383" s="199">
        <v>0</v>
      </c>
      <c r="R383" s="199">
        <v>0</v>
      </c>
      <c r="S383">
        <v>0</v>
      </c>
      <c r="T383" s="200" t="str">
        <f>IFERROR(VLOOKUP($A383,Tabla3[#All],2,0),"no esta registrado")</f>
        <v>no esta registrado</v>
      </c>
    </row>
    <row r="384" spans="1:20" ht="16.5" hidden="1" x14ac:dyDescent="0.3">
      <c r="A384" s="230" t="s">
        <v>533</v>
      </c>
      <c r="B384" s="193">
        <v>1</v>
      </c>
      <c r="C384" s="194">
        <v>2</v>
      </c>
      <c r="D384" s="195" t="str">
        <f>IF(C384=1,Leyenda!$C$3,IF(C384=2,Leyenda!$C$4,IF(C384=3,Leyenda!$C$5,IF(C384=4,Leyenda!$C$6,IF(C384=5,Leyenda!$C$7,IF(C384=6,Leyenda!$C$8,IF(C384=7,Leyenda!$C$9,IF(C384=8,Leyenda!$C$10," "))))))))&amp;IF(C384=9,Leyenda!$C$11,IF(C384=10,Leyenda!$C$12,IF(C384=11,Leyenda!$C$13,IF(C384=12,Leyenda!D441," "))))</f>
        <v xml:space="preserve">GASTOS POR TRABAJOS, SUMINISTROS Y SERVICIOS </v>
      </c>
      <c r="E384" s="196" t="s">
        <v>1588</v>
      </c>
      <c r="F384" s="247">
        <v>45576</v>
      </c>
      <c r="G384" s="247" t="str">
        <f t="shared" si="27"/>
        <v>octubre</v>
      </c>
      <c r="H384" s="191">
        <v>13</v>
      </c>
      <c r="I384" s="148" t="str">
        <f>TEXT(gastos[[#This Row],[Fecha]],"DDDD")</f>
        <v>domingo</v>
      </c>
      <c r="J384" s="249">
        <f t="shared" si="26"/>
        <v>45578</v>
      </c>
      <c r="K384" s="249"/>
      <c r="L384" s="147"/>
      <c r="M384" s="197">
        <v>0</v>
      </c>
      <c r="N384" s="197">
        <v>1545.29</v>
      </c>
      <c r="O384" s="198">
        <f t="shared" si="29"/>
        <v>1545.29</v>
      </c>
      <c r="P384" s="199">
        <v>0</v>
      </c>
      <c r="Q384" s="199">
        <v>0</v>
      </c>
      <c r="R384" s="199">
        <v>0</v>
      </c>
      <c r="S384">
        <v>0</v>
      </c>
      <c r="T384" s="200" t="str">
        <f>IFERROR(VLOOKUP($A384,Tabla3[#All],2,0),"no esta registrado")</f>
        <v>Farmacía Medicar GBC, A. H.</v>
      </c>
    </row>
    <row r="385" spans="1:20" ht="16.5" hidden="1" x14ac:dyDescent="0.3">
      <c r="A385" s="230" t="s">
        <v>1370</v>
      </c>
      <c r="B385" s="193">
        <v>1</v>
      </c>
      <c r="C385" s="194">
        <v>2</v>
      </c>
      <c r="D385" s="195" t="str">
        <f>IF(C385=1,Leyenda!$C$3,IF(C385=2,Leyenda!$C$4,IF(C385=3,Leyenda!$C$5,IF(C385=4,Leyenda!$C$6,IF(C385=5,Leyenda!$C$7,IF(C385=6,Leyenda!$C$8,IF(C385=7,Leyenda!$C$9,IF(C385=8,Leyenda!$C$10," "))))))))&amp;IF(C385=9,Leyenda!$C$11,IF(C385=10,Leyenda!$C$12,IF(C385=11,Leyenda!$C$13,IF(C385=12,Leyenda!D442," "))))</f>
        <v xml:space="preserve">GASTOS POR TRABAJOS, SUMINISTROS Y SERVICIOS </v>
      </c>
      <c r="E385" s="196" t="s">
        <v>1589</v>
      </c>
      <c r="F385" s="247">
        <v>45576</v>
      </c>
      <c r="G385" s="247" t="str">
        <f t="shared" si="27"/>
        <v>octubre</v>
      </c>
      <c r="H385" s="191">
        <v>13</v>
      </c>
      <c r="I385" s="148" t="str">
        <f>TEXT(gastos[[#This Row],[Fecha]],"DDDD")</f>
        <v>domingo</v>
      </c>
      <c r="J385" s="249">
        <f t="shared" si="26"/>
        <v>45578</v>
      </c>
      <c r="K385" s="249"/>
      <c r="L385" s="147"/>
      <c r="M385" s="197">
        <v>0</v>
      </c>
      <c r="N385" s="197">
        <v>5585</v>
      </c>
      <c r="O385" s="198">
        <f t="shared" si="29"/>
        <v>5585</v>
      </c>
      <c r="P385" s="199">
        <v>1005</v>
      </c>
      <c r="Q385" s="199">
        <v>0</v>
      </c>
      <c r="R385" s="199">
        <v>559</v>
      </c>
      <c r="S385">
        <v>0</v>
      </c>
      <c r="T385" s="200" t="str">
        <f>IFERROR(VLOOKUP($A385,Tabla3[#All],2,0),"no esta registrado")</f>
        <v>no esta registrado</v>
      </c>
    </row>
    <row r="386" spans="1:20" ht="16.5" hidden="1" x14ac:dyDescent="0.3">
      <c r="A386" s="230" t="s">
        <v>533</v>
      </c>
      <c r="B386" s="193">
        <v>1</v>
      </c>
      <c r="C386" s="194">
        <v>2</v>
      </c>
      <c r="D386" s="195" t="str">
        <f>IF(C386=1,Leyenda!$C$3,IF(C386=2,Leyenda!$C$4,IF(C386=3,Leyenda!$C$5,IF(C386=4,Leyenda!$C$6,IF(C386=5,Leyenda!$C$7,IF(C386=6,Leyenda!$C$8,IF(C386=7,Leyenda!$C$9,IF(C386=8,Leyenda!$C$10," "))))))))&amp;IF(C386=9,Leyenda!$C$11,IF(C386=10,Leyenda!$C$12,IF(C386=11,Leyenda!$C$13,IF(C386=12,Leyenda!D443," "))))</f>
        <v xml:space="preserve">GASTOS POR TRABAJOS, SUMINISTROS Y SERVICIOS </v>
      </c>
      <c r="E386" s="196" t="s">
        <v>1590</v>
      </c>
      <c r="F386" s="247">
        <v>45576</v>
      </c>
      <c r="G386" s="247" t="str">
        <f t="shared" si="27"/>
        <v>octubre</v>
      </c>
      <c r="H386" s="191">
        <v>21</v>
      </c>
      <c r="I386" s="148" t="str">
        <f>TEXT(gastos[[#This Row],[Fecha]],"DDDD")</f>
        <v>lunes</v>
      </c>
      <c r="J386" s="249">
        <f t="shared" si="26"/>
        <v>45586</v>
      </c>
      <c r="K386" s="249"/>
      <c r="L386" s="147"/>
      <c r="M386" s="197">
        <v>0</v>
      </c>
      <c r="N386" s="197">
        <v>1242.8</v>
      </c>
      <c r="O386" s="198">
        <f t="shared" si="29"/>
        <v>1242.8</v>
      </c>
      <c r="P386" s="199">
        <v>0</v>
      </c>
      <c r="Q386" s="199">
        <v>0</v>
      </c>
      <c r="R386" s="199">
        <v>0</v>
      </c>
      <c r="S386" s="199">
        <v>0</v>
      </c>
      <c r="T386" s="200" t="str">
        <f>IFERROR(VLOOKUP($A386,Tabla3[#All],2,0),"no esta registrado")</f>
        <v>Farmacía Medicar GBC, A. H.</v>
      </c>
    </row>
    <row r="387" spans="1:20" ht="16.5" hidden="1" x14ac:dyDescent="0.3">
      <c r="A387" s="230" t="s">
        <v>1118</v>
      </c>
      <c r="B387" s="193">
        <v>1</v>
      </c>
      <c r="C387" s="194">
        <v>2</v>
      </c>
      <c r="D387" s="195" t="str">
        <f>IF(C387=1,Leyenda!$C$3,IF(C387=2,Leyenda!$C$4,IF(C387=3,Leyenda!$C$5,IF(C387=4,Leyenda!$C$6,IF(C387=5,Leyenda!$C$7,IF(C387=6,Leyenda!$C$8,IF(C387=7,Leyenda!$C$9,IF(C387=8,Leyenda!$C$10," "))))))))&amp;IF(C387=9,Leyenda!$C$11,IF(C387=10,Leyenda!$C$12,IF(C387=11,Leyenda!$C$13,IF(C387=12,Leyenda!D444," "))))</f>
        <v xml:space="preserve">GASTOS POR TRABAJOS, SUMINISTROS Y SERVICIOS </v>
      </c>
      <c r="E387" s="196" t="s">
        <v>1591</v>
      </c>
      <c r="F387" s="247">
        <v>45576</v>
      </c>
      <c r="G387" s="247" t="str">
        <f t="shared" si="27"/>
        <v>octubre</v>
      </c>
      <c r="H387" s="191">
        <v>31</v>
      </c>
      <c r="I387" s="148" t="str">
        <f>TEXT(gastos[[#This Row],[Fecha]],"DDDD")</f>
        <v>jueves</v>
      </c>
      <c r="J387" s="249">
        <f t="shared" si="26"/>
        <v>45596</v>
      </c>
      <c r="K387" s="249"/>
      <c r="L387" s="147"/>
      <c r="M387" s="197">
        <v>0</v>
      </c>
      <c r="N387" s="197">
        <f>17220-2626.78</f>
        <v>14593.22</v>
      </c>
      <c r="O387" s="198">
        <f t="shared" si="29"/>
        <v>14593.22</v>
      </c>
      <c r="P387" s="199">
        <v>2626.78</v>
      </c>
      <c r="Q387" s="199">
        <v>0</v>
      </c>
      <c r="R387" s="199">
        <v>0</v>
      </c>
      <c r="S387" s="199">
        <v>0</v>
      </c>
      <c r="T387" s="200" t="str">
        <f>IFERROR(VLOOKUP($A387,Tabla3[#All],2,0),"no esta registrado")</f>
        <v>INDY PLAZA</v>
      </c>
    </row>
    <row r="388" spans="1:20" ht="16.5" hidden="1" x14ac:dyDescent="0.3">
      <c r="A388" s="230" t="s">
        <v>504</v>
      </c>
      <c r="B388" s="193">
        <v>1</v>
      </c>
      <c r="C388" s="194">
        <v>2</v>
      </c>
      <c r="D388" s="195" t="str">
        <f>IF(C388=1,Leyenda!$C$3,IF(C388=2,Leyenda!$C$4,IF(C388=3,Leyenda!$C$5,IF(C388=4,Leyenda!$C$6,IF(C388=5,Leyenda!$C$7,IF(C388=6,Leyenda!$C$8,IF(C388=7,Leyenda!$C$9,IF(C388=8,Leyenda!$C$10," "))))))))&amp;IF(C388=9,Leyenda!$C$11,IF(C388=10,Leyenda!$C$12,IF(C388=11,Leyenda!$C$13,IF(C388=12,Leyenda!D445," "))))</f>
        <v xml:space="preserve">GASTOS POR TRABAJOS, SUMINISTROS Y SERVICIOS </v>
      </c>
      <c r="E388" s="196" t="s">
        <v>1592</v>
      </c>
      <c r="F388" s="247">
        <v>45576</v>
      </c>
      <c r="G388" s="247" t="str">
        <f t="shared" si="27"/>
        <v>octubre</v>
      </c>
      <c r="H388" s="191">
        <v>6</v>
      </c>
      <c r="I388" s="148" t="str">
        <f>TEXT(gastos[[#This Row],[Fecha]],"DDDD")</f>
        <v>domingo</v>
      </c>
      <c r="J388" s="249">
        <f t="shared" si="26"/>
        <v>45571</v>
      </c>
      <c r="K388" s="249"/>
      <c r="L388" s="147"/>
      <c r="M388" s="197">
        <v>0</v>
      </c>
      <c r="N388" s="197">
        <f>1700.14-90.21</f>
        <v>1609.93</v>
      </c>
      <c r="O388" s="198">
        <f t="shared" si="29"/>
        <v>1609.93</v>
      </c>
      <c r="P388" s="199">
        <v>90.21</v>
      </c>
      <c r="Q388" s="199">
        <v>0</v>
      </c>
      <c r="R388" s="199">
        <v>0</v>
      </c>
      <c r="S388" s="199">
        <v>0</v>
      </c>
      <c r="T388" s="200" t="str">
        <f>IFERROR(VLOOKUP($A388,Tabla3[#All],2,0),"no esta registrado")</f>
        <v>Centro Cuesta Nacional S.A.S.//Supermercados Nacional//Casa Cuesta//Ferretería Cuesta//JUMBO//Bebemundo</v>
      </c>
    </row>
    <row r="389" spans="1:20" ht="16.5" hidden="1" x14ac:dyDescent="0.3">
      <c r="A389" s="231" t="s">
        <v>517</v>
      </c>
      <c r="B389" s="193">
        <v>1</v>
      </c>
      <c r="C389" s="194">
        <v>2</v>
      </c>
      <c r="D389" s="195" t="str">
        <f>IF(C389=1,Leyenda!$C$3,IF(C389=2,Leyenda!$C$4,IF(C389=3,Leyenda!$C$5,IF(C389=4,Leyenda!$C$6,IF(C389=5,Leyenda!$C$7,IF(C389=6,Leyenda!$C$8,IF(C389=7,Leyenda!$C$9,IF(C389=8,Leyenda!$C$10," "))))))))&amp;IF(C389=9,Leyenda!$C$11,IF(C389=10,Leyenda!$C$12,IF(C389=11,Leyenda!$C$13,IF(C389=12,Leyenda!D446," "))))</f>
        <v xml:space="preserve">GASTOS POR TRABAJOS, SUMINISTROS Y SERVICIOS </v>
      </c>
      <c r="E389" s="196" t="s">
        <v>1593</v>
      </c>
      <c r="F389" s="247">
        <v>45576</v>
      </c>
      <c r="G389" s="247" t="str">
        <f t="shared" si="27"/>
        <v>octubre</v>
      </c>
      <c r="H389" s="191">
        <v>3</v>
      </c>
      <c r="I389" s="148" t="str">
        <f>TEXT(gastos[[#This Row],[Fecha]],"DDDD")</f>
        <v>jueves</v>
      </c>
      <c r="J389" s="249">
        <f t="shared" si="26"/>
        <v>45568</v>
      </c>
      <c r="K389" s="249"/>
      <c r="L389" s="147"/>
      <c r="M389" s="197">
        <v>0</v>
      </c>
      <c r="N389" s="197">
        <f>4300.85+1262</f>
        <v>5562.85</v>
      </c>
      <c r="O389" s="198">
        <f t="shared" si="29"/>
        <v>5562.85</v>
      </c>
      <c r="P389" s="199">
        <v>774.15</v>
      </c>
      <c r="Q389" s="199">
        <v>0</v>
      </c>
      <c r="R389" s="199">
        <v>0</v>
      </c>
      <c r="S389" s="199">
        <v>0</v>
      </c>
      <c r="T389" s="200" t="str">
        <f>IFERROR(VLOOKUP($A389,Tabla3[#All],2,0),"no esta registrado")</f>
        <v>Pricesmart Dominicana S. A.</v>
      </c>
    </row>
    <row r="390" spans="1:20" ht="16.5" hidden="1" x14ac:dyDescent="0.3">
      <c r="A390" s="230" t="s">
        <v>511</v>
      </c>
      <c r="B390" s="193">
        <v>1</v>
      </c>
      <c r="C390" s="194">
        <v>2</v>
      </c>
      <c r="D390" s="195" t="str">
        <f>IF(C390=1,Leyenda!$C$3,IF(C390=2,Leyenda!$C$4,IF(C390=3,Leyenda!$C$5,IF(C390=4,Leyenda!$C$6,IF(C390=5,Leyenda!$C$7,IF(C390=6,Leyenda!$C$8,IF(C390=7,Leyenda!$C$9,IF(C390=8,Leyenda!$C$10," "))))))))&amp;IF(C390=9,Leyenda!$C$11,IF(C390=10,Leyenda!$C$12,IF(C390=11,Leyenda!$C$13,IF(C390=12,Leyenda!D447," "))))</f>
        <v xml:space="preserve">GASTOS POR TRABAJOS, SUMINISTROS Y SERVICIOS </v>
      </c>
      <c r="E390" s="196" t="s">
        <v>1594</v>
      </c>
      <c r="F390" s="247">
        <v>45576</v>
      </c>
      <c r="G390" s="247" t="str">
        <f t="shared" si="27"/>
        <v>octubre</v>
      </c>
      <c r="H390" s="191">
        <v>10</v>
      </c>
      <c r="I390" s="148" t="str">
        <f>TEXT(gastos[[#This Row],[Fecha]],"DDDD")</f>
        <v>jueves</v>
      </c>
      <c r="J390" s="249">
        <f t="shared" si="26"/>
        <v>45575</v>
      </c>
      <c r="K390" s="249"/>
      <c r="L390" s="147"/>
      <c r="M390" s="197">
        <v>0</v>
      </c>
      <c r="N390" s="197">
        <f>17097-1315.77</f>
        <v>15781.23</v>
      </c>
      <c r="O390" s="198">
        <f t="shared" si="29"/>
        <v>15781.23</v>
      </c>
      <c r="P390" s="199">
        <v>1315.77</v>
      </c>
      <c r="Q390" s="199">
        <v>0</v>
      </c>
      <c r="R390" s="199">
        <v>0</v>
      </c>
      <c r="S390" s="199">
        <v>0</v>
      </c>
      <c r="T390" s="200" t="str">
        <f>IFERROR(VLOOKUP($A390,Tabla3[#All],2,0),"no esta registrado")</f>
        <v>Bravo, S.A.//Supermercados Bravo</v>
      </c>
    </row>
    <row r="391" spans="1:20" ht="16.5" hidden="1" x14ac:dyDescent="0.3">
      <c r="A391" s="230" t="s">
        <v>504</v>
      </c>
      <c r="B391" s="193">
        <v>1</v>
      </c>
      <c r="C391" s="194">
        <v>2</v>
      </c>
      <c r="D391" s="195" t="str">
        <f>IF(C391=1,Leyenda!$C$3,IF(C391=2,Leyenda!$C$4,IF(C391=3,Leyenda!$C$5,IF(C391=4,Leyenda!$C$6,IF(C391=5,Leyenda!$C$7,IF(C391=6,Leyenda!$C$8,IF(C391=7,Leyenda!$C$9,IF(C391=8,Leyenda!$C$10," "))))))))&amp;IF(C391=9,Leyenda!$C$11,IF(C391=10,Leyenda!$C$12,IF(C391=11,Leyenda!$C$13,IF(C391=12,Leyenda!D448," "))))</f>
        <v xml:space="preserve">GASTOS POR TRABAJOS, SUMINISTROS Y SERVICIOS </v>
      </c>
      <c r="E391" s="196" t="s">
        <v>1595</v>
      </c>
      <c r="F391" s="247">
        <v>45576</v>
      </c>
      <c r="G391" s="247" t="str">
        <f t="shared" si="27"/>
        <v>octubre</v>
      </c>
      <c r="H391" s="191">
        <v>16</v>
      </c>
      <c r="I391" s="148" t="str">
        <f>TEXT(gastos[[#This Row],[Fecha]],"DDDD")</f>
        <v>miércoles</v>
      </c>
      <c r="J391" s="249">
        <f t="shared" si="26"/>
        <v>45581</v>
      </c>
      <c r="K391" s="249"/>
      <c r="L391" s="147"/>
      <c r="M391" s="197">
        <v>0</v>
      </c>
      <c r="N391" s="197">
        <f>2909.47-193.93</f>
        <v>2715.54</v>
      </c>
      <c r="O391" s="198">
        <f t="shared" si="29"/>
        <v>2715.54</v>
      </c>
      <c r="P391" s="199">
        <v>193.93</v>
      </c>
      <c r="Q391" s="199">
        <v>0</v>
      </c>
      <c r="R391" s="199">
        <v>0</v>
      </c>
      <c r="S391" s="199">
        <v>0</v>
      </c>
      <c r="T391" s="200" t="str">
        <f>IFERROR(VLOOKUP($A391,Tabla3[#All],2,0),"no esta registrado")</f>
        <v>Centro Cuesta Nacional S.A.S.//Supermercados Nacional//Casa Cuesta//Ferretería Cuesta//JUMBO//Bebemundo</v>
      </c>
    </row>
    <row r="392" spans="1:20" ht="16.5" hidden="1" x14ac:dyDescent="0.3">
      <c r="A392" s="230" t="s">
        <v>1502</v>
      </c>
      <c r="B392" s="193">
        <v>1</v>
      </c>
      <c r="C392" s="194">
        <v>2</v>
      </c>
      <c r="D392" s="195" t="str">
        <f>IF(C392=1,Leyenda!$C$3,IF(C392=2,Leyenda!$C$4,IF(C392=3,Leyenda!$C$5,IF(C392=4,Leyenda!$C$6,IF(C392=5,Leyenda!$C$7,IF(C392=6,Leyenda!$C$8,IF(C392=7,Leyenda!$C$9,IF(C392=8,Leyenda!$C$10," "))))))))&amp;IF(C392=9,Leyenda!$C$11,IF(C392=10,Leyenda!$C$12,IF(C392=11,Leyenda!$C$13,IF(C392=12,Leyenda!D449," "))))</f>
        <v xml:space="preserve">GASTOS POR TRABAJOS, SUMINISTROS Y SERVICIOS </v>
      </c>
      <c r="E392" s="196" t="s">
        <v>1596</v>
      </c>
      <c r="F392" s="247">
        <v>45576</v>
      </c>
      <c r="G392" s="247" t="str">
        <f t="shared" si="27"/>
        <v>octubre</v>
      </c>
      <c r="H392" s="191">
        <v>22</v>
      </c>
      <c r="I392" s="148" t="str">
        <f>TEXT(gastos[[#This Row],[Fecha]],"DDDD")</f>
        <v>martes</v>
      </c>
      <c r="J392" s="249">
        <f t="shared" ref="J392:J455" si="30">DATE(YEAR(F392),MONTH(F392),H392)</f>
        <v>45587</v>
      </c>
      <c r="K392" s="249"/>
      <c r="L392" s="147"/>
      <c r="M392" s="197">
        <v>0</v>
      </c>
      <c r="N392" s="197">
        <v>1516.95</v>
      </c>
      <c r="O392" s="198">
        <f t="shared" si="29"/>
        <v>1516.95</v>
      </c>
      <c r="P392" s="199">
        <v>273.05</v>
      </c>
      <c r="Q392" s="199">
        <v>0</v>
      </c>
      <c r="R392" s="199">
        <v>0</v>
      </c>
      <c r="S392" s="199">
        <v>0</v>
      </c>
      <c r="T392" s="200" t="str">
        <f>IFERROR(VLOOKUP($A392,Tabla3[#All],2,0),"no esta registrado")</f>
        <v>no esta registrado</v>
      </c>
    </row>
    <row r="393" spans="1:20" ht="16.5" hidden="1" x14ac:dyDescent="0.3">
      <c r="A393" s="230" t="s">
        <v>511</v>
      </c>
      <c r="B393" s="193">
        <v>1</v>
      </c>
      <c r="C393" s="194">
        <v>2</v>
      </c>
      <c r="D393" s="195" t="str">
        <f>IF(C393=1,Leyenda!$C$3,IF(C393=2,Leyenda!$C$4,IF(C393=3,Leyenda!$C$5,IF(C393=4,Leyenda!$C$6,IF(C393=5,Leyenda!$C$7,IF(C393=6,Leyenda!$C$8,IF(C393=7,Leyenda!$C$9,IF(C393=8,Leyenda!$C$10," "))))))))&amp;IF(C393=9,Leyenda!$C$11,IF(C393=10,Leyenda!$C$12,IF(C393=11,Leyenda!$C$13,IF(C393=12,Leyenda!D450," "))))</f>
        <v xml:space="preserve">GASTOS POR TRABAJOS, SUMINISTROS Y SERVICIOS </v>
      </c>
      <c r="E393" s="196" t="s">
        <v>1597</v>
      </c>
      <c r="F393" s="247">
        <v>45576</v>
      </c>
      <c r="G393" s="247" t="str">
        <f t="shared" si="27"/>
        <v>octubre</v>
      </c>
      <c r="H393" s="191">
        <v>24</v>
      </c>
      <c r="I393" s="148" t="str">
        <f>TEXT(gastos[[#This Row],[Fecha]],"DDDD")</f>
        <v>jueves</v>
      </c>
      <c r="J393" s="249">
        <f t="shared" si="30"/>
        <v>45589</v>
      </c>
      <c r="K393" s="249"/>
      <c r="L393" s="147"/>
      <c r="M393" s="197">
        <v>0</v>
      </c>
      <c r="N393" s="197">
        <f>12940-1075.21</f>
        <v>11864.79</v>
      </c>
      <c r="O393" s="198">
        <f t="shared" si="29"/>
        <v>11864.79</v>
      </c>
      <c r="P393" s="199">
        <v>1075.21</v>
      </c>
      <c r="Q393" s="199">
        <v>0</v>
      </c>
      <c r="R393" s="199">
        <v>0</v>
      </c>
      <c r="S393" s="199">
        <v>0</v>
      </c>
      <c r="T393" s="200" t="str">
        <f>IFERROR(VLOOKUP($A393,Tabla3[#All],2,0),"no esta registrado")</f>
        <v>Bravo, S.A.//Supermercados Bravo</v>
      </c>
    </row>
    <row r="394" spans="1:20" ht="16.5" hidden="1" x14ac:dyDescent="0.3">
      <c r="A394" s="231" t="s">
        <v>511</v>
      </c>
      <c r="B394" s="193">
        <v>1</v>
      </c>
      <c r="C394" s="194">
        <v>2</v>
      </c>
      <c r="D394" s="195" t="str">
        <f>IF(C394=1,Leyenda!$C$3,IF(C394=2,Leyenda!$C$4,IF(C394=3,Leyenda!$C$5,IF(C394=4,Leyenda!$C$6,IF(C394=5,Leyenda!$C$7,IF(C394=6,Leyenda!$C$8,IF(C394=7,Leyenda!$C$9,IF(C394=8,Leyenda!$C$10," "))))))))&amp;IF(C394=9,Leyenda!$C$11,IF(C394=10,Leyenda!$C$12,IF(C394=11,Leyenda!$C$13,IF(C394=12,Leyenda!D451," "))))</f>
        <v xml:space="preserve">GASTOS POR TRABAJOS, SUMINISTROS Y SERVICIOS </v>
      </c>
      <c r="E394" s="196" t="s">
        <v>1598</v>
      </c>
      <c r="F394" s="247">
        <v>45576</v>
      </c>
      <c r="G394" s="247" t="str">
        <f t="shared" si="27"/>
        <v>octubre</v>
      </c>
      <c r="H394" s="191">
        <v>18</v>
      </c>
      <c r="I394" s="148" t="str">
        <f>TEXT(gastos[[#This Row],[Fecha]],"DDDD")</f>
        <v>viernes</v>
      </c>
      <c r="J394" s="249">
        <f t="shared" si="30"/>
        <v>45583</v>
      </c>
      <c r="K394" s="249"/>
      <c r="L394" s="147"/>
      <c r="M394" s="197">
        <v>0</v>
      </c>
      <c r="N394" s="197">
        <f>3787-287.26</f>
        <v>3499.74</v>
      </c>
      <c r="O394" s="198">
        <f t="shared" si="29"/>
        <v>3499.74</v>
      </c>
      <c r="P394" s="199">
        <v>287.26</v>
      </c>
      <c r="Q394" s="199">
        <v>0</v>
      </c>
      <c r="R394" s="199">
        <v>0</v>
      </c>
      <c r="S394" s="199">
        <v>0</v>
      </c>
      <c r="T394" s="200" t="str">
        <f>IFERROR(VLOOKUP($A394,Tabla3[#All],2,0),"no esta registrado")</f>
        <v>Bravo, S.A.//Supermercados Bravo</v>
      </c>
    </row>
    <row r="395" spans="1:20" ht="16.5" hidden="1" x14ac:dyDescent="0.3">
      <c r="A395" s="230" t="s">
        <v>742</v>
      </c>
      <c r="B395" s="193">
        <v>1</v>
      </c>
      <c r="C395" s="194">
        <v>2</v>
      </c>
      <c r="D395" s="195" t="str">
        <f>IF(C395=1,Leyenda!$C$3,IF(C395=2,Leyenda!$C$4,IF(C395=3,Leyenda!$C$5,IF(C395=4,Leyenda!$C$6,IF(C395=5,Leyenda!$C$7,IF(C395=6,Leyenda!$C$8,IF(C395=7,Leyenda!$C$9,IF(C395=8,Leyenda!$C$10," "))))))))&amp;IF(C395=9,Leyenda!$C$11,IF(C395=10,Leyenda!$C$12,IF(C395=11,Leyenda!$C$13,IF(C395=12,Leyenda!D452," "))))</f>
        <v xml:space="preserve">GASTOS POR TRABAJOS, SUMINISTROS Y SERVICIOS </v>
      </c>
      <c r="E395" s="196" t="s">
        <v>1599</v>
      </c>
      <c r="F395" s="247">
        <v>45576</v>
      </c>
      <c r="G395" s="247" t="str">
        <f t="shared" si="27"/>
        <v>octubre</v>
      </c>
      <c r="H395" s="191">
        <v>17</v>
      </c>
      <c r="I395" s="148" t="str">
        <f>TEXT(gastos[[#This Row],[Fecha]],"DDDD")</f>
        <v>jueves</v>
      </c>
      <c r="J395" s="249">
        <f t="shared" si="30"/>
        <v>45582</v>
      </c>
      <c r="K395" s="249"/>
      <c r="L395" s="147"/>
      <c r="M395" s="197">
        <v>0</v>
      </c>
      <c r="N395" s="197">
        <v>1139.82</v>
      </c>
      <c r="O395" s="198">
        <f t="shared" si="29"/>
        <v>1139.82</v>
      </c>
      <c r="P395" s="199">
        <v>205.17</v>
      </c>
      <c r="Q395" s="199">
        <v>0</v>
      </c>
      <c r="R395" s="199">
        <v>0</v>
      </c>
      <c r="S395" s="199">
        <v>0</v>
      </c>
      <c r="T395" s="200" t="str">
        <f>IFERROR(VLOOKUP($A395,Tabla3[#All],2,0),"no esta registrado")</f>
        <v>Narex, S.A.//Pizza Hut</v>
      </c>
    </row>
    <row r="396" spans="1:20" ht="16.5" hidden="1" x14ac:dyDescent="0.3">
      <c r="A396" s="230" t="s">
        <v>742</v>
      </c>
      <c r="B396" s="193">
        <v>1</v>
      </c>
      <c r="C396" s="194">
        <v>2</v>
      </c>
      <c r="D396" s="195" t="str">
        <f>IF(C396=1,Leyenda!$C$3,IF(C396=2,Leyenda!$C$4,IF(C396=3,Leyenda!$C$5,IF(C396=4,Leyenda!$C$6,IF(C396=5,Leyenda!$C$7,IF(C396=6,Leyenda!$C$8,IF(C396=7,Leyenda!$C$9,IF(C396=8,Leyenda!$C$10," "))))))))&amp;IF(C396=9,Leyenda!$C$11,IF(C396=10,Leyenda!$C$12,IF(C396=11,Leyenda!$C$13,IF(C396=12,Leyenda!D453," "))))</f>
        <v xml:space="preserve">GASTOS POR TRABAJOS, SUMINISTROS Y SERVICIOS </v>
      </c>
      <c r="E396" s="196" t="s">
        <v>1600</v>
      </c>
      <c r="F396" s="247">
        <v>45576</v>
      </c>
      <c r="G396" s="247" t="str">
        <f t="shared" si="27"/>
        <v>octubre</v>
      </c>
      <c r="H396" s="191">
        <v>29</v>
      </c>
      <c r="I396" s="148" t="str">
        <f>TEXT(gastos[[#This Row],[Fecha]],"DDDD")</f>
        <v>martes</v>
      </c>
      <c r="J396" s="249">
        <f t="shared" si="30"/>
        <v>45594</v>
      </c>
      <c r="K396" s="249"/>
      <c r="L396" s="147"/>
      <c r="M396" s="197">
        <v>0</v>
      </c>
      <c r="N396" s="197">
        <v>923.72</v>
      </c>
      <c r="O396" s="198">
        <f t="shared" si="29"/>
        <v>923.72</v>
      </c>
      <c r="P396" s="199">
        <v>166.27</v>
      </c>
      <c r="Q396" s="199">
        <v>0</v>
      </c>
      <c r="R396" s="199">
        <v>0</v>
      </c>
      <c r="S396" s="199">
        <v>0</v>
      </c>
      <c r="T396" s="200" t="str">
        <f>IFERROR(VLOOKUP($A396,Tabla3[#All],2,0),"no esta registrado")</f>
        <v>Narex, S.A.//Pizza Hut</v>
      </c>
    </row>
    <row r="397" spans="1:20" ht="16.5" hidden="1" x14ac:dyDescent="0.3">
      <c r="A397" s="230" t="s">
        <v>1136</v>
      </c>
      <c r="B397" s="193">
        <v>1</v>
      </c>
      <c r="C397" s="194">
        <v>2</v>
      </c>
      <c r="D397" s="195" t="str">
        <f>IF(C397=1,Leyenda!$C$3,IF(C397=2,Leyenda!$C$4,IF(C397=3,Leyenda!$C$5,IF(C397=4,Leyenda!$C$6,IF(C397=5,Leyenda!$C$7,IF(C397=6,Leyenda!$C$8,IF(C397=7,Leyenda!$C$9,IF(C397=8,Leyenda!$C$10," "))))))))&amp;IF(C397=9,Leyenda!$C$11,IF(C397=10,Leyenda!$C$12,IF(C397=11,Leyenda!$C$13,IF(C397=12,Leyenda!D454," "))))</f>
        <v xml:space="preserve">GASTOS POR TRABAJOS, SUMINISTROS Y SERVICIOS </v>
      </c>
      <c r="E397" s="196" t="s">
        <v>1601</v>
      </c>
      <c r="F397" s="247">
        <v>45576</v>
      </c>
      <c r="G397" s="247" t="str">
        <f t="shared" si="27"/>
        <v>octubre</v>
      </c>
      <c r="H397" s="191">
        <v>25</v>
      </c>
      <c r="I397" s="148" t="str">
        <f>TEXT(gastos[[#This Row],[Fecha]],"DDDD")</f>
        <v>viernes</v>
      </c>
      <c r="J397" s="249">
        <f t="shared" si="30"/>
        <v>45590</v>
      </c>
      <c r="K397" s="249"/>
      <c r="L397" s="147"/>
      <c r="M397" s="197">
        <v>0</v>
      </c>
      <c r="N397" s="197">
        <v>1271.19</v>
      </c>
      <c r="O397" s="198">
        <f t="shared" si="29"/>
        <v>1271.19</v>
      </c>
      <c r="P397" s="199">
        <v>228.82</v>
      </c>
      <c r="Q397" s="199">
        <v>0</v>
      </c>
      <c r="R397" s="199">
        <v>0</v>
      </c>
      <c r="S397" s="199">
        <v>0</v>
      </c>
      <c r="T397" s="200" t="str">
        <f>IFERROR(VLOOKUP($A397,Tabla3[#All],2,0),"no esta registrado")</f>
        <v>FERRETERIA Y ELECTODOSMETICOS PUERTO RICO SRL</v>
      </c>
    </row>
    <row r="398" spans="1:20" ht="16.5" hidden="1" x14ac:dyDescent="0.3">
      <c r="A398" s="230" t="s">
        <v>1136</v>
      </c>
      <c r="B398" s="193">
        <v>1</v>
      </c>
      <c r="C398" s="194">
        <v>2</v>
      </c>
      <c r="D398" s="195" t="str">
        <f>IF(C398=1,Leyenda!$C$3,IF(C398=2,Leyenda!$C$4,IF(C398=3,Leyenda!$C$5,IF(C398=4,Leyenda!$C$6,IF(C398=5,Leyenda!$C$7,IF(C398=6,Leyenda!$C$8,IF(C398=7,Leyenda!$C$9,IF(C398=8,Leyenda!$C$10," "))))))))&amp;IF(C398=9,Leyenda!$C$11,IF(C398=10,Leyenda!$C$12,IF(C398=11,Leyenda!$C$13,IF(C398=12,Leyenda!D455," "))))</f>
        <v xml:space="preserve">GASTOS POR TRABAJOS, SUMINISTROS Y SERVICIOS </v>
      </c>
      <c r="E398" s="196" t="s">
        <v>1602</v>
      </c>
      <c r="F398" s="247">
        <v>45576</v>
      </c>
      <c r="G398" s="247" t="str">
        <f t="shared" si="27"/>
        <v>octubre</v>
      </c>
      <c r="H398" s="191">
        <v>28</v>
      </c>
      <c r="I398" s="148" t="str">
        <f>TEXT(gastos[[#This Row],[Fecha]],"DDDD")</f>
        <v>lunes</v>
      </c>
      <c r="J398" s="249">
        <f t="shared" si="30"/>
        <v>45593</v>
      </c>
      <c r="K398" s="249"/>
      <c r="L398" s="147"/>
      <c r="M398" s="197">
        <v>0</v>
      </c>
      <c r="N398" s="197">
        <v>1453.39</v>
      </c>
      <c r="O398" s="198">
        <f t="shared" si="29"/>
        <v>1453.39</v>
      </c>
      <c r="P398" s="199">
        <v>261.61</v>
      </c>
      <c r="Q398" s="199">
        <v>0</v>
      </c>
      <c r="R398" s="199">
        <v>0</v>
      </c>
      <c r="S398" s="199">
        <v>0</v>
      </c>
      <c r="T398" s="200" t="str">
        <f>IFERROR(VLOOKUP($A398,Tabla3[#All],2,0),"no esta registrado")</f>
        <v>FERRETERIA Y ELECTODOSMETICOS PUERTO RICO SRL</v>
      </c>
    </row>
    <row r="399" spans="1:20" ht="16.5" hidden="1" x14ac:dyDescent="0.3">
      <c r="A399" s="230" t="s">
        <v>1116</v>
      </c>
      <c r="B399" s="193">
        <v>1</v>
      </c>
      <c r="C399" s="194">
        <v>2</v>
      </c>
      <c r="D399" s="195" t="str">
        <f>IF(C399=1,Leyenda!$C$3,IF(C399=2,Leyenda!$C$4,IF(C399=3,Leyenda!$C$5,IF(C399=4,Leyenda!$C$6,IF(C399=5,Leyenda!$C$7,IF(C399=6,Leyenda!$C$8,IF(C399=7,Leyenda!$C$9,IF(C399=8,Leyenda!$C$10," "))))))))&amp;IF(C399=9,Leyenda!$C$11,IF(C399=10,Leyenda!$C$12,IF(C399=11,Leyenda!$C$13,IF(C399=12,Leyenda!D456," "))))</f>
        <v xml:space="preserve">GASTOS POR TRABAJOS, SUMINISTROS Y SERVICIOS </v>
      </c>
      <c r="E399" s="196" t="s">
        <v>1603</v>
      </c>
      <c r="F399" s="247">
        <v>45576</v>
      </c>
      <c r="G399" s="247" t="str">
        <f t="shared" si="27"/>
        <v>octubre</v>
      </c>
      <c r="H399" s="191">
        <v>30</v>
      </c>
      <c r="I399" s="148" t="str">
        <f>TEXT(gastos[[#This Row],[Fecha]],"DDDD")</f>
        <v>miércoles</v>
      </c>
      <c r="J399" s="249">
        <f t="shared" si="30"/>
        <v>45595</v>
      </c>
      <c r="K399" s="249"/>
      <c r="L399" s="147"/>
      <c r="M399" s="197">
        <v>7600</v>
      </c>
      <c r="N399" s="197">
        <v>0</v>
      </c>
      <c r="O399" s="198">
        <f t="shared" si="29"/>
        <v>7600</v>
      </c>
      <c r="P399" s="199">
        <v>0</v>
      </c>
      <c r="Q399" s="199">
        <v>0</v>
      </c>
      <c r="R399" s="199">
        <v>0</v>
      </c>
      <c r="S399" s="199">
        <v>0</v>
      </c>
      <c r="T399" s="200" t="str">
        <f>IFERROR(VLOOKUP($A399,Tabla3[#All],2,0),"no esta registrado")</f>
        <v>COLEGIO SANTA ROSA DE LIMA</v>
      </c>
    </row>
    <row r="400" spans="1:20" ht="16.5" hidden="1" x14ac:dyDescent="0.3">
      <c r="A400" s="230" t="s">
        <v>1116</v>
      </c>
      <c r="B400" s="193">
        <v>1</v>
      </c>
      <c r="C400" s="194">
        <v>2</v>
      </c>
      <c r="D400" s="195" t="str">
        <f>IF(C400=1,Leyenda!$C$3,IF(C400=2,Leyenda!$C$4,IF(C400=3,Leyenda!$C$5,IF(C400=4,Leyenda!$C$6,IF(C400=5,Leyenda!$C$7,IF(C400=6,Leyenda!$C$8,IF(C400=7,Leyenda!$C$9,IF(C400=8,Leyenda!$C$10," "))))))))&amp;IF(C400=9,Leyenda!$C$11,IF(C400=10,Leyenda!$C$12,IF(C400=11,Leyenda!$C$13,IF(C400=12,Leyenda!D457," "))))</f>
        <v xml:space="preserve">GASTOS POR TRABAJOS, SUMINISTROS Y SERVICIOS </v>
      </c>
      <c r="E400" s="196" t="s">
        <v>1604</v>
      </c>
      <c r="F400" s="247">
        <v>45576</v>
      </c>
      <c r="G400" s="247" t="str">
        <f t="shared" si="27"/>
        <v>octubre</v>
      </c>
      <c r="H400" s="191">
        <v>30</v>
      </c>
      <c r="I400" s="148" t="str">
        <f>TEXT(gastos[[#This Row],[Fecha]],"DDDD")</f>
        <v>miércoles</v>
      </c>
      <c r="J400" s="249">
        <f t="shared" si="30"/>
        <v>45595</v>
      </c>
      <c r="K400" s="249"/>
      <c r="L400" s="147"/>
      <c r="M400" s="197">
        <v>7300</v>
      </c>
      <c r="N400" s="197">
        <v>0</v>
      </c>
      <c r="O400" s="198">
        <f t="shared" si="29"/>
        <v>7300</v>
      </c>
      <c r="P400" s="199">
        <v>0</v>
      </c>
      <c r="Q400" s="199">
        <v>0</v>
      </c>
      <c r="R400" s="199">
        <v>0</v>
      </c>
      <c r="S400" s="199">
        <v>0</v>
      </c>
      <c r="T400" s="200" t="str">
        <f>IFERROR(VLOOKUP($A400,Tabla3[#All],2,0),"no esta registrado")</f>
        <v>COLEGIO SANTA ROSA DE LIMA</v>
      </c>
    </row>
    <row r="401" spans="1:20" ht="16.5" hidden="1" x14ac:dyDescent="0.3">
      <c r="A401" s="230" t="s">
        <v>1116</v>
      </c>
      <c r="B401" s="193">
        <v>1</v>
      </c>
      <c r="C401" s="194">
        <v>2</v>
      </c>
      <c r="D401" s="195" t="str">
        <f>IF(C401=1,Leyenda!$C$3,IF(C401=2,Leyenda!$C$4,IF(C401=3,Leyenda!$C$5,IF(C401=4,Leyenda!$C$6,IF(C401=5,Leyenda!$C$7,IF(C401=6,Leyenda!$C$8,IF(C401=7,Leyenda!$C$9,IF(C401=8,Leyenda!$C$10," "))))))))&amp;IF(C401=9,Leyenda!$C$11,IF(C401=10,Leyenda!$C$12,IF(C401=11,Leyenda!$C$13,IF(C401=12,Leyenda!D458," "))))</f>
        <v xml:space="preserve">GASTOS POR TRABAJOS, SUMINISTROS Y SERVICIOS </v>
      </c>
      <c r="E401" s="196" t="s">
        <v>1605</v>
      </c>
      <c r="F401" s="247">
        <v>45576</v>
      </c>
      <c r="G401" s="247" t="str">
        <f t="shared" si="27"/>
        <v>octubre</v>
      </c>
      <c r="H401" s="191">
        <v>30</v>
      </c>
      <c r="I401" s="148" t="str">
        <f>TEXT(gastos[[#This Row],[Fecha]],"DDDD")</f>
        <v>miércoles</v>
      </c>
      <c r="J401" s="249">
        <f t="shared" si="30"/>
        <v>45595</v>
      </c>
      <c r="K401" s="249"/>
      <c r="L401" s="147"/>
      <c r="M401" s="197">
        <v>7300</v>
      </c>
      <c r="N401" s="197">
        <v>0</v>
      </c>
      <c r="O401" s="198">
        <f t="shared" si="29"/>
        <v>7300</v>
      </c>
      <c r="P401" s="199">
        <v>0</v>
      </c>
      <c r="Q401" s="199">
        <v>0</v>
      </c>
      <c r="R401" s="199">
        <v>0</v>
      </c>
      <c r="S401" s="199">
        <v>0</v>
      </c>
      <c r="T401" s="200" t="str">
        <f>IFERROR(VLOOKUP($A401,Tabla3[#All],2,0),"no esta registrado")</f>
        <v>COLEGIO SANTA ROSA DE LIMA</v>
      </c>
    </row>
    <row r="402" spans="1:20" ht="16.5" hidden="1" x14ac:dyDescent="0.3">
      <c r="A402" s="230" t="s">
        <v>1114</v>
      </c>
      <c r="B402" s="193">
        <v>1</v>
      </c>
      <c r="C402" s="194">
        <v>2</v>
      </c>
      <c r="D402" s="195" t="str">
        <f>IF(C402=1,Leyenda!$C$3,IF(C402=2,Leyenda!$C$4,IF(C402=3,Leyenda!$C$5,IF(C402=4,Leyenda!$C$6,IF(C402=5,Leyenda!$C$7,IF(C402=6,Leyenda!$C$8,IF(C402=7,Leyenda!$C$9,IF(C402=8,Leyenda!$C$10," "))))))))&amp;IF(C402=9,Leyenda!$C$11,IF(C402=10,Leyenda!$C$12,IF(C402=11,Leyenda!$C$13,IF(C402=12,Leyenda!D459," "))))</f>
        <v xml:space="preserve">GASTOS POR TRABAJOS, SUMINISTROS Y SERVICIOS </v>
      </c>
      <c r="E402" s="196" t="s">
        <v>1606</v>
      </c>
      <c r="F402" s="247">
        <v>45576</v>
      </c>
      <c r="G402" s="247" t="str">
        <f t="shared" si="27"/>
        <v>octubre</v>
      </c>
      <c r="H402" s="191">
        <v>25</v>
      </c>
      <c r="I402" s="148" t="str">
        <f>TEXT(gastos[[#This Row],[Fecha]],"DDDD")</f>
        <v>viernes</v>
      </c>
      <c r="J402" s="249">
        <f t="shared" si="30"/>
        <v>45590</v>
      </c>
      <c r="K402" s="249"/>
      <c r="L402" s="147"/>
      <c r="M402" s="197">
        <v>8677</v>
      </c>
      <c r="N402" s="197">
        <v>0</v>
      </c>
      <c r="O402" s="198">
        <f t="shared" si="29"/>
        <v>8677</v>
      </c>
      <c r="P402" s="199">
        <v>0</v>
      </c>
      <c r="Q402" s="199">
        <v>0</v>
      </c>
      <c r="R402" s="199">
        <v>0</v>
      </c>
      <c r="S402" s="199">
        <v>0</v>
      </c>
      <c r="T402" s="200" t="str">
        <f>IFERROR(VLOOKUP($A402,Tabla3[#All],2,0),"no esta registrado")</f>
        <v>ACADEMIA EUROPEA</v>
      </c>
    </row>
    <row r="403" spans="1:20" ht="16.5" hidden="1" x14ac:dyDescent="0.3">
      <c r="A403" s="230" t="s">
        <v>495</v>
      </c>
      <c r="B403" s="193">
        <v>1</v>
      </c>
      <c r="C403" s="194">
        <v>2</v>
      </c>
      <c r="D403" s="195" t="str">
        <f>IF(C403=1,Leyenda!$C$3,IF(C403=2,Leyenda!$C$4,IF(C403=3,Leyenda!$C$5,IF(C403=4,Leyenda!$C$6,IF(C403=5,Leyenda!$C$7,IF(C403=6,Leyenda!$C$8,IF(C403=7,Leyenda!$C$9,IF(C403=8,Leyenda!$C$10," "))))))))&amp;IF(C403=9,Leyenda!$C$11,IF(C403=10,Leyenda!$C$12,IF(C403=11,Leyenda!$C$13,IF(C403=12,Leyenda!D460," "))))</f>
        <v xml:space="preserve">GASTOS POR TRABAJOS, SUMINISTROS Y SERVICIOS </v>
      </c>
      <c r="E403" s="196" t="s">
        <v>1607</v>
      </c>
      <c r="F403" s="247">
        <v>45576</v>
      </c>
      <c r="G403" s="247" t="str">
        <f t="shared" si="27"/>
        <v>octubre</v>
      </c>
      <c r="H403" s="191">
        <v>7</v>
      </c>
      <c r="I403" s="148" t="str">
        <f>TEXT(gastos[[#This Row],[Fecha]],"DDDD")</f>
        <v>lunes</v>
      </c>
      <c r="J403" s="249">
        <f t="shared" si="30"/>
        <v>45572</v>
      </c>
      <c r="K403" s="249"/>
      <c r="L403" s="147"/>
      <c r="M403" s="197">
        <v>2407.69</v>
      </c>
      <c r="N403" s="197">
        <v>0</v>
      </c>
      <c r="O403" s="198">
        <f t="shared" si="29"/>
        <v>2407.69</v>
      </c>
      <c r="P403" s="199">
        <v>433.39</v>
      </c>
      <c r="Q403" s="199">
        <v>0</v>
      </c>
      <c r="R403" s="199">
        <v>0</v>
      </c>
      <c r="S403">
        <v>0</v>
      </c>
      <c r="T403" s="200" t="str">
        <f>IFERROR(VLOOKUP($A403,Tabla3[#All],2,0),"no esta registrado")</f>
        <v>CLARO//CODETEL</v>
      </c>
    </row>
    <row r="404" spans="1:20" ht="16.5" hidden="1" x14ac:dyDescent="0.3">
      <c r="A404" s="230" t="s">
        <v>495</v>
      </c>
      <c r="B404" s="193">
        <v>1</v>
      </c>
      <c r="C404" s="194">
        <v>2</v>
      </c>
      <c r="D404" s="195" t="str">
        <f>IF(C404=1,Leyenda!$C$3,IF(C404=2,Leyenda!$C$4,IF(C404=3,Leyenda!$C$5,IF(C404=4,Leyenda!$C$6,IF(C404=5,Leyenda!$C$7,IF(C404=6,Leyenda!$C$8,IF(C404=7,Leyenda!$C$9,IF(C404=8,Leyenda!$C$10," "))))))))&amp;IF(C404=9,Leyenda!$C$11,IF(C404=10,Leyenda!$C$12,IF(C404=11,Leyenda!$C$13,IF(C404=12,Leyenda!D461," "))))</f>
        <v xml:space="preserve">GASTOS POR TRABAJOS, SUMINISTROS Y SERVICIOS </v>
      </c>
      <c r="E404" s="196" t="s">
        <v>1608</v>
      </c>
      <c r="F404" s="247">
        <v>45576</v>
      </c>
      <c r="G404" s="247" t="str">
        <f t="shared" si="27"/>
        <v>octubre</v>
      </c>
      <c r="H404" s="191">
        <v>7</v>
      </c>
      <c r="I404" s="148" t="str">
        <f>TEXT(gastos[[#This Row],[Fecha]],"DDDD")</f>
        <v>lunes</v>
      </c>
      <c r="J404" s="249">
        <f t="shared" si="30"/>
        <v>45572</v>
      </c>
      <c r="K404" s="249"/>
      <c r="L404" s="147"/>
      <c r="M404" s="197">
        <v>1181.24</v>
      </c>
      <c r="N404" s="197">
        <v>0</v>
      </c>
      <c r="O404" s="198">
        <f t="shared" si="29"/>
        <v>1181.24</v>
      </c>
      <c r="P404" s="199">
        <v>212.62</v>
      </c>
      <c r="Q404" s="199">
        <v>0</v>
      </c>
      <c r="R404" s="199">
        <v>0</v>
      </c>
      <c r="S404">
        <v>0</v>
      </c>
      <c r="T404" s="200" t="str">
        <f>IFERROR(VLOOKUP($A404,Tabla3[#All],2,0),"no esta registrado")</f>
        <v>CLARO//CODETEL</v>
      </c>
    </row>
    <row r="405" spans="1:20" ht="16.5" hidden="1" x14ac:dyDescent="0.3">
      <c r="A405" s="230" t="s">
        <v>1112</v>
      </c>
      <c r="B405" s="193">
        <v>1</v>
      </c>
      <c r="C405" s="194">
        <v>2</v>
      </c>
      <c r="D405" s="195" t="str">
        <f>IF(C405=1,Leyenda!$C$3,IF(C405=2,Leyenda!$C$4,IF(C405=3,Leyenda!$C$5,IF(C405=4,Leyenda!$C$6,IF(C405=5,Leyenda!$C$7,IF(C405=6,Leyenda!$C$8,IF(C405=7,Leyenda!$C$9,IF(C405=8,Leyenda!$C$10," "))))))))&amp;IF(C405=9,Leyenda!$C$11,IF(C405=10,Leyenda!$C$12,IF(C405=11,Leyenda!$C$13,IF(C405=12,Leyenda!D462," "))))</f>
        <v xml:space="preserve">GASTOS POR TRABAJOS, SUMINISTROS Y SERVICIOS </v>
      </c>
      <c r="E405" s="196" t="s">
        <v>1609</v>
      </c>
      <c r="F405" s="247">
        <v>45576</v>
      </c>
      <c r="G405" s="247" t="str">
        <f t="shared" ref="G405:G468" si="31">TEXT(F405,"MMMM")</f>
        <v>octubre</v>
      </c>
      <c r="H405" s="191">
        <v>21</v>
      </c>
      <c r="I405" s="148" t="str">
        <f>TEXT(gastos[[#This Row],[Fecha]],"DDDD")</f>
        <v>lunes</v>
      </c>
      <c r="J405" s="249">
        <f t="shared" si="30"/>
        <v>45586</v>
      </c>
      <c r="K405" s="249"/>
      <c r="L405" s="147"/>
      <c r="M405" s="197">
        <v>13913.49</v>
      </c>
      <c r="N405" s="197">
        <v>0</v>
      </c>
      <c r="O405" s="198">
        <f t="shared" si="29"/>
        <v>13913.49</v>
      </c>
      <c r="P405" s="199">
        <v>0</v>
      </c>
      <c r="Q405" s="199">
        <v>0</v>
      </c>
      <c r="R405" s="199">
        <v>0</v>
      </c>
      <c r="S405">
        <v>0</v>
      </c>
      <c r="T405" s="200" t="str">
        <f>IFERROR(VLOOKUP($A405,Tabla3[#All],2,0),"no esta registrado")</f>
        <v>EDEESTE</v>
      </c>
    </row>
    <row r="406" spans="1:20" ht="16.5" hidden="1" x14ac:dyDescent="0.3">
      <c r="A406" s="230" t="s">
        <v>486</v>
      </c>
      <c r="B406" s="193">
        <v>1</v>
      </c>
      <c r="C406" s="194">
        <v>7</v>
      </c>
      <c r="D406" s="195" t="str">
        <f>IF(C406=1,Leyenda!$C$3,IF(C406=2,Leyenda!$C$4,IF(C406=3,Leyenda!$C$5,IF(C406=4,Leyenda!$C$6,IF(C406=5,Leyenda!$C$7,IF(C406=6,Leyenda!$C$8,IF(C406=7,Leyenda!$C$9,IF(C406=8,Leyenda!$C$10," "))))))))&amp;IF(C406=9,Leyenda!$C$11,IF(C406=10,Leyenda!$C$12,IF(C406=11,Leyenda!$C$13,IF(C406=12,Leyenda!D463," "))))</f>
        <v xml:space="preserve">GASTOS FINANCIEROS </v>
      </c>
      <c r="E406" s="196" t="s">
        <v>1610</v>
      </c>
      <c r="F406" s="247">
        <v>45576</v>
      </c>
      <c r="G406" s="247" t="str">
        <f t="shared" si="31"/>
        <v>octubre</v>
      </c>
      <c r="H406" s="191">
        <v>25</v>
      </c>
      <c r="I406" s="148" t="str">
        <f>TEXT(gastos[[#This Row],[Fecha]],"DDDD")</f>
        <v>viernes</v>
      </c>
      <c r="J406" s="249">
        <f t="shared" si="30"/>
        <v>45590</v>
      </c>
      <c r="K406" s="249"/>
      <c r="L406" s="147"/>
      <c r="M406" s="197">
        <v>22687.5</v>
      </c>
      <c r="N406" s="197">
        <v>0</v>
      </c>
      <c r="O406" s="198">
        <f t="shared" si="29"/>
        <v>22687.5</v>
      </c>
      <c r="P406" s="199">
        <v>0</v>
      </c>
      <c r="Q406" s="199">
        <v>0</v>
      </c>
      <c r="R406" s="199">
        <v>0</v>
      </c>
      <c r="S406">
        <v>0</v>
      </c>
      <c r="T406" s="200" t="str">
        <f>IFERROR(VLOOKUP($A406,Tabla3[#All],2,0),"no esta registrado")</f>
        <v>Banco Multiple BHD León, S. A.</v>
      </c>
    </row>
    <row r="407" spans="1:20" ht="16.5" hidden="1" x14ac:dyDescent="0.3">
      <c r="A407" s="230" t="s">
        <v>486</v>
      </c>
      <c r="B407" s="193">
        <v>1</v>
      </c>
      <c r="C407" s="194">
        <v>7</v>
      </c>
      <c r="D407" s="195" t="str">
        <f>IF(C407=1,Leyenda!$C$3,IF(C407=2,Leyenda!$C$4,IF(C407=3,Leyenda!$C$5,IF(C407=4,Leyenda!$C$6,IF(C407=5,Leyenda!$C$7,IF(C407=6,Leyenda!$C$8,IF(C407=7,Leyenda!$C$9,IF(C407=8,Leyenda!$C$10," "))))))))&amp;IF(C407=9,Leyenda!$C$11,IF(C407=10,Leyenda!$C$12,IF(C407=11,Leyenda!$C$13,IF(C407=12,Leyenda!D464," "))))</f>
        <v xml:space="preserve">GASTOS FINANCIEROS </v>
      </c>
      <c r="E407" s="196" t="s">
        <v>1611</v>
      </c>
      <c r="F407" s="247">
        <v>45576</v>
      </c>
      <c r="G407" s="247" t="str">
        <f t="shared" si="31"/>
        <v>octubre</v>
      </c>
      <c r="H407" s="191">
        <v>4</v>
      </c>
      <c r="I407" s="148" t="str">
        <f>TEXT(gastos[[#This Row],[Fecha]],"DDDD")</f>
        <v>viernes</v>
      </c>
      <c r="J407" s="249">
        <f t="shared" si="30"/>
        <v>45569</v>
      </c>
      <c r="K407" s="249"/>
      <c r="L407" s="147"/>
      <c r="M407" s="197">
        <v>15208.33</v>
      </c>
      <c r="N407" s="197">
        <v>0</v>
      </c>
      <c r="O407" s="198">
        <f t="shared" si="29"/>
        <v>15208.33</v>
      </c>
      <c r="P407" s="199">
        <v>0</v>
      </c>
      <c r="Q407" s="199">
        <v>0</v>
      </c>
      <c r="R407" s="199">
        <v>0</v>
      </c>
      <c r="S407">
        <v>0</v>
      </c>
      <c r="T407" s="200" t="str">
        <f>IFERROR(VLOOKUP($A407,Tabla3[#All],2,0),"no esta registrado")</f>
        <v>Banco Multiple BHD León, S. A.</v>
      </c>
    </row>
    <row r="408" spans="1:20" ht="16.5" hidden="1" x14ac:dyDescent="0.3">
      <c r="A408" s="231" t="s">
        <v>489</v>
      </c>
      <c r="B408" s="193">
        <v>2</v>
      </c>
      <c r="C408" s="194">
        <v>7</v>
      </c>
      <c r="D408" s="195" t="str">
        <f>IF(C408=1,Leyenda!$C$3,IF(C408=2,Leyenda!$C$4,IF(C408=3,Leyenda!$C$5,IF(C408=4,Leyenda!$C$6,IF(C408=5,Leyenda!$C$7,IF(C408=6,Leyenda!$C$8,IF(C408=7,Leyenda!$C$9,IF(C408=8,Leyenda!$C$10," "))))))))&amp;IF(C408=9,Leyenda!$C$11,IF(C408=10,Leyenda!$C$12,IF(C408=11,Leyenda!$C$13,IF(C408=12,Leyenda!D465," "))))</f>
        <v xml:space="preserve">GASTOS FINANCIEROS </v>
      </c>
      <c r="E408" s="202" t="s">
        <v>1612</v>
      </c>
      <c r="F408" s="247">
        <v>45576</v>
      </c>
      <c r="G408" s="247" t="str">
        <f t="shared" si="31"/>
        <v>octubre</v>
      </c>
      <c r="H408" s="203">
        <v>31</v>
      </c>
      <c r="I408" s="250" t="str">
        <f>TEXT(gastos[[#This Row],[Fecha]],"DDDD")</f>
        <v>jueves</v>
      </c>
      <c r="J408" s="249">
        <f t="shared" si="30"/>
        <v>45596</v>
      </c>
      <c r="K408" s="249"/>
      <c r="L408" s="147"/>
      <c r="M408" s="197">
        <v>11979</v>
      </c>
      <c r="N408" s="197">
        <v>0</v>
      </c>
      <c r="O408" s="198">
        <f t="shared" si="29"/>
        <v>11979</v>
      </c>
      <c r="P408" s="199">
        <v>0</v>
      </c>
      <c r="Q408" s="199">
        <v>0</v>
      </c>
      <c r="R408" s="199">
        <v>0</v>
      </c>
      <c r="S408">
        <v>0</v>
      </c>
      <c r="T408" s="200" t="str">
        <f>IFERROR(VLOOKUP($A408,Tabla3[#All],2,0),"no esta registrado")</f>
        <v>Banco Popular Dominicano, S. A. Banco Multiple</v>
      </c>
    </row>
    <row r="409" spans="1:20" ht="16.5" hidden="1" x14ac:dyDescent="0.3">
      <c r="A409" s="230" t="s">
        <v>492</v>
      </c>
      <c r="B409" s="193">
        <v>1</v>
      </c>
      <c r="C409" s="194">
        <v>7</v>
      </c>
      <c r="D409" s="195" t="str">
        <f>IF(C409=1,Leyenda!$C$3,IF(C409=2,Leyenda!$C$4,IF(C409=3,Leyenda!$C$5,IF(C409=4,Leyenda!$C$6,IF(C409=5,Leyenda!$C$7,IF(C409=6,Leyenda!$C$8,IF(C409=7,Leyenda!$C$9,IF(C409=8,Leyenda!$C$10," "))))))))&amp;IF(C409=9,Leyenda!$C$11,IF(C409=10,Leyenda!$C$12,IF(C409=11,Leyenda!$C$13,IF(C409=12,Leyenda!D466," "))))</f>
        <v xml:space="preserve">GASTOS FINANCIEROS </v>
      </c>
      <c r="E409" s="196" t="s">
        <v>1613</v>
      </c>
      <c r="F409" s="247">
        <v>45576</v>
      </c>
      <c r="G409" s="247" t="str">
        <f t="shared" si="31"/>
        <v>octubre</v>
      </c>
      <c r="H409" s="191">
        <v>16</v>
      </c>
      <c r="I409" s="148" t="str">
        <f>TEXT(gastos[[#This Row],[Fecha]],"DDDD")</f>
        <v>miércoles</v>
      </c>
      <c r="J409" s="249">
        <f t="shared" si="30"/>
        <v>45581</v>
      </c>
      <c r="K409" s="249"/>
      <c r="L409" s="147"/>
      <c r="M409" s="197">
        <v>23473.61</v>
      </c>
      <c r="N409" s="197">
        <v>0</v>
      </c>
      <c r="O409" s="198">
        <f t="shared" si="29"/>
        <v>23473.61</v>
      </c>
      <c r="P409" s="199">
        <v>0</v>
      </c>
      <c r="Q409" s="199">
        <v>0</v>
      </c>
      <c r="R409" s="199">
        <v>0</v>
      </c>
      <c r="S409">
        <v>0</v>
      </c>
      <c r="T409" s="200" t="str">
        <f>IFERROR(VLOOKUP($A409,Tabla3[#All],2,0),"no esta registrado")</f>
        <v>Banco Dominicano del Progreso, S. A.//Banco Multiple</v>
      </c>
    </row>
    <row r="410" spans="1:20" ht="16.5" hidden="1" x14ac:dyDescent="0.3">
      <c r="A410" s="230" t="s">
        <v>492</v>
      </c>
      <c r="B410" s="193">
        <v>1</v>
      </c>
      <c r="C410" s="194">
        <v>7</v>
      </c>
      <c r="D410" s="195" t="str">
        <f>IF(C410=1,Leyenda!$C$3,IF(C410=2,Leyenda!$C$4,IF(C410=3,Leyenda!$C$5,IF(C410=4,Leyenda!$C$6,IF(C410=5,Leyenda!$C$7,IF(C410=6,Leyenda!$C$8,IF(C410=7,Leyenda!$C$9,IF(C410=8,Leyenda!$C$10," "))))))))&amp;IF(C410=9,Leyenda!$C$11,IF(C410=10,Leyenda!$C$12,IF(C410=11,Leyenda!$C$13,IF(C410=12,Leyenda!D467," "))))</f>
        <v xml:space="preserve">GASTOS FINANCIEROS </v>
      </c>
      <c r="E410" s="196" t="s">
        <v>1614</v>
      </c>
      <c r="F410" s="247">
        <v>45576</v>
      </c>
      <c r="G410" s="247" t="str">
        <f t="shared" si="31"/>
        <v>octubre</v>
      </c>
      <c r="H410" s="191">
        <v>31</v>
      </c>
      <c r="I410" s="148" t="str">
        <f>TEXT(gastos[[#This Row],[Fecha]],"DDDD")</f>
        <v>jueves</v>
      </c>
      <c r="J410" s="249">
        <f t="shared" si="30"/>
        <v>45596</v>
      </c>
      <c r="K410" s="249"/>
      <c r="L410" s="147"/>
      <c r="M410" s="197">
        <v>400</v>
      </c>
      <c r="N410" s="197">
        <v>0</v>
      </c>
      <c r="O410" s="198">
        <f t="shared" si="29"/>
        <v>400</v>
      </c>
      <c r="P410" s="199">
        <v>0</v>
      </c>
      <c r="Q410" s="199">
        <v>0</v>
      </c>
      <c r="R410" s="199">
        <v>0</v>
      </c>
      <c r="S410">
        <v>0</v>
      </c>
      <c r="T410" s="200" t="str">
        <f>IFERROR(VLOOKUP($A410,Tabla3[#All],2,0),"no esta registrado")</f>
        <v>Banco Dominicano del Progreso, S. A.//Banco Multiple</v>
      </c>
    </row>
    <row r="411" spans="1:20" ht="16.5" hidden="1" x14ac:dyDescent="0.3">
      <c r="A411" s="230" t="s">
        <v>492</v>
      </c>
      <c r="B411" s="193">
        <v>1</v>
      </c>
      <c r="C411" s="194">
        <v>7</v>
      </c>
      <c r="D411" s="195" t="str">
        <f>IF(C411=1,Leyenda!$C$3,IF(C411=2,Leyenda!$C$4,IF(C411=3,Leyenda!$C$5,IF(C411=4,Leyenda!$C$6,IF(C411=5,Leyenda!$C$7,IF(C411=6,Leyenda!$C$8,IF(C411=7,Leyenda!$C$9,IF(C411=8,Leyenda!$C$10," "))))))))&amp;IF(C411=9,Leyenda!$C$11,IF(C411=10,Leyenda!$C$12,IF(C411=11,Leyenda!$C$13,IF(C411=12,Leyenda!D468," "))))</f>
        <v xml:space="preserve">GASTOS FINANCIEROS </v>
      </c>
      <c r="E411" s="196" t="s">
        <v>1615</v>
      </c>
      <c r="F411" s="247">
        <v>45576</v>
      </c>
      <c r="G411" s="247" t="str">
        <f t="shared" si="31"/>
        <v>octubre</v>
      </c>
      <c r="H411" s="191">
        <v>16</v>
      </c>
      <c r="I411" s="148" t="str">
        <f>TEXT(gastos[[#This Row],[Fecha]],"DDDD")</f>
        <v>miércoles</v>
      </c>
      <c r="J411" s="249">
        <f t="shared" si="30"/>
        <v>45581</v>
      </c>
      <c r="K411" s="249"/>
      <c r="L411" s="147"/>
      <c r="M411" s="197">
        <v>66.930000000000007</v>
      </c>
      <c r="N411" s="197">
        <v>0</v>
      </c>
      <c r="O411" s="198">
        <f t="shared" si="29"/>
        <v>66.930000000000007</v>
      </c>
      <c r="P411" s="199">
        <v>0</v>
      </c>
      <c r="Q411" s="199">
        <v>0</v>
      </c>
      <c r="R411" s="199">
        <v>0</v>
      </c>
      <c r="S411">
        <v>0</v>
      </c>
      <c r="T411" s="200" t="str">
        <f>IFERROR(VLOOKUP($A411,Tabla3[#All],2,0),"no esta registrado")</f>
        <v>Banco Dominicano del Progreso, S. A.//Banco Multiple</v>
      </c>
    </row>
    <row r="412" spans="1:20" ht="16.5" hidden="1" x14ac:dyDescent="0.3">
      <c r="A412" s="230" t="s">
        <v>909</v>
      </c>
      <c r="B412" s="193">
        <v>1</v>
      </c>
      <c r="C412" s="194">
        <v>4</v>
      </c>
      <c r="D412" s="195" t="str">
        <f>IF(C412=1,Leyenda!$C$3,IF(C412=2,Leyenda!$C$4,IF(C412=3,Leyenda!$C$5,IF(C412=4,Leyenda!$C$6,IF(C412=5,Leyenda!$C$7,IF(C412=6,Leyenda!$C$8,IF(C412=7,Leyenda!$C$9,IF(C412=8,Leyenda!$C$10," "))))))))&amp;IF(C412=9,Leyenda!$C$11,IF(C412=10,Leyenda!$C$12,IF(C412=11,Leyenda!$C$13,IF(C412=12,Leyenda!D469," "))))</f>
        <v xml:space="preserve">GASTOS DE ACTIVOS FIJO </v>
      </c>
      <c r="E412" s="196" t="s">
        <v>1616</v>
      </c>
      <c r="F412" s="248">
        <v>45604</v>
      </c>
      <c r="G412" s="247" t="str">
        <f t="shared" si="31"/>
        <v>noviembre</v>
      </c>
      <c r="H412" s="191">
        <v>8</v>
      </c>
      <c r="I412" s="148" t="str">
        <f>TEXT(gastos[[#This Row],[Fecha]],"DDDD")</f>
        <v>viernes</v>
      </c>
      <c r="J412" s="249">
        <f t="shared" si="30"/>
        <v>45604</v>
      </c>
      <c r="K412" s="249"/>
      <c r="L412" s="147"/>
      <c r="M412" s="197">
        <v>0</v>
      </c>
      <c r="N412" s="197">
        <v>41715</v>
      </c>
      <c r="O412" s="198">
        <f t="shared" ref="O412:O453" si="32">SUM(M412:N412)</f>
        <v>41715</v>
      </c>
      <c r="P412" s="199">
        <v>0</v>
      </c>
      <c r="Q412" s="199">
        <v>0</v>
      </c>
      <c r="R412" s="199">
        <v>0</v>
      </c>
      <c r="S412" s="199">
        <v>0</v>
      </c>
      <c r="T412" s="200" t="str">
        <f>IFERROR(VLOOKUP($A412,Tabla3[#All],2,0),"no esta registrado")</f>
        <v>Strata, S.R.L.</v>
      </c>
    </row>
    <row r="413" spans="1:20" ht="16.5" hidden="1" x14ac:dyDescent="0.3">
      <c r="A413" s="230" t="s">
        <v>1108</v>
      </c>
      <c r="B413" s="193">
        <v>1</v>
      </c>
      <c r="C413" s="194">
        <v>4</v>
      </c>
      <c r="D413" s="195" t="str">
        <f>IF(C413=1,Leyenda!$C$3,IF(C413=2,Leyenda!$C$4,IF(C413=3,Leyenda!$C$5,IF(C413=4,Leyenda!$C$6,IF(C413=5,Leyenda!$C$7,IF(C413=6,Leyenda!$C$8,IF(C413=7,Leyenda!$C$9,IF(C413=8,Leyenda!$C$10," "))))))))&amp;IF(C413=9,Leyenda!$C$11,IF(C413=10,Leyenda!$C$12,IF(C413=11,Leyenda!$C$13,IF(C413=12,Leyenda!D470," "))))</f>
        <v xml:space="preserve">GASTOS DE ACTIVOS FIJO </v>
      </c>
      <c r="E413" s="196" t="s">
        <v>1617</v>
      </c>
      <c r="F413" s="247">
        <v>45617</v>
      </c>
      <c r="G413" s="247" t="str">
        <f t="shared" si="31"/>
        <v>noviembre</v>
      </c>
      <c r="H413" s="191">
        <v>21</v>
      </c>
      <c r="I413" s="148" t="str">
        <f>TEXT(gastos[[#This Row],[Fecha]],"DDDD")</f>
        <v>jueves</v>
      </c>
      <c r="J413" s="249">
        <f t="shared" si="30"/>
        <v>45617</v>
      </c>
      <c r="K413" s="249"/>
      <c r="L413" s="147"/>
      <c r="M413" s="197">
        <v>0</v>
      </c>
      <c r="N413" s="197">
        <v>1592</v>
      </c>
      <c r="O413" s="198">
        <f t="shared" si="32"/>
        <v>1592</v>
      </c>
      <c r="P413" s="199">
        <v>0</v>
      </c>
      <c r="Q413" s="199">
        <v>0</v>
      </c>
      <c r="R413" s="199">
        <v>0</v>
      </c>
      <c r="S413" s="199">
        <v>0</v>
      </c>
      <c r="T413" s="200" t="str">
        <f>IFERROR(VLOOKUP($A413,Tabla3[#All],2,0),"no esta registrado")</f>
        <v>Envasadora Gas Caribe Principal</v>
      </c>
    </row>
    <row r="414" spans="1:20" ht="16.5" hidden="1" x14ac:dyDescent="0.3">
      <c r="A414" s="230" t="s">
        <v>909</v>
      </c>
      <c r="B414" s="193">
        <v>1</v>
      </c>
      <c r="C414" s="194">
        <v>4</v>
      </c>
      <c r="D414" s="195" t="str">
        <f>IF(C414=1,Leyenda!$C$3,IF(C414=2,Leyenda!$C$4,IF(C414=3,Leyenda!$C$5,IF(C414=4,Leyenda!$C$6,IF(C414=5,Leyenda!$C$7,IF(C414=6,Leyenda!$C$8,IF(C414=7,Leyenda!$C$9,IF(C414=8,Leyenda!$C$10," "))))))))&amp;IF(C414=9,Leyenda!$C$11,IF(C414=10,Leyenda!$C$12,IF(C414=11,Leyenda!$C$13,IF(C414=12,Leyenda!D471," "))))</f>
        <v xml:space="preserve">GASTOS DE ACTIVOS FIJO </v>
      </c>
      <c r="E414" s="196" t="s">
        <v>1618</v>
      </c>
      <c r="F414" s="247">
        <v>45617</v>
      </c>
      <c r="G414" s="247" t="str">
        <f t="shared" si="31"/>
        <v>noviembre</v>
      </c>
      <c r="H414" s="191">
        <v>26</v>
      </c>
      <c r="I414" s="148" t="str">
        <f>TEXT(gastos[[#This Row],[Fecha]],"DDDD")</f>
        <v>martes</v>
      </c>
      <c r="J414" s="249">
        <f t="shared" si="30"/>
        <v>45622</v>
      </c>
      <c r="K414" s="249"/>
      <c r="L414" s="147"/>
      <c r="M414" s="197">
        <v>0</v>
      </c>
      <c r="N414" s="197">
        <v>4682</v>
      </c>
      <c r="O414" s="198">
        <f t="shared" si="32"/>
        <v>4682</v>
      </c>
      <c r="P414" s="199">
        <v>0</v>
      </c>
      <c r="Q414" s="199">
        <v>0</v>
      </c>
      <c r="R414" s="199">
        <v>0</v>
      </c>
      <c r="S414" s="199">
        <v>0</v>
      </c>
      <c r="T414" s="200" t="str">
        <f>IFERROR(VLOOKUP($A414,Tabla3[#All],2,0),"no esta registrado")</f>
        <v>Strata, S.R.L.</v>
      </c>
    </row>
    <row r="415" spans="1:20" ht="16.5" hidden="1" x14ac:dyDescent="0.3">
      <c r="A415" s="230" t="s">
        <v>909</v>
      </c>
      <c r="B415" s="193">
        <v>1</v>
      </c>
      <c r="C415" s="194">
        <v>4</v>
      </c>
      <c r="D415" s="195" t="str">
        <f>IF(C415=1,Leyenda!$C$3,IF(C415=2,Leyenda!$C$4,IF(C415=3,Leyenda!$C$5,IF(C415=4,Leyenda!$C$6,IF(C415=5,Leyenda!$C$7,IF(C415=6,Leyenda!$C$8,IF(C415=7,Leyenda!$C$9,IF(C415=8,Leyenda!$C$10," "))))))))&amp;IF(C415=9,Leyenda!$C$11,IF(C415=10,Leyenda!$C$12,IF(C415=11,Leyenda!$C$13,IF(C415=12,Leyenda!D472," "))))</f>
        <v xml:space="preserve">GASTOS DE ACTIVOS FIJO </v>
      </c>
      <c r="E415" s="196" t="s">
        <v>1619</v>
      </c>
      <c r="F415" s="247">
        <v>45617</v>
      </c>
      <c r="G415" s="247" t="str">
        <f t="shared" si="31"/>
        <v>noviembre</v>
      </c>
      <c r="H415" s="191">
        <v>25</v>
      </c>
      <c r="I415" s="148" t="str">
        <f>TEXT(gastos[[#This Row],[Fecha]],"DDDD")</f>
        <v>lunes</v>
      </c>
      <c r="J415" s="249">
        <f t="shared" si="30"/>
        <v>45621</v>
      </c>
      <c r="K415" s="249"/>
      <c r="L415" s="147"/>
      <c r="M415" s="197">
        <v>0</v>
      </c>
      <c r="N415" s="197">
        <v>3350</v>
      </c>
      <c r="O415" s="198">
        <f t="shared" si="32"/>
        <v>3350</v>
      </c>
      <c r="P415" s="199">
        <v>0</v>
      </c>
      <c r="Q415" s="199">
        <v>0</v>
      </c>
      <c r="R415" s="199">
        <v>0</v>
      </c>
      <c r="S415" s="224">
        <v>0</v>
      </c>
      <c r="T415" s="200" t="str">
        <f>IFERROR(VLOOKUP($A415,Tabla3[#All],2,0),"no esta registrado")</f>
        <v>Strata, S.R.L.</v>
      </c>
    </row>
    <row r="416" spans="1:20" ht="16.5" hidden="1" x14ac:dyDescent="0.3">
      <c r="A416" s="230" t="s">
        <v>1620</v>
      </c>
      <c r="B416" s="193">
        <v>1</v>
      </c>
      <c r="C416" s="194">
        <v>2</v>
      </c>
      <c r="D416" s="195" t="str">
        <f>IF(C416=1,Leyenda!$C$3,IF(C416=2,Leyenda!$C$4,IF(C416=3,Leyenda!$C$5,IF(C416=4,Leyenda!$C$6,IF(C416=5,Leyenda!$C$7,IF(C416=6,Leyenda!$C$8,IF(C416=7,Leyenda!$C$9,IF(C416=8,Leyenda!$C$10," "))))))))&amp;IF(C416=9,Leyenda!$C$11,IF(C416=10,Leyenda!$C$12,IF(C416=11,Leyenda!$C$13,IF(C416=12,Leyenda!D473," "))))</f>
        <v xml:space="preserve">GASTOS POR TRABAJOS, SUMINISTROS Y SERVICIOS </v>
      </c>
      <c r="E416" s="196" t="s">
        <v>1621</v>
      </c>
      <c r="F416" s="247">
        <v>45617</v>
      </c>
      <c r="G416" s="247" t="str">
        <f t="shared" si="31"/>
        <v>noviembre</v>
      </c>
      <c r="H416" s="191">
        <v>9</v>
      </c>
      <c r="I416" s="148" t="str">
        <f>TEXT(gastos[[#This Row],[Fecha]],"DDDD")</f>
        <v>sábado</v>
      </c>
      <c r="J416" s="249">
        <f t="shared" si="30"/>
        <v>45605</v>
      </c>
      <c r="K416" s="249"/>
      <c r="L416" s="147"/>
      <c r="M416" s="197">
        <v>0</v>
      </c>
      <c r="N416" s="197">
        <f>1320-201.36</f>
        <v>1118.6399999999999</v>
      </c>
      <c r="O416" s="198">
        <f t="shared" si="32"/>
        <v>1118.6399999999999</v>
      </c>
      <c r="P416" s="199">
        <v>201.36</v>
      </c>
      <c r="Q416" s="199">
        <v>0</v>
      </c>
      <c r="R416" s="199">
        <v>0</v>
      </c>
      <c r="S416" s="224">
        <v>0</v>
      </c>
      <c r="T416" s="200" t="str">
        <f>IFERROR(VLOOKUP($A416,Tabla3[#All],2,0),"no esta registrado")</f>
        <v>no esta registrado</v>
      </c>
    </row>
    <row r="417" spans="1:20" ht="16.5" hidden="1" x14ac:dyDescent="0.3">
      <c r="A417" s="230" t="s">
        <v>933</v>
      </c>
      <c r="B417" s="193">
        <v>1</v>
      </c>
      <c r="C417" s="194">
        <v>2</v>
      </c>
      <c r="D417" s="195" t="str">
        <f>IF(C417=1,Leyenda!$C$3,IF(C417=2,Leyenda!$C$4,IF(C417=3,Leyenda!$C$5,IF(C417=4,Leyenda!$C$6,IF(C417=5,Leyenda!$C$7,IF(C417=6,Leyenda!$C$8,IF(C417=7,Leyenda!$C$9,IF(C417=8,Leyenda!$C$10," "))))))))&amp;IF(C417=9,Leyenda!$C$11,IF(C417=10,Leyenda!$C$12,IF(C417=11,Leyenda!$C$13,IF(C417=12,Leyenda!D474," "))))</f>
        <v xml:space="preserve">GASTOS POR TRABAJOS, SUMINISTROS Y SERVICIOS </v>
      </c>
      <c r="E417" s="196" t="s">
        <v>1622</v>
      </c>
      <c r="F417" s="247">
        <v>45617</v>
      </c>
      <c r="G417" s="247" t="str">
        <f t="shared" si="31"/>
        <v>noviembre</v>
      </c>
      <c r="H417" s="191">
        <v>3</v>
      </c>
      <c r="I417" s="148" t="str">
        <f>TEXT(gastos[[#This Row],[Fecha]],"DDDD")</f>
        <v>domingo</v>
      </c>
      <c r="J417" s="249">
        <f t="shared" si="30"/>
        <v>45599</v>
      </c>
      <c r="K417" s="249"/>
      <c r="L417" s="147"/>
      <c r="M417" s="197">
        <v>0</v>
      </c>
      <c r="N417" s="197">
        <v>1488.28</v>
      </c>
      <c r="O417" s="198">
        <f t="shared" si="32"/>
        <v>1488.28</v>
      </c>
      <c r="P417" s="199">
        <v>267.89</v>
      </c>
      <c r="Q417" s="199">
        <v>0</v>
      </c>
      <c r="R417" s="199">
        <v>148.83000000000001</v>
      </c>
      <c r="S417" s="199">
        <v>0</v>
      </c>
      <c r="T417" s="200" t="str">
        <f>IFERROR(VLOOKUP($A417,Tabla3[#All],2,0),"no esta registrado")</f>
        <v>Dominican Food Investments, S.A.</v>
      </c>
    </row>
    <row r="418" spans="1:20" ht="16.5" hidden="1" x14ac:dyDescent="0.3">
      <c r="A418" s="230" t="s">
        <v>1300</v>
      </c>
      <c r="B418" s="193">
        <v>1</v>
      </c>
      <c r="C418" s="194">
        <v>2</v>
      </c>
      <c r="D418" s="195" t="str">
        <f>IF(C418=1,Leyenda!$C$3,IF(C418=2,Leyenda!$C$4,IF(C418=3,Leyenda!$C$5,IF(C418=4,Leyenda!$C$6,IF(C418=5,Leyenda!$C$7,IF(C418=6,Leyenda!$C$8,IF(C418=7,Leyenda!$C$9,IF(C418=8,Leyenda!$C$10," "))))))))&amp;IF(C418=9,Leyenda!$C$11,IF(C418=10,Leyenda!$C$12,IF(C418=11,Leyenda!$C$13,IF(C418=12,Leyenda!D475," "))))</f>
        <v xml:space="preserve">GASTOS POR TRABAJOS, SUMINISTROS Y SERVICIOS </v>
      </c>
      <c r="E418" s="196" t="s">
        <v>1623</v>
      </c>
      <c r="F418" s="247">
        <v>45617</v>
      </c>
      <c r="G418" s="247" t="str">
        <f t="shared" si="31"/>
        <v>noviembre</v>
      </c>
      <c r="H418" s="191">
        <v>21</v>
      </c>
      <c r="I418" s="148" t="str">
        <f>TEXT(gastos[[#This Row],[Fecha]],"DDDD")</f>
        <v>jueves</v>
      </c>
      <c r="J418" s="249">
        <f t="shared" si="30"/>
        <v>45617</v>
      </c>
      <c r="K418" s="249"/>
      <c r="L418" s="147"/>
      <c r="M418" s="197">
        <v>0</v>
      </c>
      <c r="N418" s="197">
        <v>389.83</v>
      </c>
      <c r="O418" s="198">
        <f t="shared" si="32"/>
        <v>389.83</v>
      </c>
      <c r="P418" s="199">
        <v>70.17</v>
      </c>
      <c r="Q418" s="199">
        <v>0</v>
      </c>
      <c r="R418" s="199">
        <v>0</v>
      </c>
      <c r="S418">
        <v>0</v>
      </c>
      <c r="T418" s="200" t="str">
        <f>IFERROR(VLOOKUP($A418,Tabla3[#All],2,0),"no esta registrado")</f>
        <v>no esta registrado</v>
      </c>
    </row>
    <row r="419" spans="1:20" ht="16.5" hidden="1" x14ac:dyDescent="0.3">
      <c r="A419" s="230" t="s">
        <v>1305</v>
      </c>
      <c r="B419" s="193">
        <v>1</v>
      </c>
      <c r="C419" s="194">
        <v>2</v>
      </c>
      <c r="D419" s="195" t="str">
        <f>IF(C419=1,Leyenda!$C$3,IF(C419=2,Leyenda!$C$4,IF(C419=3,Leyenda!$C$5,IF(C419=4,Leyenda!$C$6,IF(C419=5,Leyenda!$C$7,IF(C419=6,Leyenda!$C$8,IF(C419=7,Leyenda!$C$9,IF(C419=8,Leyenda!$C$10," "))))))))&amp;IF(C419=9,Leyenda!$C$11,IF(C419=10,Leyenda!$C$12,IF(C419=11,Leyenda!$C$13,IF(C419=12,Leyenda!D476," "))))</f>
        <v xml:space="preserve">GASTOS POR TRABAJOS, SUMINISTROS Y SERVICIOS </v>
      </c>
      <c r="E419" s="196" t="s">
        <v>1624</v>
      </c>
      <c r="F419" s="247">
        <v>45617</v>
      </c>
      <c r="G419" s="247" t="str">
        <f t="shared" si="31"/>
        <v>noviembre</v>
      </c>
      <c r="H419" s="191">
        <v>15</v>
      </c>
      <c r="I419" s="148" t="str">
        <f>TEXT(gastos[[#This Row],[Fecha]],"DDDD")</f>
        <v>viernes</v>
      </c>
      <c r="J419" s="249">
        <f t="shared" si="30"/>
        <v>45611</v>
      </c>
      <c r="K419" s="249"/>
      <c r="L419" s="147"/>
      <c r="M419" s="197">
        <v>0</v>
      </c>
      <c r="N419" s="197">
        <f>740-112.88</f>
        <v>627.12</v>
      </c>
      <c r="O419" s="198">
        <f t="shared" si="32"/>
        <v>627.12</v>
      </c>
      <c r="P419" s="199">
        <v>112.88</v>
      </c>
      <c r="Q419" s="199">
        <v>0</v>
      </c>
      <c r="R419" s="199">
        <v>0</v>
      </c>
      <c r="S419">
        <v>0</v>
      </c>
      <c r="T419" s="200" t="str">
        <f>IFERROR(VLOOKUP($A419,Tabla3[#All],2,0),"no esta registrado")</f>
        <v>no esta registrado</v>
      </c>
    </row>
    <row r="420" spans="1:20" ht="16.5" hidden="1" x14ac:dyDescent="0.3">
      <c r="A420" s="231" t="s">
        <v>1266</v>
      </c>
      <c r="B420" s="193">
        <v>1</v>
      </c>
      <c r="C420" s="194">
        <v>2</v>
      </c>
      <c r="D420" s="195" t="str">
        <f>IF(C420=1,Leyenda!$C$3,IF(C420=2,Leyenda!$C$4,IF(C420=3,Leyenda!$C$5,IF(C420=4,Leyenda!$C$6,IF(C420=5,Leyenda!$C$7,IF(C420=6,Leyenda!$C$8,IF(C420=7,Leyenda!$C$9,IF(C420=8,Leyenda!$C$10," "))))))))&amp;IF(C420=9,Leyenda!$C$11,IF(C420=10,Leyenda!$C$12,IF(C420=11,Leyenda!$C$13,IF(C420=12,Leyenda!D477," "))))</f>
        <v xml:space="preserve">GASTOS POR TRABAJOS, SUMINISTROS Y SERVICIOS </v>
      </c>
      <c r="E420" s="196" t="s">
        <v>1625</v>
      </c>
      <c r="F420" s="247">
        <v>45617</v>
      </c>
      <c r="G420" s="247" t="str">
        <f t="shared" si="31"/>
        <v>noviembre</v>
      </c>
      <c r="H420" s="191">
        <v>29</v>
      </c>
      <c r="I420" s="148" t="str">
        <f>TEXT(gastos[[#This Row],[Fecha]],"DDDD")</f>
        <v>viernes</v>
      </c>
      <c r="J420" s="249">
        <f t="shared" si="30"/>
        <v>45625</v>
      </c>
      <c r="K420" s="249"/>
      <c r="L420" s="147"/>
      <c r="M420" s="197">
        <v>0</v>
      </c>
      <c r="N420" s="197">
        <v>7204</v>
      </c>
      <c r="O420" s="198">
        <f t="shared" si="32"/>
        <v>7204</v>
      </c>
      <c r="P420" s="199">
        <v>1296.72</v>
      </c>
      <c r="Q420" s="199">
        <v>0</v>
      </c>
      <c r="R420" s="199">
        <v>0</v>
      </c>
      <c r="S420">
        <v>0</v>
      </c>
      <c r="T420" s="200" t="str">
        <f>IFERROR(VLOOKUP($A420,Tabla3[#All],2,0),"no esta registrado")</f>
        <v>no esta registrado</v>
      </c>
    </row>
    <row r="421" spans="1:20" ht="16.5" hidden="1" x14ac:dyDescent="0.3">
      <c r="A421" s="230" t="s">
        <v>1126</v>
      </c>
      <c r="B421" s="193">
        <v>1</v>
      </c>
      <c r="C421" s="194">
        <v>2</v>
      </c>
      <c r="D421" s="195" t="str">
        <f>IF(C421=1,Leyenda!$C$3,IF(C421=2,Leyenda!$C$4,IF(C421=3,Leyenda!$C$5,IF(C421=4,Leyenda!$C$6,IF(C421=5,Leyenda!$C$7,IF(C421=6,Leyenda!$C$8,IF(C421=7,Leyenda!$C$9,IF(C421=8,Leyenda!$C$10," "))))))))&amp;IF(C421=9,Leyenda!$C$11,IF(C421=10,Leyenda!$C$12,IF(C421=11,Leyenda!$C$13,IF(C421=12,Leyenda!D478," "))))</f>
        <v xml:space="preserve">GASTOS POR TRABAJOS, SUMINISTROS Y SERVICIOS </v>
      </c>
      <c r="E421" s="196" t="s">
        <v>1626</v>
      </c>
      <c r="F421" s="247">
        <v>45617</v>
      </c>
      <c r="G421" s="247" t="str">
        <f t="shared" si="31"/>
        <v>noviembre</v>
      </c>
      <c r="H421" s="191">
        <v>6</v>
      </c>
      <c r="I421" s="148" t="str">
        <f>TEXT(gastos[[#This Row],[Fecha]],"DDDD")</f>
        <v>miércoles</v>
      </c>
      <c r="J421" s="249">
        <f t="shared" si="30"/>
        <v>45602</v>
      </c>
      <c r="K421" s="249"/>
      <c r="L421" s="147"/>
      <c r="M421" s="197">
        <v>0</v>
      </c>
      <c r="N421" s="197">
        <v>1542.37</v>
      </c>
      <c r="O421" s="198">
        <f t="shared" si="32"/>
        <v>1542.37</v>
      </c>
      <c r="P421" s="199">
        <v>277.63</v>
      </c>
      <c r="Q421" s="199">
        <v>0</v>
      </c>
      <c r="R421" s="199">
        <v>0</v>
      </c>
      <c r="S421">
        <v>0</v>
      </c>
      <c r="T421" s="200" t="str">
        <f>IFERROR(VLOOKUP($A421,Tabla3[#All],2,0),"no esta registrado")</f>
        <v>Floremch Importaciones SRL</v>
      </c>
    </row>
    <row r="422" spans="1:20" ht="16.5" hidden="1" x14ac:dyDescent="0.3">
      <c r="A422" s="230" t="s">
        <v>1361</v>
      </c>
      <c r="B422" s="193">
        <v>1</v>
      </c>
      <c r="C422" s="194">
        <v>2</v>
      </c>
      <c r="D422" s="195" t="str">
        <f>IF(C422=1,Leyenda!$C$3,IF(C422=2,Leyenda!$C$4,IF(C422=3,Leyenda!$C$5,IF(C422=4,Leyenda!$C$6,IF(C422=5,Leyenda!$C$7,IF(C422=6,Leyenda!$C$8,IF(C422=7,Leyenda!$C$9,IF(C422=8,Leyenda!$C$10," "))))))))&amp;IF(C422=9,Leyenda!$C$11,IF(C422=10,Leyenda!$C$12,IF(C422=11,Leyenda!$C$13,IF(C422=12,Leyenda!D479," "))))</f>
        <v xml:space="preserve">GASTOS POR TRABAJOS, SUMINISTROS Y SERVICIOS </v>
      </c>
      <c r="E422" s="196" t="s">
        <v>1627</v>
      </c>
      <c r="F422" s="247">
        <v>45617</v>
      </c>
      <c r="G422" s="247" t="str">
        <f t="shared" si="31"/>
        <v>noviembre</v>
      </c>
      <c r="H422" s="191">
        <v>15</v>
      </c>
      <c r="I422" s="148" t="str">
        <f>TEXT(gastos[[#This Row],[Fecha]],"DDDD")</f>
        <v>viernes</v>
      </c>
      <c r="J422" s="249">
        <f t="shared" si="30"/>
        <v>45611</v>
      </c>
      <c r="K422" s="249"/>
      <c r="L422" s="147"/>
      <c r="M422" s="197">
        <v>0</v>
      </c>
      <c r="N422" s="197">
        <v>1097.33</v>
      </c>
      <c r="O422" s="198">
        <f t="shared" si="32"/>
        <v>1097.33</v>
      </c>
      <c r="P422" s="199">
        <v>197.52</v>
      </c>
      <c r="Q422" s="199">
        <v>0</v>
      </c>
      <c r="R422" s="199">
        <v>0</v>
      </c>
      <c r="S422">
        <v>0</v>
      </c>
      <c r="T422" s="200" t="str">
        <f>IFERROR(VLOOKUP($A422,Tabla3[#All],2,0),"no esta registrado")</f>
        <v>no esta registrado</v>
      </c>
    </row>
    <row r="423" spans="1:20" ht="16.5" hidden="1" x14ac:dyDescent="0.3">
      <c r="A423" s="230" t="s">
        <v>533</v>
      </c>
      <c r="B423" s="193">
        <v>1</v>
      </c>
      <c r="C423" s="194">
        <v>2</v>
      </c>
      <c r="D423" s="195" t="str">
        <f>IF(C423=1,Leyenda!$C$3,IF(C423=2,Leyenda!$C$4,IF(C423=3,Leyenda!$C$5,IF(C423=4,Leyenda!$C$6,IF(C423=5,Leyenda!$C$7,IF(C423=6,Leyenda!$C$8,IF(C423=7,Leyenda!$C$9,IF(C423=8,Leyenda!$C$10," "))))))))&amp;IF(C423=9,Leyenda!$C$11,IF(C423=10,Leyenda!$C$12,IF(C423=11,Leyenda!$C$13,IF(C423=12,Leyenda!D480," "))))</f>
        <v xml:space="preserve">GASTOS POR TRABAJOS, SUMINISTROS Y SERVICIOS </v>
      </c>
      <c r="E423" s="196" t="s">
        <v>1628</v>
      </c>
      <c r="F423" s="247">
        <v>45617</v>
      </c>
      <c r="G423" s="247" t="str">
        <f t="shared" si="31"/>
        <v>noviembre</v>
      </c>
      <c r="H423" s="191">
        <v>18</v>
      </c>
      <c r="I423" s="148" t="str">
        <f>TEXT(gastos[[#This Row],[Fecha]],"DDDD")</f>
        <v>lunes</v>
      </c>
      <c r="J423" s="249">
        <f t="shared" si="30"/>
        <v>45614</v>
      </c>
      <c r="K423" s="249"/>
      <c r="L423" s="147"/>
      <c r="M423" s="197">
        <v>0</v>
      </c>
      <c r="N423" s="197">
        <f>2920.49-57.99</f>
        <v>2862.5</v>
      </c>
      <c r="O423" s="198">
        <f t="shared" si="32"/>
        <v>2862.5</v>
      </c>
      <c r="P423" s="199">
        <v>57.99</v>
      </c>
      <c r="Q423" s="199">
        <v>0</v>
      </c>
      <c r="R423" s="199">
        <v>0</v>
      </c>
      <c r="S423">
        <v>0</v>
      </c>
      <c r="T423" s="200" t="str">
        <f>IFERROR(VLOOKUP($A423,Tabla3[#All],2,0),"no esta registrado")</f>
        <v>Farmacía Medicar GBC, A. H.</v>
      </c>
    </row>
    <row r="424" spans="1:20" ht="16.5" hidden="1" x14ac:dyDescent="0.3">
      <c r="A424" s="230" t="s">
        <v>1300</v>
      </c>
      <c r="B424" s="193">
        <v>1</v>
      </c>
      <c r="C424" s="194">
        <v>2</v>
      </c>
      <c r="D424" s="195" t="str">
        <f>IF(C424=1,Leyenda!$C$3,IF(C424=2,Leyenda!$C$4,IF(C424=3,Leyenda!$C$5,IF(C424=4,Leyenda!$C$6,IF(C424=5,Leyenda!$C$7,IF(C424=6,Leyenda!$C$8,IF(C424=7,Leyenda!$C$9,IF(C424=8,Leyenda!$C$10," "))))))))&amp;IF(C424=9,Leyenda!$C$11,IF(C424=10,Leyenda!$C$12,IF(C424=11,Leyenda!$C$13,IF(C424=12,Leyenda!D481," "))))</f>
        <v xml:space="preserve">GASTOS POR TRABAJOS, SUMINISTROS Y SERVICIOS </v>
      </c>
      <c r="E424" s="196" t="s">
        <v>1629</v>
      </c>
      <c r="F424" s="247">
        <v>45617</v>
      </c>
      <c r="G424" s="247" t="str">
        <f t="shared" si="31"/>
        <v>noviembre</v>
      </c>
      <c r="H424" s="191">
        <v>6</v>
      </c>
      <c r="I424" s="148" t="str">
        <f>TEXT(gastos[[#This Row],[Fecha]],"DDDD")</f>
        <v>miércoles</v>
      </c>
      <c r="J424" s="249">
        <f t="shared" si="30"/>
        <v>45602</v>
      </c>
      <c r="K424" s="249"/>
      <c r="L424" s="147"/>
      <c r="M424" s="197">
        <v>0</v>
      </c>
      <c r="N424" s="197">
        <v>741.53</v>
      </c>
      <c r="O424" s="198">
        <f t="shared" si="32"/>
        <v>741.53</v>
      </c>
      <c r="P424" s="199">
        <v>133.47</v>
      </c>
      <c r="Q424" s="199">
        <v>0</v>
      </c>
      <c r="R424" s="199">
        <v>0</v>
      </c>
      <c r="S424">
        <v>0</v>
      </c>
      <c r="T424" s="200" t="str">
        <f>IFERROR(VLOOKUP($A424,Tabla3[#All],2,0),"no esta registrado")</f>
        <v>no esta registrado</v>
      </c>
    </row>
    <row r="425" spans="1:20" ht="16.5" hidden="1" x14ac:dyDescent="0.3">
      <c r="A425" s="231" t="s">
        <v>504</v>
      </c>
      <c r="B425" s="193">
        <v>1</v>
      </c>
      <c r="C425" s="194">
        <v>2</v>
      </c>
      <c r="D425" s="195" t="str">
        <f>IF(C425=1,Leyenda!$C$3,IF(C425=2,Leyenda!$C$4,IF(C425=3,Leyenda!$C$5,IF(C425=4,Leyenda!$C$6,IF(C425=5,Leyenda!$C$7,IF(C425=6,Leyenda!$C$8,IF(C425=7,Leyenda!$C$9,IF(C425=8,Leyenda!$C$10," "))))))))&amp;IF(C425=9,Leyenda!$C$11,IF(C425=10,Leyenda!$C$12,IF(C425=11,Leyenda!$C$13,IF(C425=12,Leyenda!D482," "))))</f>
        <v xml:space="preserve">GASTOS POR TRABAJOS, SUMINISTROS Y SERVICIOS </v>
      </c>
      <c r="E425" s="196" t="s">
        <v>1630</v>
      </c>
      <c r="F425" s="247">
        <v>45617</v>
      </c>
      <c r="G425" s="247" t="str">
        <f t="shared" si="31"/>
        <v>noviembre</v>
      </c>
      <c r="H425" s="191">
        <v>10</v>
      </c>
      <c r="I425" s="148" t="str">
        <f>TEXT(gastos[[#This Row],[Fecha]],"DDDD")</f>
        <v>domingo</v>
      </c>
      <c r="J425" s="249">
        <f t="shared" si="30"/>
        <v>45606</v>
      </c>
      <c r="K425" s="249"/>
      <c r="L425" s="147"/>
      <c r="M425" s="197">
        <v>0</v>
      </c>
      <c r="N425" s="197">
        <f>976.39-55.27</f>
        <v>921.12</v>
      </c>
      <c r="O425" s="198">
        <f t="shared" si="32"/>
        <v>921.12</v>
      </c>
      <c r="P425" s="199">
        <v>55.27</v>
      </c>
      <c r="Q425" s="199">
        <v>0</v>
      </c>
      <c r="R425" s="199">
        <v>0</v>
      </c>
      <c r="S425">
        <v>0</v>
      </c>
      <c r="T425" s="200" t="str">
        <f>IFERROR(VLOOKUP($A425,Tabla3[#All],2,0),"no esta registrado")</f>
        <v>Centro Cuesta Nacional S.A.S.//Supermercados Nacional//Casa Cuesta//Ferretería Cuesta//JUMBO//Bebemundo</v>
      </c>
    </row>
    <row r="426" spans="1:20" ht="16.5" hidden="1" x14ac:dyDescent="0.3">
      <c r="A426" s="230" t="s">
        <v>511</v>
      </c>
      <c r="B426" s="193">
        <v>1</v>
      </c>
      <c r="C426" s="194">
        <v>2</v>
      </c>
      <c r="D426" s="195" t="str">
        <f>IF(C426=1,Leyenda!$C$3,IF(C426=2,Leyenda!$C$4,IF(C426=3,Leyenda!$C$5,IF(C426=4,Leyenda!$C$6,IF(C426=5,Leyenda!$C$7,IF(C426=6,Leyenda!$C$8,IF(C426=7,Leyenda!$C$9,IF(C426=8,Leyenda!$C$10," "))))))))&amp;IF(C426=9,Leyenda!$C$11,IF(C426=10,Leyenda!$C$12,IF(C426=11,Leyenda!$C$13,IF(C426=12,Leyenda!D483," "))))</f>
        <v xml:space="preserve">GASTOS POR TRABAJOS, SUMINISTROS Y SERVICIOS </v>
      </c>
      <c r="E426" s="196" t="s">
        <v>1631</v>
      </c>
      <c r="F426" s="247">
        <v>45617</v>
      </c>
      <c r="G426" s="247" t="str">
        <f t="shared" si="31"/>
        <v>noviembre</v>
      </c>
      <c r="H426" s="191">
        <v>27</v>
      </c>
      <c r="I426" s="148" t="str">
        <f>TEXT(gastos[[#This Row],[Fecha]],"DDDD")</f>
        <v>miércoles</v>
      </c>
      <c r="J426" s="249">
        <f t="shared" si="30"/>
        <v>45623</v>
      </c>
      <c r="K426" s="249"/>
      <c r="L426" s="147"/>
      <c r="M426" s="197">
        <v>0</v>
      </c>
      <c r="N426" s="197">
        <f>17137-1393.61</f>
        <v>15743.39</v>
      </c>
      <c r="O426" s="198">
        <f t="shared" si="32"/>
        <v>15743.39</v>
      </c>
      <c r="P426" s="199">
        <v>1393.61</v>
      </c>
      <c r="Q426" s="199">
        <v>0</v>
      </c>
      <c r="R426" s="199">
        <v>0</v>
      </c>
      <c r="S426">
        <v>0</v>
      </c>
      <c r="T426" s="200" t="str">
        <f>IFERROR(VLOOKUP($A426,Tabla3[#All],2,0),"no esta registrado")</f>
        <v>Bravo, S.A.//Supermercados Bravo</v>
      </c>
    </row>
    <row r="427" spans="1:20" ht="16.5" hidden="1" x14ac:dyDescent="0.3">
      <c r="A427" s="230" t="s">
        <v>511</v>
      </c>
      <c r="B427" s="193">
        <v>1</v>
      </c>
      <c r="C427" s="194">
        <v>2</v>
      </c>
      <c r="D427" s="195" t="str">
        <f>IF(C427=1,Leyenda!$C$3,IF(C427=2,Leyenda!$C$4,IF(C427=3,Leyenda!$C$5,IF(C427=4,Leyenda!$C$6,IF(C427=5,Leyenda!$C$7,IF(C427=6,Leyenda!$C$8,IF(C427=7,Leyenda!$C$9,IF(C427=8,Leyenda!$C$10," "))))))))&amp;IF(C427=9,Leyenda!$C$11,IF(C427=10,Leyenda!$C$12,IF(C427=11,Leyenda!$C$13,IF(C427=12,Leyenda!D484," "))))</f>
        <v xml:space="preserve">GASTOS POR TRABAJOS, SUMINISTROS Y SERVICIOS </v>
      </c>
      <c r="E427" s="196" t="s">
        <v>1632</v>
      </c>
      <c r="F427" s="247">
        <v>45617</v>
      </c>
      <c r="G427" s="247" t="str">
        <f t="shared" si="31"/>
        <v>noviembre</v>
      </c>
      <c r="H427" s="191">
        <v>6</v>
      </c>
      <c r="I427" s="148" t="str">
        <f>TEXT(gastos[[#This Row],[Fecha]],"DDDD")</f>
        <v>miércoles</v>
      </c>
      <c r="J427" s="249">
        <f t="shared" si="30"/>
        <v>45602</v>
      </c>
      <c r="K427" s="249"/>
      <c r="L427" s="147"/>
      <c r="M427" s="197">
        <v>0</v>
      </c>
      <c r="N427" s="197">
        <f>15562-1388.88</f>
        <v>14173.119999999999</v>
      </c>
      <c r="O427" s="198">
        <f t="shared" si="32"/>
        <v>14173.119999999999</v>
      </c>
      <c r="P427" s="199">
        <v>1388.88</v>
      </c>
      <c r="Q427" s="199">
        <v>0</v>
      </c>
      <c r="R427" s="199">
        <v>0</v>
      </c>
      <c r="S427">
        <v>0</v>
      </c>
      <c r="T427" s="200" t="str">
        <f>IFERROR(VLOOKUP($A427,Tabla3[#All],2,0),"no esta registrado")</f>
        <v>Bravo, S.A.//Supermercados Bravo</v>
      </c>
    </row>
    <row r="428" spans="1:20" ht="16.5" hidden="1" x14ac:dyDescent="0.3">
      <c r="A428" s="230" t="s">
        <v>504</v>
      </c>
      <c r="B428" s="193">
        <v>1</v>
      </c>
      <c r="C428" s="194">
        <v>2</v>
      </c>
      <c r="D428" s="195" t="str">
        <f>IF(C428=1,Leyenda!$C$3,IF(C428=2,Leyenda!$C$4,IF(C428=3,Leyenda!$C$5,IF(C428=4,Leyenda!$C$6,IF(C428=5,Leyenda!$C$7,IF(C428=6,Leyenda!$C$8,IF(C428=7,Leyenda!$C$9,IF(C428=8,Leyenda!$C$10," "))))))))&amp;IF(C428=9,Leyenda!$C$11,IF(C428=10,Leyenda!$C$12,IF(C428=11,Leyenda!$C$13,IF(C428=12,Leyenda!D485," "))))</f>
        <v xml:space="preserve">GASTOS POR TRABAJOS, SUMINISTROS Y SERVICIOS </v>
      </c>
      <c r="E428" s="196" t="s">
        <v>1633</v>
      </c>
      <c r="F428" s="247">
        <v>45617</v>
      </c>
      <c r="G428" s="247" t="str">
        <f t="shared" si="31"/>
        <v>noviembre</v>
      </c>
      <c r="H428" s="191">
        <v>15</v>
      </c>
      <c r="I428" s="148" t="str">
        <f>TEXT(gastos[[#This Row],[Fecha]],"DDDD")</f>
        <v>viernes</v>
      </c>
      <c r="J428" s="249">
        <f t="shared" si="30"/>
        <v>45611</v>
      </c>
      <c r="K428" s="249"/>
      <c r="L428" s="147"/>
      <c r="M428" s="197">
        <v>0</v>
      </c>
      <c r="N428" s="197">
        <f>3396.8-481.09</f>
        <v>2915.71</v>
      </c>
      <c r="O428" s="198">
        <f t="shared" si="32"/>
        <v>2915.71</v>
      </c>
      <c r="P428" s="199">
        <v>481.09</v>
      </c>
      <c r="Q428" s="199">
        <v>0</v>
      </c>
      <c r="R428" s="199">
        <v>0</v>
      </c>
      <c r="S428">
        <v>0</v>
      </c>
      <c r="T428" s="200" t="str">
        <f>IFERROR(VLOOKUP($A428,Tabla3[#All],2,0),"no esta registrado")</f>
        <v>Centro Cuesta Nacional S.A.S.//Supermercados Nacional//Casa Cuesta//Ferretería Cuesta//JUMBO//Bebemundo</v>
      </c>
    </row>
    <row r="429" spans="1:20" ht="16.5" hidden="1" x14ac:dyDescent="0.3">
      <c r="A429" s="230" t="s">
        <v>507</v>
      </c>
      <c r="B429" s="193">
        <v>1</v>
      </c>
      <c r="C429" s="194">
        <v>2</v>
      </c>
      <c r="D429" s="195" t="str">
        <f>IF(C429=1,Leyenda!$C$3,IF(C429=2,Leyenda!$C$4,IF(C429=3,Leyenda!$C$5,IF(C429=4,Leyenda!$C$6,IF(C429=5,Leyenda!$C$7,IF(C429=6,Leyenda!$C$8,IF(C429=7,Leyenda!$C$9,IF(C429=8,Leyenda!$C$10," "))))))))&amp;IF(C429=9,Leyenda!$C$11,IF(C429=10,Leyenda!$C$12,IF(C429=11,Leyenda!$C$13,IF(C429=12,Leyenda!D486," "))))</f>
        <v xml:space="preserve">GASTOS POR TRABAJOS, SUMINISTROS Y SERVICIOS </v>
      </c>
      <c r="E429" s="196" t="s">
        <v>1634</v>
      </c>
      <c r="F429" s="247">
        <v>45617</v>
      </c>
      <c r="G429" s="247" t="str">
        <f t="shared" si="31"/>
        <v>noviembre</v>
      </c>
      <c r="H429" s="191">
        <v>16</v>
      </c>
      <c r="I429" s="148" t="str">
        <f>TEXT(gastos[[#This Row],[Fecha]],"DDDD")</f>
        <v>sábado</v>
      </c>
      <c r="J429" s="249">
        <f t="shared" si="30"/>
        <v>45612</v>
      </c>
      <c r="K429" s="249"/>
      <c r="L429" s="147"/>
      <c r="M429" s="197">
        <v>0</v>
      </c>
      <c r="N429" s="197">
        <f>9954.55-776.04</f>
        <v>9178.5099999999984</v>
      </c>
      <c r="O429" s="198">
        <f t="shared" si="32"/>
        <v>9178.5099999999984</v>
      </c>
      <c r="P429" s="199">
        <v>776.04</v>
      </c>
      <c r="Q429" s="199">
        <v>0</v>
      </c>
      <c r="R429" s="199">
        <v>0</v>
      </c>
      <c r="S429">
        <v>0</v>
      </c>
      <c r="T429" s="200" t="str">
        <f>IFERROR(VLOOKUP($A429,Tabla3[#All],2,0),"no esta registrado")</f>
        <v>Grupo Ramos, S. A.//Super Pola//La Sirena</v>
      </c>
    </row>
    <row r="430" spans="1:20" ht="16.5" hidden="1" x14ac:dyDescent="0.3">
      <c r="A430" s="230" t="s">
        <v>742</v>
      </c>
      <c r="B430" s="193">
        <v>1</v>
      </c>
      <c r="C430" s="194">
        <v>2</v>
      </c>
      <c r="D430" s="195" t="str">
        <f>IF(C430=1,Leyenda!$C$3,IF(C430=2,Leyenda!$C$4,IF(C430=3,Leyenda!$C$5,IF(C430=4,Leyenda!$C$6,IF(C430=5,Leyenda!$C$7,IF(C430=6,Leyenda!$C$8,IF(C430=7,Leyenda!$C$9,IF(C430=8,Leyenda!$C$10," "))))))))&amp;IF(C430=9,Leyenda!$C$11,IF(C430=10,Leyenda!$C$12,IF(C430=11,Leyenda!$C$13,IF(C430=12,Leyenda!D487," "))))</f>
        <v xml:space="preserve">GASTOS POR TRABAJOS, SUMINISTROS Y SERVICIOS </v>
      </c>
      <c r="E430" s="196" t="s">
        <v>1635</v>
      </c>
      <c r="F430" s="247">
        <v>45617</v>
      </c>
      <c r="G430" s="247" t="str">
        <f t="shared" si="31"/>
        <v>noviembre</v>
      </c>
      <c r="H430" s="191">
        <v>19</v>
      </c>
      <c r="I430" s="148" t="str">
        <f>TEXT(gastos[[#This Row],[Fecha]],"DDDD")</f>
        <v>martes</v>
      </c>
      <c r="J430" s="249">
        <f t="shared" si="30"/>
        <v>45615</v>
      </c>
      <c r="K430" s="249"/>
      <c r="L430" s="147"/>
      <c r="M430" s="197">
        <v>0</v>
      </c>
      <c r="N430" s="197">
        <v>923.72</v>
      </c>
      <c r="O430" s="198">
        <f t="shared" si="32"/>
        <v>923.72</v>
      </c>
      <c r="P430" s="199">
        <v>166.27</v>
      </c>
      <c r="Q430" s="199">
        <v>0</v>
      </c>
      <c r="R430" s="199">
        <v>0</v>
      </c>
      <c r="S430">
        <v>0</v>
      </c>
      <c r="T430" s="200" t="str">
        <f>IFERROR(VLOOKUP($A430,Tabla3[#All],2,0),"no esta registrado")</f>
        <v>Narex, S.A.//Pizza Hut</v>
      </c>
    </row>
    <row r="431" spans="1:20" ht="16.5" hidden="1" x14ac:dyDescent="0.3">
      <c r="A431" s="230" t="s">
        <v>511</v>
      </c>
      <c r="B431" s="193">
        <v>1</v>
      </c>
      <c r="C431" s="194">
        <v>2</v>
      </c>
      <c r="D431" s="195" t="str">
        <f>IF(C431=1,Leyenda!$C$3,IF(C431=2,Leyenda!$C$4,IF(C431=3,Leyenda!$C$5,IF(C431=4,Leyenda!$C$6,IF(C431=5,Leyenda!$C$7,IF(C431=6,Leyenda!$C$8,IF(C431=7,Leyenda!$C$9,IF(C431=8,Leyenda!$C$10," "))))))))&amp;IF(C431=9,Leyenda!$C$11,IF(C431=10,Leyenda!$C$12,IF(C431=11,Leyenda!$C$13,IF(C431=12,Leyenda!D488," "))))</f>
        <v xml:space="preserve">GASTOS POR TRABAJOS, SUMINISTROS Y SERVICIOS </v>
      </c>
      <c r="E431" s="196" t="s">
        <v>1636</v>
      </c>
      <c r="F431" s="247">
        <v>45617</v>
      </c>
      <c r="G431" s="247" t="str">
        <f t="shared" si="31"/>
        <v>noviembre</v>
      </c>
      <c r="H431" s="191">
        <v>22</v>
      </c>
      <c r="I431" s="148" t="str">
        <f>TEXT(gastos[[#This Row],[Fecha]],"DDDD")</f>
        <v>viernes</v>
      </c>
      <c r="J431" s="249">
        <f t="shared" si="30"/>
        <v>45618</v>
      </c>
      <c r="K431" s="249"/>
      <c r="L431" s="147"/>
      <c r="M431" s="197">
        <v>0</v>
      </c>
      <c r="N431" s="197">
        <f>4757-492.17</f>
        <v>4264.83</v>
      </c>
      <c r="O431" s="198">
        <f t="shared" si="32"/>
        <v>4264.83</v>
      </c>
      <c r="P431" s="199">
        <v>492.17</v>
      </c>
      <c r="Q431" s="199">
        <v>0</v>
      </c>
      <c r="R431" s="199">
        <v>0</v>
      </c>
      <c r="S431">
        <v>0</v>
      </c>
      <c r="T431" s="200" t="str">
        <f>IFERROR(VLOOKUP($A431,Tabla3[#All],2,0),"no esta registrado")</f>
        <v>Bravo, S.A.//Supermercados Bravo</v>
      </c>
    </row>
    <row r="432" spans="1:20" ht="16.5" hidden="1" x14ac:dyDescent="0.3">
      <c r="A432" s="230" t="s">
        <v>1116</v>
      </c>
      <c r="B432" s="193">
        <v>1</v>
      </c>
      <c r="C432" s="194">
        <v>2</v>
      </c>
      <c r="D432" s="195" t="str">
        <f>IF(C432=1,Leyenda!$C$3,IF(C432=2,Leyenda!$C$4,IF(C432=3,Leyenda!$C$5,IF(C432=4,Leyenda!$C$6,IF(C432=5,Leyenda!$C$7,IF(C432=6,Leyenda!$C$8,IF(C432=7,Leyenda!$C$9,IF(C432=8,Leyenda!$C$10," "))))))))&amp;IF(C432=9,Leyenda!$C$11,IF(C432=10,Leyenda!$C$12,IF(C432=11,Leyenda!$C$13,IF(C432=12,Leyenda!D489," "))))</f>
        <v xml:space="preserve">GASTOS POR TRABAJOS, SUMINISTROS Y SERVICIOS </v>
      </c>
      <c r="E432" s="196" t="s">
        <v>1637</v>
      </c>
      <c r="F432" s="247">
        <v>45617</v>
      </c>
      <c r="G432" s="247" t="str">
        <f t="shared" si="31"/>
        <v>noviembre</v>
      </c>
      <c r="H432" s="191">
        <v>27</v>
      </c>
      <c r="I432" s="148" t="str">
        <f>TEXT(gastos[[#This Row],[Fecha]],"DDDD")</f>
        <v>miércoles</v>
      </c>
      <c r="J432" s="249">
        <f t="shared" si="30"/>
        <v>45623</v>
      </c>
      <c r="K432" s="249"/>
      <c r="L432" s="147"/>
      <c r="M432" s="197">
        <v>7600</v>
      </c>
      <c r="N432" s="197">
        <v>0</v>
      </c>
      <c r="O432" s="198">
        <f t="shared" si="32"/>
        <v>7600</v>
      </c>
      <c r="P432" s="199">
        <v>0</v>
      </c>
      <c r="Q432" s="199">
        <v>0</v>
      </c>
      <c r="R432" s="199">
        <v>0</v>
      </c>
      <c r="S432">
        <v>0</v>
      </c>
      <c r="T432" s="200" t="str">
        <f>IFERROR(VLOOKUP($A432,Tabla3[#All],2,0),"no esta registrado")</f>
        <v>COLEGIO SANTA ROSA DE LIMA</v>
      </c>
    </row>
    <row r="433" spans="1:20" ht="16.5" hidden="1" x14ac:dyDescent="0.3">
      <c r="A433" s="230" t="s">
        <v>1116</v>
      </c>
      <c r="B433" s="193">
        <v>1</v>
      </c>
      <c r="C433" s="194">
        <v>2</v>
      </c>
      <c r="D433" s="195" t="str">
        <f>IF(C433=1,Leyenda!$C$3,IF(C433=2,Leyenda!$C$4,IF(C433=3,Leyenda!$C$5,IF(C433=4,Leyenda!$C$6,IF(C433=5,Leyenda!$C$7,IF(C433=6,Leyenda!$C$8,IF(C433=7,Leyenda!$C$9,IF(C433=8,Leyenda!$C$10," "))))))))&amp;IF(C433=9,Leyenda!$C$11,IF(C433=10,Leyenda!$C$12,IF(C433=11,Leyenda!$C$13,IF(C433=12,Leyenda!D490," "))))</f>
        <v xml:space="preserve">GASTOS POR TRABAJOS, SUMINISTROS Y SERVICIOS </v>
      </c>
      <c r="E433" s="196" t="s">
        <v>1638</v>
      </c>
      <c r="F433" s="247">
        <v>45617</v>
      </c>
      <c r="G433" s="247" t="str">
        <f t="shared" si="31"/>
        <v>noviembre</v>
      </c>
      <c r="H433" s="191">
        <v>27</v>
      </c>
      <c r="I433" s="148" t="str">
        <f>TEXT(gastos[[#This Row],[Fecha]],"DDDD")</f>
        <v>miércoles</v>
      </c>
      <c r="J433" s="249">
        <f t="shared" si="30"/>
        <v>45623</v>
      </c>
      <c r="K433" s="249"/>
      <c r="L433" s="147"/>
      <c r="M433" s="197">
        <v>7300</v>
      </c>
      <c r="N433" s="197">
        <v>0</v>
      </c>
      <c r="O433" s="198">
        <f t="shared" si="32"/>
        <v>7300</v>
      </c>
      <c r="P433" s="199">
        <v>0</v>
      </c>
      <c r="Q433" s="199">
        <v>0</v>
      </c>
      <c r="R433" s="199">
        <v>0</v>
      </c>
      <c r="S433">
        <v>0</v>
      </c>
      <c r="T433" s="200" t="str">
        <f>IFERROR(VLOOKUP($A433,Tabla3[#All],2,0),"no esta registrado")</f>
        <v>COLEGIO SANTA ROSA DE LIMA</v>
      </c>
    </row>
    <row r="434" spans="1:20" ht="16.5" hidden="1" x14ac:dyDescent="0.3">
      <c r="A434" s="230" t="s">
        <v>1116</v>
      </c>
      <c r="B434" s="193">
        <v>1</v>
      </c>
      <c r="C434" s="194">
        <v>2</v>
      </c>
      <c r="D434" s="195" t="str">
        <f>IF(C434=1,Leyenda!$C$3,IF(C434=2,Leyenda!$C$4,IF(C434=3,Leyenda!$C$5,IF(C434=4,Leyenda!$C$6,IF(C434=5,Leyenda!$C$7,IF(C434=6,Leyenda!$C$8,IF(C434=7,Leyenda!$C$9,IF(C434=8,Leyenda!$C$10," "))))))))&amp;IF(C434=9,Leyenda!$C$11,IF(C434=10,Leyenda!$C$12,IF(C434=11,Leyenda!$C$13,IF(C434=12,Leyenda!D491," "))))</f>
        <v xml:space="preserve">GASTOS POR TRABAJOS, SUMINISTROS Y SERVICIOS </v>
      </c>
      <c r="E434" s="196" t="s">
        <v>1639</v>
      </c>
      <c r="F434" s="247">
        <v>45617</v>
      </c>
      <c r="G434" s="247" t="str">
        <f t="shared" si="31"/>
        <v>noviembre</v>
      </c>
      <c r="H434" s="191">
        <v>27</v>
      </c>
      <c r="I434" s="148" t="str">
        <f>TEXT(gastos[[#This Row],[Fecha]],"DDDD")</f>
        <v>miércoles</v>
      </c>
      <c r="J434" s="249">
        <f t="shared" si="30"/>
        <v>45623</v>
      </c>
      <c r="K434" s="249"/>
      <c r="L434" s="147"/>
      <c r="M434" s="197">
        <v>7300</v>
      </c>
      <c r="N434" s="197">
        <v>0</v>
      </c>
      <c r="O434" s="198">
        <f t="shared" si="32"/>
        <v>7300</v>
      </c>
      <c r="P434" s="199">
        <v>0</v>
      </c>
      <c r="Q434" s="199">
        <v>0</v>
      </c>
      <c r="R434" s="199">
        <v>0</v>
      </c>
      <c r="S434">
        <v>0</v>
      </c>
      <c r="T434" s="200" t="str">
        <f>IFERROR(VLOOKUP($A434,Tabla3[#All],2,0),"no esta registrado")</f>
        <v>COLEGIO SANTA ROSA DE LIMA</v>
      </c>
    </row>
    <row r="435" spans="1:20" ht="16.5" hidden="1" x14ac:dyDescent="0.3">
      <c r="A435" s="230" t="s">
        <v>1114</v>
      </c>
      <c r="B435" s="193">
        <v>1</v>
      </c>
      <c r="C435" s="194">
        <v>2</v>
      </c>
      <c r="D435" s="195" t="str">
        <f>IF(C435=1,Leyenda!$C$3,IF(C435=2,Leyenda!$C$4,IF(C435=3,Leyenda!$C$5,IF(C435=4,Leyenda!$C$6,IF(C435=5,Leyenda!$C$7,IF(C435=6,Leyenda!$C$8,IF(C435=7,Leyenda!$C$9,IF(C435=8,Leyenda!$C$10," "))))))))&amp;IF(C435=9,Leyenda!$C$11,IF(C435=10,Leyenda!$C$12,IF(C435=11,Leyenda!$C$13,IF(C435=12,Leyenda!D492," "))))</f>
        <v xml:space="preserve">GASTOS POR TRABAJOS, SUMINISTROS Y SERVICIOS </v>
      </c>
      <c r="E435" s="196" t="s">
        <v>1640</v>
      </c>
      <c r="F435" s="247">
        <v>45617</v>
      </c>
      <c r="G435" s="247" t="str">
        <f t="shared" si="31"/>
        <v>noviembre</v>
      </c>
      <c r="H435" s="191">
        <v>22</v>
      </c>
      <c r="I435" s="148" t="str">
        <f>TEXT(gastos[[#This Row],[Fecha]],"DDDD")</f>
        <v>viernes</v>
      </c>
      <c r="J435" s="249">
        <f t="shared" si="30"/>
        <v>45618</v>
      </c>
      <c r="K435" s="249"/>
      <c r="L435" s="147"/>
      <c r="M435" s="197">
        <v>3195</v>
      </c>
      <c r="N435" s="197">
        <v>0</v>
      </c>
      <c r="O435" s="198">
        <f t="shared" si="32"/>
        <v>3195</v>
      </c>
      <c r="P435" s="199">
        <v>0</v>
      </c>
      <c r="Q435" s="199">
        <v>0</v>
      </c>
      <c r="R435" s="199">
        <v>0</v>
      </c>
      <c r="S435">
        <v>0</v>
      </c>
      <c r="T435" s="200" t="str">
        <f>IFERROR(VLOOKUP($A435,Tabla3[#All],2,0),"no esta registrado")</f>
        <v>ACADEMIA EUROPEA</v>
      </c>
    </row>
    <row r="436" spans="1:20" ht="16.5" hidden="1" x14ac:dyDescent="0.3">
      <c r="A436" s="230" t="s">
        <v>1114</v>
      </c>
      <c r="B436" s="193">
        <v>1</v>
      </c>
      <c r="C436" s="194">
        <v>2</v>
      </c>
      <c r="D436" s="195" t="str">
        <f>IF(C436=1,Leyenda!$C$3,IF(C436=2,Leyenda!$C$4,IF(C436=3,Leyenda!$C$5,IF(C436=4,Leyenda!$C$6,IF(C436=5,Leyenda!$C$7,IF(C436=6,Leyenda!$C$8,IF(C436=7,Leyenda!$C$9,IF(C436=8,Leyenda!$C$10," "))))))))&amp;IF(C436=9,Leyenda!$C$11,IF(C436=10,Leyenda!$C$12,IF(C436=11,Leyenda!$C$13,IF(C436=12,Leyenda!D493," "))))</f>
        <v xml:space="preserve">GASTOS POR TRABAJOS, SUMINISTROS Y SERVICIOS </v>
      </c>
      <c r="E436" s="196" t="s">
        <v>1641</v>
      </c>
      <c r="F436" s="247">
        <v>45617</v>
      </c>
      <c r="G436" s="247" t="str">
        <f t="shared" si="31"/>
        <v>noviembre</v>
      </c>
      <c r="H436" s="191">
        <v>28</v>
      </c>
      <c r="I436" s="148" t="str">
        <f>TEXT(gastos[[#This Row],[Fecha]],"DDDD")</f>
        <v>jueves</v>
      </c>
      <c r="J436" s="249">
        <f t="shared" si="30"/>
        <v>45624</v>
      </c>
      <c r="K436" s="249"/>
      <c r="L436" s="147"/>
      <c r="M436" s="197">
        <v>5482</v>
      </c>
      <c r="N436" s="197">
        <v>0</v>
      </c>
      <c r="O436" s="198">
        <f t="shared" si="32"/>
        <v>5482</v>
      </c>
      <c r="P436" s="199">
        <v>0</v>
      </c>
      <c r="Q436" s="199">
        <v>0</v>
      </c>
      <c r="R436" s="199">
        <v>0</v>
      </c>
      <c r="S436">
        <v>0</v>
      </c>
      <c r="T436" s="200" t="str">
        <f>IFERROR(VLOOKUP($A436,Tabla3[#All],2,0),"no esta registrado")</f>
        <v>ACADEMIA EUROPEA</v>
      </c>
    </row>
    <row r="437" spans="1:20" ht="16.5" hidden="1" x14ac:dyDescent="0.3">
      <c r="A437" s="230" t="s">
        <v>495</v>
      </c>
      <c r="B437" s="193">
        <v>1</v>
      </c>
      <c r="C437" s="194">
        <v>2</v>
      </c>
      <c r="D437" s="195" t="str">
        <f>IF(C437=1,Leyenda!$C$3,IF(C437=2,Leyenda!$C$4,IF(C437=3,Leyenda!$C$5,IF(C437=4,Leyenda!$C$6,IF(C437=5,Leyenda!$C$7,IF(C437=6,Leyenda!$C$8,IF(C437=7,Leyenda!$C$9,IF(C437=8,Leyenda!$C$10," "))))))))&amp;IF(C437=9,Leyenda!$C$11,IF(C437=10,Leyenda!$C$12,IF(C437=11,Leyenda!$C$13,IF(C437=12,Leyenda!D494," "))))</f>
        <v xml:space="preserve">GASTOS POR TRABAJOS, SUMINISTROS Y SERVICIOS </v>
      </c>
      <c r="E437" s="196" t="s">
        <v>1642</v>
      </c>
      <c r="F437" s="247">
        <v>45617</v>
      </c>
      <c r="G437" s="247" t="str">
        <f t="shared" si="31"/>
        <v>noviembre</v>
      </c>
      <c r="H437" s="191">
        <v>7</v>
      </c>
      <c r="I437" s="148" t="str">
        <f>TEXT(gastos[[#This Row],[Fecha]],"DDDD")</f>
        <v>jueves</v>
      </c>
      <c r="J437" s="249">
        <f t="shared" si="30"/>
        <v>45603</v>
      </c>
      <c r="K437" s="249"/>
      <c r="L437" s="147"/>
      <c r="M437" s="197">
        <v>2407.69</v>
      </c>
      <c r="N437" s="197">
        <v>0</v>
      </c>
      <c r="O437" s="198">
        <f t="shared" si="32"/>
        <v>2407.69</v>
      </c>
      <c r="P437" s="199">
        <v>433.39</v>
      </c>
      <c r="Q437" s="199">
        <v>0</v>
      </c>
      <c r="R437" s="199">
        <v>0</v>
      </c>
      <c r="S437" s="199">
        <v>0</v>
      </c>
      <c r="T437" s="200" t="str">
        <f>IFERROR(VLOOKUP($A437,Tabla3[#All],2,0),"no esta registrado")</f>
        <v>CLARO//CODETEL</v>
      </c>
    </row>
    <row r="438" spans="1:20" ht="16.5" hidden="1" x14ac:dyDescent="0.3">
      <c r="A438" s="230" t="s">
        <v>495</v>
      </c>
      <c r="B438" s="193">
        <v>1</v>
      </c>
      <c r="C438" s="194">
        <v>2</v>
      </c>
      <c r="D438" s="195" t="str">
        <f>IF(C438=1,Leyenda!$C$3,IF(C438=2,Leyenda!$C$4,IF(C438=3,Leyenda!$C$5,IF(C438=4,Leyenda!$C$6,IF(C438=5,Leyenda!$C$7,IF(C438=6,Leyenda!$C$8,IF(C438=7,Leyenda!$C$9,IF(C438=8,Leyenda!$C$10," "))))))))&amp;IF(C438=9,Leyenda!$C$11,IF(C438=10,Leyenda!$C$12,IF(C438=11,Leyenda!$C$13,IF(C438=12,Leyenda!D495," "))))</f>
        <v xml:space="preserve">GASTOS POR TRABAJOS, SUMINISTROS Y SERVICIOS </v>
      </c>
      <c r="E438" s="196" t="s">
        <v>1643</v>
      </c>
      <c r="F438" s="247">
        <v>45617</v>
      </c>
      <c r="G438" s="247" t="str">
        <f t="shared" si="31"/>
        <v>noviembre</v>
      </c>
      <c r="H438" s="191">
        <v>7</v>
      </c>
      <c r="I438" s="148" t="str">
        <f>TEXT(gastos[[#This Row],[Fecha]],"DDDD")</f>
        <v>jueves</v>
      </c>
      <c r="J438" s="249">
        <f t="shared" si="30"/>
        <v>45603</v>
      </c>
      <c r="K438" s="249"/>
      <c r="L438" s="147"/>
      <c r="M438" s="197">
        <v>1153.08</v>
      </c>
      <c r="N438" s="197">
        <v>0</v>
      </c>
      <c r="O438" s="198">
        <f t="shared" si="32"/>
        <v>1153.08</v>
      </c>
      <c r="P438" s="199">
        <v>207.55</v>
      </c>
      <c r="Q438" s="199">
        <v>0</v>
      </c>
      <c r="R438" s="199">
        <v>0</v>
      </c>
      <c r="S438" s="199">
        <v>0</v>
      </c>
      <c r="T438" s="200" t="str">
        <f>IFERROR(VLOOKUP($A438,Tabla3[#All],2,0),"no esta registrado")</f>
        <v>CLARO//CODETEL</v>
      </c>
    </row>
    <row r="439" spans="1:20" ht="16.5" hidden="1" x14ac:dyDescent="0.3">
      <c r="A439" s="231" t="s">
        <v>1201</v>
      </c>
      <c r="B439" s="193">
        <v>1</v>
      </c>
      <c r="C439" s="194">
        <v>2</v>
      </c>
      <c r="D439" s="195" t="str">
        <f>IF(C439=1,Leyenda!$C$3,IF(C439=2,Leyenda!$C$4,IF(C439=3,Leyenda!$C$5,IF(C439=4,Leyenda!$C$6,IF(C439=5,Leyenda!$C$7,IF(C439=6,Leyenda!$C$8,IF(C439=7,Leyenda!$C$9,IF(C439=8,Leyenda!$C$10," "))))))))&amp;IF(C439=9,Leyenda!$C$11,IF(C439=10,Leyenda!$C$12,IF(C439=11,Leyenda!$C$13,IF(C439=12,Leyenda!D496," "))))</f>
        <v xml:space="preserve">GASTOS POR TRABAJOS, SUMINISTROS Y SERVICIOS </v>
      </c>
      <c r="E439" s="202" t="s">
        <v>1644</v>
      </c>
      <c r="F439" s="247">
        <v>45617</v>
      </c>
      <c r="G439" s="247" t="str">
        <f t="shared" si="31"/>
        <v>noviembre</v>
      </c>
      <c r="H439" s="203">
        <v>26</v>
      </c>
      <c r="I439" s="250" t="str">
        <f>TEXT(gastos[[#This Row],[Fecha]],"DDDD")</f>
        <v>martes</v>
      </c>
      <c r="J439" s="249">
        <f t="shared" si="30"/>
        <v>45622</v>
      </c>
      <c r="K439" s="249"/>
      <c r="L439" s="147"/>
      <c r="M439" s="197">
        <v>10000</v>
      </c>
      <c r="N439" s="197">
        <v>0</v>
      </c>
      <c r="O439" s="198">
        <f t="shared" si="32"/>
        <v>10000</v>
      </c>
      <c r="P439" s="199">
        <v>0</v>
      </c>
      <c r="Q439" s="199">
        <v>0</v>
      </c>
      <c r="R439" s="199">
        <v>0</v>
      </c>
      <c r="S439">
        <v>0</v>
      </c>
      <c r="T439" s="200" t="str">
        <f>IFERROR(VLOOKUP($A439,Tabla3[#All],2,0),"no esta registrado")</f>
        <v>no esta registrado</v>
      </c>
    </row>
    <row r="440" spans="1:20" ht="16.5" hidden="1" x14ac:dyDescent="0.3">
      <c r="A440" s="230" t="s">
        <v>1201</v>
      </c>
      <c r="B440" s="193">
        <v>1</v>
      </c>
      <c r="C440" s="194">
        <v>2</v>
      </c>
      <c r="D440" s="195" t="str">
        <f>IF(C440=1,Leyenda!$C$3,IF(C440=2,Leyenda!$C$4,IF(C440=3,Leyenda!$C$5,IF(C440=4,Leyenda!$C$6,IF(C440=5,Leyenda!$C$7,IF(C440=6,Leyenda!$C$8,IF(C440=7,Leyenda!$C$9,IF(C440=8,Leyenda!$C$10," "))))))))&amp;IF(C440=9,Leyenda!$C$11,IF(C440=10,Leyenda!$C$12,IF(C440=11,Leyenda!$C$13,IF(C440=12,Leyenda!D497," "))))</f>
        <v xml:space="preserve">GASTOS POR TRABAJOS, SUMINISTROS Y SERVICIOS </v>
      </c>
      <c r="E440" s="196" t="s">
        <v>1645</v>
      </c>
      <c r="F440" s="247">
        <v>45617</v>
      </c>
      <c r="G440" s="247" t="str">
        <f t="shared" si="31"/>
        <v>noviembre</v>
      </c>
      <c r="H440" s="191">
        <v>26</v>
      </c>
      <c r="I440" s="148" t="str">
        <f>TEXT(gastos[[#This Row],[Fecha]],"DDDD")</f>
        <v>martes</v>
      </c>
      <c r="J440" s="249">
        <f t="shared" si="30"/>
        <v>45622</v>
      </c>
      <c r="K440" s="249"/>
      <c r="L440" s="147"/>
      <c r="M440" s="197">
        <v>10000</v>
      </c>
      <c r="N440" s="197">
        <v>0</v>
      </c>
      <c r="O440" s="198">
        <f t="shared" si="32"/>
        <v>10000</v>
      </c>
      <c r="P440" s="199">
        <v>0</v>
      </c>
      <c r="Q440" s="199">
        <v>0</v>
      </c>
      <c r="R440" s="199">
        <v>0</v>
      </c>
      <c r="S440">
        <v>0</v>
      </c>
      <c r="T440" s="200" t="str">
        <f>IFERROR(VLOOKUP($A440,Tabla3[#All],2,0),"no esta registrado")</f>
        <v>no esta registrado</v>
      </c>
    </row>
    <row r="441" spans="1:20" ht="16.5" hidden="1" x14ac:dyDescent="0.3">
      <c r="A441" s="230" t="s">
        <v>1201</v>
      </c>
      <c r="B441" s="193">
        <v>1</v>
      </c>
      <c r="C441" s="194">
        <v>2</v>
      </c>
      <c r="D441" s="195" t="str">
        <f>IF(C441=1,Leyenda!$C$3,IF(C441=2,Leyenda!$C$4,IF(C441=3,Leyenda!$C$5,IF(C441=4,Leyenda!$C$6,IF(C441=5,Leyenda!$C$7,IF(C441=6,Leyenda!$C$8,IF(C441=7,Leyenda!$C$9,IF(C441=8,Leyenda!$C$10," "))))))))&amp;IF(C441=9,Leyenda!$C$11,IF(C441=10,Leyenda!$C$12,IF(C441=11,Leyenda!$C$13,IF(C441=12,Leyenda!D498," "))))</f>
        <v xml:space="preserve">GASTOS POR TRABAJOS, SUMINISTROS Y SERVICIOS </v>
      </c>
      <c r="E441" s="196" t="s">
        <v>1646</v>
      </c>
      <c r="F441" s="247">
        <v>45617</v>
      </c>
      <c r="G441" s="247" t="str">
        <f t="shared" si="31"/>
        <v>noviembre</v>
      </c>
      <c r="H441" s="191">
        <v>26</v>
      </c>
      <c r="I441" s="148" t="str">
        <f>TEXT(gastos[[#This Row],[Fecha]],"DDDD")</f>
        <v>martes</v>
      </c>
      <c r="J441" s="249">
        <f t="shared" si="30"/>
        <v>45622</v>
      </c>
      <c r="K441" s="249"/>
      <c r="L441" s="147"/>
      <c r="M441" s="197">
        <v>10000</v>
      </c>
      <c r="N441" s="197">
        <v>0</v>
      </c>
      <c r="O441" s="198">
        <f t="shared" si="32"/>
        <v>10000</v>
      </c>
      <c r="P441" s="199">
        <v>0</v>
      </c>
      <c r="Q441" s="199">
        <v>0</v>
      </c>
      <c r="R441" s="199">
        <v>0</v>
      </c>
      <c r="S441">
        <v>0</v>
      </c>
      <c r="T441" s="200" t="str">
        <f>IFERROR(VLOOKUP($A441,Tabla3[#All],2,0),"no esta registrado")</f>
        <v>no esta registrado</v>
      </c>
    </row>
    <row r="442" spans="1:20" ht="16.5" hidden="1" x14ac:dyDescent="0.3">
      <c r="A442" s="230" t="s">
        <v>1201</v>
      </c>
      <c r="B442" s="193">
        <v>1</v>
      </c>
      <c r="C442" s="194">
        <v>2</v>
      </c>
      <c r="D442" s="195" t="str">
        <f>IF(C442=1,Leyenda!$C$3,IF(C442=2,Leyenda!$C$4,IF(C442=3,Leyenda!$C$5,IF(C442=4,Leyenda!$C$6,IF(C442=5,Leyenda!$C$7,IF(C442=6,Leyenda!$C$8,IF(C442=7,Leyenda!$C$9,IF(C442=8,Leyenda!$C$10," "))))))))&amp;IF(C442=9,Leyenda!$C$11,IF(C442=10,Leyenda!$C$12,IF(C442=11,Leyenda!$C$13,IF(C442=12,Leyenda!D499," "))))</f>
        <v xml:space="preserve">GASTOS POR TRABAJOS, SUMINISTROS Y SERVICIOS </v>
      </c>
      <c r="E442" s="196" t="s">
        <v>1647</v>
      </c>
      <c r="F442" s="247">
        <v>45617</v>
      </c>
      <c r="G442" s="247" t="str">
        <f t="shared" si="31"/>
        <v>noviembre</v>
      </c>
      <c r="H442" s="191">
        <v>26</v>
      </c>
      <c r="I442" s="148" t="str">
        <f>TEXT(gastos[[#This Row],[Fecha]],"DDDD")</f>
        <v>martes</v>
      </c>
      <c r="J442" s="249">
        <f t="shared" si="30"/>
        <v>45622</v>
      </c>
      <c r="K442" s="249"/>
      <c r="L442" s="147"/>
      <c r="M442" s="197">
        <v>10000</v>
      </c>
      <c r="N442" s="197">
        <v>0</v>
      </c>
      <c r="O442" s="198">
        <f t="shared" si="32"/>
        <v>10000</v>
      </c>
      <c r="P442" s="199">
        <v>0</v>
      </c>
      <c r="Q442" s="199">
        <v>0</v>
      </c>
      <c r="R442" s="199">
        <v>0</v>
      </c>
      <c r="S442">
        <v>0</v>
      </c>
      <c r="T442" s="200" t="str">
        <f>IFERROR(VLOOKUP($A442,Tabla3[#All],2,0),"no esta registrado")</f>
        <v>no esta registrado</v>
      </c>
    </row>
    <row r="443" spans="1:20" ht="16.5" hidden="1" x14ac:dyDescent="0.3">
      <c r="A443" s="230" t="s">
        <v>1201</v>
      </c>
      <c r="B443" s="193">
        <v>1</v>
      </c>
      <c r="C443" s="194">
        <v>2</v>
      </c>
      <c r="D443" s="195" t="str">
        <f>IF(C443=1,Leyenda!$C$3,IF(C443=2,Leyenda!$C$4,IF(C443=3,Leyenda!$C$5,IF(C443=4,Leyenda!$C$6,IF(C443=5,Leyenda!$C$7,IF(C443=6,Leyenda!$C$8,IF(C443=7,Leyenda!$C$9,IF(C443=8,Leyenda!$C$10," "))))))))&amp;IF(C443=9,Leyenda!$C$11,IF(C443=10,Leyenda!$C$12,IF(C443=11,Leyenda!$C$13,IF(C443=12,Leyenda!D500," "))))</f>
        <v xml:space="preserve">GASTOS POR TRABAJOS, SUMINISTROS Y SERVICIOS </v>
      </c>
      <c r="E443" s="196" t="s">
        <v>1648</v>
      </c>
      <c r="F443" s="247">
        <v>45617</v>
      </c>
      <c r="G443" s="247" t="str">
        <f t="shared" si="31"/>
        <v>noviembre</v>
      </c>
      <c r="H443" s="191">
        <v>26</v>
      </c>
      <c r="I443" s="148" t="str">
        <f>TEXT(gastos[[#This Row],[Fecha]],"DDDD")</f>
        <v>martes</v>
      </c>
      <c r="J443" s="249">
        <f t="shared" si="30"/>
        <v>45622</v>
      </c>
      <c r="K443" s="249"/>
      <c r="L443" s="147"/>
      <c r="M443" s="197">
        <v>10000</v>
      </c>
      <c r="N443" s="197">
        <v>0</v>
      </c>
      <c r="O443" s="198">
        <f t="shared" si="32"/>
        <v>10000</v>
      </c>
      <c r="P443" s="199">
        <v>0</v>
      </c>
      <c r="Q443" s="199">
        <v>0</v>
      </c>
      <c r="R443" s="199">
        <v>0</v>
      </c>
      <c r="S443">
        <v>0</v>
      </c>
      <c r="T443" s="200" t="str">
        <f>IFERROR(VLOOKUP($A443,Tabla3[#All],2,0),"no esta registrado")</f>
        <v>no esta registrado</v>
      </c>
    </row>
    <row r="444" spans="1:20" ht="16.5" hidden="1" x14ac:dyDescent="0.3">
      <c r="A444" s="230" t="s">
        <v>1201</v>
      </c>
      <c r="B444" s="193">
        <v>1</v>
      </c>
      <c r="C444" s="194">
        <v>2</v>
      </c>
      <c r="D444" s="195" t="str">
        <f>IF(C444=1,Leyenda!$C$3,IF(C444=2,Leyenda!$C$4,IF(C444=3,Leyenda!$C$5,IF(C444=4,Leyenda!$C$6,IF(C444=5,Leyenda!$C$7,IF(C444=6,Leyenda!$C$8,IF(C444=7,Leyenda!$C$9,IF(C444=8,Leyenda!$C$10," "))))))))&amp;IF(C444=9,Leyenda!$C$11,IF(C444=10,Leyenda!$C$12,IF(C444=11,Leyenda!$C$13,IF(C444=12,Leyenda!D501," "))))</f>
        <v xml:space="preserve">GASTOS POR TRABAJOS, SUMINISTROS Y SERVICIOS </v>
      </c>
      <c r="E444" s="196" t="s">
        <v>1649</v>
      </c>
      <c r="F444" s="247">
        <v>45617</v>
      </c>
      <c r="G444" s="247" t="str">
        <f t="shared" si="31"/>
        <v>noviembre</v>
      </c>
      <c r="H444" s="191">
        <v>26</v>
      </c>
      <c r="I444" s="148" t="str">
        <f>TEXT(gastos[[#This Row],[Fecha]],"DDDD")</f>
        <v>martes</v>
      </c>
      <c r="J444" s="249">
        <f t="shared" si="30"/>
        <v>45622</v>
      </c>
      <c r="K444" s="249"/>
      <c r="L444" s="147"/>
      <c r="M444" s="197">
        <v>10000</v>
      </c>
      <c r="N444" s="197">
        <v>0</v>
      </c>
      <c r="O444" s="198">
        <f t="shared" si="32"/>
        <v>10000</v>
      </c>
      <c r="P444" s="199">
        <v>0</v>
      </c>
      <c r="Q444" s="199">
        <v>0</v>
      </c>
      <c r="R444" s="199">
        <v>0</v>
      </c>
      <c r="S444">
        <v>0</v>
      </c>
      <c r="T444" s="200" t="str">
        <f>IFERROR(VLOOKUP($A444,Tabla3[#All],2,0),"no esta registrado")</f>
        <v>no esta registrado</v>
      </c>
    </row>
    <row r="445" spans="1:20" ht="16.5" hidden="1" x14ac:dyDescent="0.3">
      <c r="A445" s="230" t="s">
        <v>1201</v>
      </c>
      <c r="B445" s="193">
        <v>1</v>
      </c>
      <c r="C445" s="194">
        <v>2</v>
      </c>
      <c r="D445" s="195" t="str">
        <f>IF(C445=1,Leyenda!$C$3,IF(C445=2,Leyenda!$C$4,IF(C445=3,Leyenda!$C$5,IF(C445=4,Leyenda!$C$6,IF(C445=5,Leyenda!$C$7,IF(C445=6,Leyenda!$C$8,IF(C445=7,Leyenda!$C$9,IF(C445=8,Leyenda!$C$10," "))))))))&amp;IF(C445=9,Leyenda!$C$11,IF(C445=10,Leyenda!$C$12,IF(C445=11,Leyenda!$C$13,IF(C445=12,Leyenda!D502," "))))</f>
        <v xml:space="preserve">GASTOS POR TRABAJOS, SUMINISTROS Y SERVICIOS </v>
      </c>
      <c r="E445" s="202" t="s">
        <v>1650</v>
      </c>
      <c r="F445" s="247">
        <v>45617</v>
      </c>
      <c r="G445" s="247" t="str">
        <f t="shared" si="31"/>
        <v>noviembre</v>
      </c>
      <c r="H445" s="191">
        <v>26</v>
      </c>
      <c r="I445" s="148" t="str">
        <f>TEXT(gastos[[#This Row],[Fecha]],"DDDD")</f>
        <v>martes</v>
      </c>
      <c r="J445" s="249">
        <f t="shared" si="30"/>
        <v>45622</v>
      </c>
      <c r="K445" s="249"/>
      <c r="L445" s="147"/>
      <c r="M445" s="197">
        <v>10000</v>
      </c>
      <c r="N445" s="197">
        <v>0</v>
      </c>
      <c r="O445" s="198">
        <f t="shared" si="32"/>
        <v>10000</v>
      </c>
      <c r="P445" s="199">
        <v>0</v>
      </c>
      <c r="Q445" s="199">
        <v>0</v>
      </c>
      <c r="R445" s="199">
        <v>0</v>
      </c>
      <c r="S445">
        <v>0</v>
      </c>
      <c r="T445" s="200" t="str">
        <f>IFERROR(VLOOKUP($A445,Tabla3[#All],2,0),"no esta registrado")</f>
        <v>no esta registrado</v>
      </c>
    </row>
    <row r="446" spans="1:20" ht="16.5" hidden="1" x14ac:dyDescent="0.3">
      <c r="A446" s="231" t="s">
        <v>486</v>
      </c>
      <c r="B446" s="193">
        <v>1</v>
      </c>
      <c r="C446" s="194">
        <v>7</v>
      </c>
      <c r="D446" s="195" t="str">
        <f>IF(C446=1,Leyenda!$C$3,IF(C446=2,Leyenda!$C$4,IF(C446=3,Leyenda!$C$5,IF(C446=4,Leyenda!$C$6,IF(C446=5,Leyenda!$C$7,IF(C446=6,Leyenda!$C$8,IF(C446=7,Leyenda!$C$9,IF(C446=8,Leyenda!$C$10," "))))))))&amp;IF(C446=9,Leyenda!$C$11,IF(C446=10,Leyenda!$C$12,IF(C446=11,Leyenda!$C$13,IF(C446=12,Leyenda!D503," "))))</f>
        <v xml:space="preserve">GASTOS FINANCIEROS </v>
      </c>
      <c r="E446" s="202" t="s">
        <v>1651</v>
      </c>
      <c r="F446" s="247">
        <v>45617</v>
      </c>
      <c r="G446" s="247" t="str">
        <f t="shared" si="31"/>
        <v>noviembre</v>
      </c>
      <c r="H446" s="191">
        <v>25</v>
      </c>
      <c r="I446" s="148" t="str">
        <f>TEXT(gastos[[#This Row],[Fecha]],"DDDD")</f>
        <v>lunes</v>
      </c>
      <c r="J446" s="249">
        <f t="shared" si="30"/>
        <v>45621</v>
      </c>
      <c r="K446" s="249"/>
      <c r="L446" s="147"/>
      <c r="M446" s="197">
        <v>23443.75</v>
      </c>
      <c r="N446" s="197">
        <v>0</v>
      </c>
      <c r="O446" s="198">
        <f t="shared" si="32"/>
        <v>23443.75</v>
      </c>
      <c r="P446" s="199">
        <v>0</v>
      </c>
      <c r="Q446" s="199">
        <v>0</v>
      </c>
      <c r="R446" s="199">
        <v>0</v>
      </c>
      <c r="S446">
        <v>0</v>
      </c>
      <c r="T446" s="200" t="str">
        <f>IFERROR(VLOOKUP($A446,Tabla3[#All],2,0),"no esta registrado")</f>
        <v>Banco Multiple BHD León, S. A.</v>
      </c>
    </row>
    <row r="447" spans="1:20" ht="16.5" hidden="1" x14ac:dyDescent="0.3">
      <c r="A447" s="231" t="s">
        <v>486</v>
      </c>
      <c r="B447" s="193">
        <v>1</v>
      </c>
      <c r="C447" s="194">
        <v>7</v>
      </c>
      <c r="D447" s="195" t="str">
        <f>IF(C447=1,Leyenda!$C$3,IF(C447=2,Leyenda!$C$4,IF(C447=3,Leyenda!$C$5,IF(C447=4,Leyenda!$C$6,IF(C447=5,Leyenda!$C$7,IF(C447=6,Leyenda!$C$8,IF(C447=7,Leyenda!$C$9,IF(C447=8,Leyenda!$C$10," "))))))))&amp;IF(C447=9,Leyenda!$C$11,IF(C447=10,Leyenda!$C$12,IF(C447=11,Leyenda!$C$13,IF(C447=12,Leyenda!D504," "))))</f>
        <v xml:space="preserve">GASTOS FINANCIEROS </v>
      </c>
      <c r="E447" s="202" t="s">
        <v>1652</v>
      </c>
      <c r="F447" s="247">
        <v>45617</v>
      </c>
      <c r="G447" s="247" t="str">
        <f t="shared" si="31"/>
        <v>noviembre</v>
      </c>
      <c r="H447" s="191">
        <v>15</v>
      </c>
      <c r="I447" s="148" t="str">
        <f>TEXT(gastos[[#This Row],[Fecha]],"DDDD")</f>
        <v>viernes</v>
      </c>
      <c r="J447" s="249">
        <f t="shared" si="30"/>
        <v>45611</v>
      </c>
      <c r="K447" s="249"/>
      <c r="L447" s="147"/>
      <c r="M447" s="197">
        <v>15715.28</v>
      </c>
      <c r="N447" s="197">
        <v>0</v>
      </c>
      <c r="O447" s="198">
        <f t="shared" si="32"/>
        <v>15715.28</v>
      </c>
      <c r="P447" s="199">
        <v>0</v>
      </c>
      <c r="Q447" s="199">
        <v>0</v>
      </c>
      <c r="R447" s="199">
        <v>0</v>
      </c>
      <c r="S447">
        <v>0</v>
      </c>
      <c r="T447" s="200" t="str">
        <f>IFERROR(VLOOKUP($A447,Tabla3[#All],2,0),"no esta registrado")</f>
        <v>Banco Multiple BHD León, S. A.</v>
      </c>
    </row>
    <row r="448" spans="1:20" ht="16.5" hidden="1" x14ac:dyDescent="0.3">
      <c r="A448" s="231" t="s">
        <v>486</v>
      </c>
      <c r="B448" s="193">
        <v>1</v>
      </c>
      <c r="C448" s="194">
        <v>7</v>
      </c>
      <c r="D448" s="195" t="str">
        <f>IF(C448=1,Leyenda!$C$3,IF(C448=2,Leyenda!$C$4,IF(C448=3,Leyenda!$C$5,IF(C448=4,Leyenda!$C$6,IF(C448=5,Leyenda!$C$7,IF(C448=6,Leyenda!$C$8,IF(C448=7,Leyenda!$C$9,IF(C448=8,Leyenda!$C$10," "))))))))&amp;IF(C448=9,Leyenda!$C$11,IF(C448=10,Leyenda!$C$12,IF(C448=11,Leyenda!$C$13,IF(C448=12,Leyenda!D505," "))))</f>
        <v xml:space="preserve">GASTOS FINANCIEROS </v>
      </c>
      <c r="E448" s="202" t="s">
        <v>1653</v>
      </c>
      <c r="F448" s="247">
        <v>45617</v>
      </c>
      <c r="G448" s="247" t="str">
        <f t="shared" si="31"/>
        <v>noviembre</v>
      </c>
      <c r="H448" s="191">
        <v>7</v>
      </c>
      <c r="I448" s="148" t="str">
        <f>TEXT(gastos[[#This Row],[Fecha]],"DDDD")</f>
        <v>jueves</v>
      </c>
      <c r="J448" s="249">
        <f t="shared" si="30"/>
        <v>45603</v>
      </c>
      <c r="K448" s="249"/>
      <c r="L448" s="147"/>
      <c r="M448" s="197">
        <v>2503.31</v>
      </c>
      <c r="N448" s="197">
        <v>0</v>
      </c>
      <c r="O448" s="198">
        <f t="shared" si="32"/>
        <v>2503.31</v>
      </c>
      <c r="P448" s="199">
        <v>0</v>
      </c>
      <c r="Q448" s="199">
        <v>0</v>
      </c>
      <c r="R448" s="199">
        <v>0</v>
      </c>
      <c r="S448">
        <v>0</v>
      </c>
      <c r="T448" s="200" t="str">
        <f>IFERROR(VLOOKUP($A448,Tabla3[#All],2,0),"no esta registrado")</f>
        <v>Banco Multiple BHD León, S. A.</v>
      </c>
    </row>
    <row r="449" spans="1:20" ht="16.5" hidden="1" x14ac:dyDescent="0.3">
      <c r="A449" s="231" t="s">
        <v>486</v>
      </c>
      <c r="B449" s="193">
        <v>1</v>
      </c>
      <c r="C449" s="194">
        <v>7</v>
      </c>
      <c r="D449" s="195" t="str">
        <f>IF(C449=1,Leyenda!$C$3,IF(C449=2,Leyenda!$C$4,IF(C449=3,Leyenda!$C$5,IF(C449=4,Leyenda!$C$6,IF(C449=5,Leyenda!$C$7,IF(C449=6,Leyenda!$C$8,IF(C449=7,Leyenda!$C$9,IF(C449=8,Leyenda!$C$10," "))))))))&amp;IF(C449=9,Leyenda!$C$11,IF(C449=10,Leyenda!$C$12,IF(C449=11,Leyenda!$C$13,IF(C449=12,Leyenda!D506," "))))</f>
        <v xml:space="preserve">GASTOS FINANCIEROS </v>
      </c>
      <c r="E449" s="202" t="s">
        <v>1654</v>
      </c>
      <c r="F449" s="247">
        <v>45617</v>
      </c>
      <c r="G449" s="247" t="str">
        <f t="shared" si="31"/>
        <v>noviembre</v>
      </c>
      <c r="H449" s="191">
        <v>7</v>
      </c>
      <c r="I449" s="148" t="str">
        <f>TEXT(gastos[[#This Row],[Fecha]],"DDDD")</f>
        <v>jueves</v>
      </c>
      <c r="J449" s="249">
        <f t="shared" si="30"/>
        <v>45603</v>
      </c>
      <c r="K449" s="249"/>
      <c r="L449" s="147"/>
      <c r="M449" s="197">
        <v>2076.12</v>
      </c>
      <c r="N449" s="197">
        <v>0</v>
      </c>
      <c r="O449" s="198">
        <f t="shared" si="32"/>
        <v>2076.12</v>
      </c>
      <c r="P449" s="199">
        <v>0</v>
      </c>
      <c r="Q449" s="199">
        <v>0</v>
      </c>
      <c r="R449" s="199">
        <v>0</v>
      </c>
      <c r="S449">
        <v>0</v>
      </c>
      <c r="T449" s="200" t="str">
        <f>IFERROR(VLOOKUP($A449,Tabla3[#All],2,0),"no esta registrado")</f>
        <v>Banco Multiple BHD León, S. A.</v>
      </c>
    </row>
    <row r="450" spans="1:20" ht="16.5" hidden="1" x14ac:dyDescent="0.3">
      <c r="A450" s="230" t="s">
        <v>489</v>
      </c>
      <c r="B450" s="193">
        <v>1</v>
      </c>
      <c r="C450" s="194">
        <v>7</v>
      </c>
      <c r="D450" s="195" t="str">
        <f>IF(C450=1,Leyenda!$C$3,IF(C450=2,Leyenda!$C$4,IF(C450=3,Leyenda!$C$5,IF(C450=4,Leyenda!$C$6,IF(C450=5,Leyenda!$C$7,IF(C450=6,Leyenda!$C$8,IF(C450=7,Leyenda!$C$9,IF(C450=8,Leyenda!$C$10," "))))))))&amp;IF(C450=9,Leyenda!$C$11,IF(C450=10,Leyenda!$C$12,IF(C450=11,Leyenda!$C$13,IF(C450=12,Leyenda!D507," "))))</f>
        <v xml:space="preserve">GASTOS FINANCIEROS </v>
      </c>
      <c r="E450" s="202" t="s">
        <v>1655</v>
      </c>
      <c r="F450" s="247">
        <v>45617</v>
      </c>
      <c r="G450" s="247" t="str">
        <f t="shared" si="31"/>
        <v>noviembre</v>
      </c>
      <c r="H450" s="191">
        <v>30</v>
      </c>
      <c r="I450" s="148" t="str">
        <f>TEXT(gastos[[#This Row],[Fecha]],"DDDD")</f>
        <v>sábado</v>
      </c>
      <c r="J450" s="249">
        <f t="shared" si="30"/>
        <v>45626</v>
      </c>
      <c r="K450" s="249"/>
      <c r="L450" s="147"/>
      <c r="M450" s="197">
        <v>11419.28</v>
      </c>
      <c r="N450" s="197">
        <v>0</v>
      </c>
      <c r="O450" s="198">
        <f t="shared" si="32"/>
        <v>11419.28</v>
      </c>
      <c r="P450" s="199">
        <v>0</v>
      </c>
      <c r="Q450" s="199">
        <v>0</v>
      </c>
      <c r="R450" s="199">
        <v>0</v>
      </c>
      <c r="S450">
        <v>0</v>
      </c>
      <c r="T450" s="200" t="str">
        <f>IFERROR(VLOOKUP($A450,Tabla3[#All],2,0),"no esta registrado")</f>
        <v>Banco Popular Dominicano, S. A. Banco Multiple</v>
      </c>
    </row>
    <row r="451" spans="1:20" ht="16.5" hidden="1" x14ac:dyDescent="0.3">
      <c r="A451" s="230" t="s">
        <v>492</v>
      </c>
      <c r="B451" s="193">
        <v>1</v>
      </c>
      <c r="C451" s="194">
        <v>7</v>
      </c>
      <c r="D451" s="195" t="str">
        <f>IF(C451=1,Leyenda!$C$3,IF(C451=2,Leyenda!$C$4,IF(C451=3,Leyenda!$C$5,IF(C451=4,Leyenda!$C$6,IF(C451=5,Leyenda!$C$7,IF(C451=6,Leyenda!$C$8,IF(C451=7,Leyenda!$C$9,IF(C451=8,Leyenda!$C$10," "))))))))&amp;IF(C451=9,Leyenda!$C$11,IF(C451=10,Leyenda!$C$12,IF(C451=11,Leyenda!$C$13,IF(C451=12,Leyenda!D508," "))))</f>
        <v xml:space="preserve">GASTOS FINANCIEROS </v>
      </c>
      <c r="E451" s="202" t="s">
        <v>1656</v>
      </c>
      <c r="F451" s="247">
        <v>45617</v>
      </c>
      <c r="G451" s="247" t="str">
        <f t="shared" si="31"/>
        <v>noviembre</v>
      </c>
      <c r="H451" s="191">
        <v>18</v>
      </c>
      <c r="I451" s="148" t="str">
        <f>TEXT(gastos[[#This Row],[Fecha]],"DDDD")</f>
        <v>lunes</v>
      </c>
      <c r="J451" s="249">
        <f t="shared" si="30"/>
        <v>45614</v>
      </c>
      <c r="K451" s="249"/>
      <c r="L451" s="147"/>
      <c r="M451" s="197">
        <v>23377.77</v>
      </c>
      <c r="N451" s="197">
        <v>0</v>
      </c>
      <c r="O451" s="198">
        <f t="shared" si="32"/>
        <v>23377.77</v>
      </c>
      <c r="P451" s="199">
        <v>0</v>
      </c>
      <c r="Q451" s="199">
        <v>0</v>
      </c>
      <c r="R451" s="199">
        <v>0</v>
      </c>
      <c r="S451">
        <v>0</v>
      </c>
      <c r="T451" s="200" t="str">
        <f>IFERROR(VLOOKUP($A451,Tabla3[#All],2,0),"no esta registrado")</f>
        <v>Banco Dominicano del Progreso, S. A.//Banco Multiple</v>
      </c>
    </row>
    <row r="452" spans="1:20" ht="16.5" hidden="1" x14ac:dyDescent="0.3">
      <c r="A452" s="230" t="s">
        <v>492</v>
      </c>
      <c r="B452" s="193">
        <v>1</v>
      </c>
      <c r="C452" s="194">
        <v>7</v>
      </c>
      <c r="D452" s="195" t="str">
        <f>IF(C452=1,Leyenda!$C$3,IF(C452=2,Leyenda!$C$4,IF(C452=3,Leyenda!$C$5,IF(C452=4,Leyenda!$C$6,IF(C452=5,Leyenda!$C$7,IF(C452=6,Leyenda!$C$8,IF(C452=7,Leyenda!$C$9,IF(C452=8,Leyenda!$C$10," "))))))))&amp;IF(C452=9,Leyenda!$C$11,IF(C452=10,Leyenda!$C$12,IF(C452=11,Leyenda!$C$13,IF(C452=12,Leyenda!D509," "))))</f>
        <v xml:space="preserve">GASTOS FINANCIEROS </v>
      </c>
      <c r="E452" s="202" t="s">
        <v>1657</v>
      </c>
      <c r="F452" s="247">
        <v>45617</v>
      </c>
      <c r="G452" s="247" t="str">
        <f t="shared" si="31"/>
        <v>noviembre</v>
      </c>
      <c r="H452" s="191">
        <v>29</v>
      </c>
      <c r="I452" s="148" t="str">
        <f>TEXT(gastos[[#This Row],[Fecha]],"DDDD")</f>
        <v>viernes</v>
      </c>
      <c r="J452" s="249">
        <f t="shared" si="30"/>
        <v>45625</v>
      </c>
      <c r="K452" s="249"/>
      <c r="L452" s="147"/>
      <c r="M452" s="197">
        <v>400</v>
      </c>
      <c r="N452" s="197">
        <v>0</v>
      </c>
      <c r="O452" s="198">
        <f t="shared" si="32"/>
        <v>400</v>
      </c>
      <c r="P452" s="199">
        <v>0</v>
      </c>
      <c r="Q452" s="199">
        <v>0</v>
      </c>
      <c r="R452" s="199">
        <v>0</v>
      </c>
      <c r="S452">
        <v>0</v>
      </c>
      <c r="T452" s="200" t="str">
        <f>IFERROR(VLOOKUP($A452,Tabla3[#All],2,0),"no esta registrado")</f>
        <v>Banco Dominicano del Progreso, S. A.//Banco Multiple</v>
      </c>
    </row>
    <row r="453" spans="1:20" ht="16.5" hidden="1" x14ac:dyDescent="0.3">
      <c r="A453" s="230" t="s">
        <v>492</v>
      </c>
      <c r="B453" s="193">
        <v>1</v>
      </c>
      <c r="C453" s="194">
        <v>7</v>
      </c>
      <c r="D453" s="195" t="str">
        <f>IF(C453=1,Leyenda!$C$3,IF(C453=2,Leyenda!$C$4,IF(C453=3,Leyenda!$C$5,IF(C453=4,Leyenda!$C$6,IF(C453=5,Leyenda!$C$7,IF(C453=6,Leyenda!$C$8,IF(C453=7,Leyenda!$C$9,IF(C453=8,Leyenda!$C$10," "))))))))&amp;IF(C453=9,Leyenda!$C$11,IF(C453=10,Leyenda!$C$12,IF(C453=11,Leyenda!$C$13,IF(C453=12,Leyenda!D510," "))))</f>
        <v xml:space="preserve">GASTOS FINANCIEROS </v>
      </c>
      <c r="E453" s="202" t="s">
        <v>1658</v>
      </c>
      <c r="F453" s="247">
        <v>45617</v>
      </c>
      <c r="G453" s="247" t="str">
        <f t="shared" si="31"/>
        <v>noviembre</v>
      </c>
      <c r="H453" s="191">
        <v>18</v>
      </c>
      <c r="I453" s="148" t="str">
        <f>TEXT(gastos[[#This Row],[Fecha]],"DDDD")</f>
        <v>lunes</v>
      </c>
      <c r="J453" s="249">
        <f t="shared" si="30"/>
        <v>45614</v>
      </c>
      <c r="K453" s="249"/>
      <c r="L453" s="147"/>
      <c r="M453" s="197">
        <v>66.930000000000007</v>
      </c>
      <c r="N453" s="197">
        <v>0</v>
      </c>
      <c r="O453" s="198">
        <f t="shared" si="32"/>
        <v>66.930000000000007</v>
      </c>
      <c r="P453" s="199">
        <v>0</v>
      </c>
      <c r="Q453" s="199">
        <v>0</v>
      </c>
      <c r="R453" s="199">
        <v>0</v>
      </c>
      <c r="S453">
        <v>0</v>
      </c>
      <c r="T453" s="200" t="str">
        <f>IFERROR(VLOOKUP($A453,Tabla3[#All],2,0),"no esta registrado")</f>
        <v>Banco Dominicano del Progreso, S. A.//Banco Multiple</v>
      </c>
    </row>
    <row r="454" spans="1:20" ht="16.5" hidden="1" x14ac:dyDescent="0.3">
      <c r="A454" s="230" t="s">
        <v>1108</v>
      </c>
      <c r="B454" s="193">
        <v>1</v>
      </c>
      <c r="C454" s="194">
        <v>4</v>
      </c>
      <c r="D454" s="195" t="str">
        <f>IF(C454=1,Leyenda!$C$3,IF(C454=2,Leyenda!$C$4,IF(C454=3,Leyenda!$C$5,IF(C454=4,Leyenda!$C$6,IF(C454=5,Leyenda!$C$7,IF(C454=6,Leyenda!$C$8,IF(C454=7,Leyenda!$C$9,IF(C454=8,Leyenda!$C$10," "))))))))&amp;IF(C454=9,Leyenda!$C$11,IF(C454=10,Leyenda!$C$12,IF(C454=11,Leyenda!$C$13,IF(C454=12,Leyenda!D511," "))))</f>
        <v xml:space="preserve">GASTOS DE ACTIVOS FIJO </v>
      </c>
      <c r="E454" s="196" t="s">
        <v>1659</v>
      </c>
      <c r="F454" s="248">
        <v>45657</v>
      </c>
      <c r="G454" s="247" t="str">
        <f t="shared" si="31"/>
        <v>diciembre</v>
      </c>
      <c r="H454" s="191">
        <v>31</v>
      </c>
      <c r="I454" s="148" t="str">
        <f>TEXT(gastos[[#This Row],[Fecha]],"DDDD")</f>
        <v>martes</v>
      </c>
      <c r="J454" s="249">
        <f t="shared" si="30"/>
        <v>45657</v>
      </c>
      <c r="K454" s="249"/>
      <c r="L454" s="147"/>
      <c r="M454" s="197">
        <v>0</v>
      </c>
      <c r="N454" s="197">
        <v>1568</v>
      </c>
      <c r="O454" s="198">
        <f t="shared" ref="O454:O488" si="33">SUM(M454:N454)</f>
        <v>1568</v>
      </c>
      <c r="P454" s="199">
        <v>0</v>
      </c>
      <c r="Q454" s="199">
        <v>0</v>
      </c>
      <c r="R454" s="199">
        <v>0</v>
      </c>
      <c r="S454">
        <v>0</v>
      </c>
      <c r="T454" s="200" t="str">
        <f>IFERROR(VLOOKUP($A454,Tabla3[#All],2,0),"no esta registrado")</f>
        <v>Envasadora Gas Caribe Principal</v>
      </c>
    </row>
    <row r="455" spans="1:20" ht="16.5" hidden="1" x14ac:dyDescent="0.3">
      <c r="A455" s="230" t="s">
        <v>1259</v>
      </c>
      <c r="B455" s="193">
        <v>1</v>
      </c>
      <c r="C455" s="194">
        <v>4</v>
      </c>
      <c r="D455" s="195" t="str">
        <f>IF(C455=1,Leyenda!$C$3,IF(C455=2,Leyenda!$C$4,IF(C455=3,Leyenda!$C$5,IF(C455=4,Leyenda!$C$6,IF(C455=5,Leyenda!$C$7,IF(C455=6,Leyenda!$C$8,IF(C455=7,Leyenda!$C$9,IF(C455=8,Leyenda!$C$10," "))))))))&amp;IF(C455=9,Leyenda!$C$11,IF(C455=10,Leyenda!$C$12,IF(C455=11,Leyenda!$C$13,IF(C455=12,Leyenda!D512," "))))</f>
        <v xml:space="preserve">GASTOS DE ACTIVOS FIJO </v>
      </c>
      <c r="E455" s="196" t="s">
        <v>1660</v>
      </c>
      <c r="F455" s="247">
        <v>45635</v>
      </c>
      <c r="G455" s="247" t="str">
        <f t="shared" si="31"/>
        <v>diciembre</v>
      </c>
      <c r="H455" s="191">
        <v>9</v>
      </c>
      <c r="I455" s="148" t="str">
        <f>TEXT(gastos[[#This Row],[Fecha]],"DDDD")</f>
        <v>lunes</v>
      </c>
      <c r="J455" s="249">
        <f t="shared" si="30"/>
        <v>45635</v>
      </c>
      <c r="K455" s="249"/>
      <c r="L455" s="147"/>
      <c r="M455" s="197">
        <v>0</v>
      </c>
      <c r="N455" s="197">
        <v>3413</v>
      </c>
      <c r="O455" s="198">
        <f t="shared" si="33"/>
        <v>3413</v>
      </c>
      <c r="P455" s="199">
        <v>0</v>
      </c>
      <c r="Q455" s="199">
        <v>0</v>
      </c>
      <c r="R455" s="199">
        <v>0</v>
      </c>
      <c r="S455">
        <v>0</v>
      </c>
      <c r="T455" s="200" t="str">
        <f>IFERROR(VLOOKUP($A455,Tabla3[#All],2,0),"no esta registrado")</f>
        <v>no esta registrado</v>
      </c>
    </row>
    <row r="456" spans="1:20" ht="16.5" hidden="1" x14ac:dyDescent="0.3">
      <c r="A456" s="230" t="s">
        <v>909</v>
      </c>
      <c r="B456" s="193">
        <v>1</v>
      </c>
      <c r="C456" s="194">
        <v>4</v>
      </c>
      <c r="D456" s="195" t="str">
        <f>IF(C456=1,Leyenda!$C$3,IF(C456=2,Leyenda!$C$4,IF(C456=3,Leyenda!$C$5,IF(C456=4,Leyenda!$C$6,IF(C456=5,Leyenda!$C$7,IF(C456=6,Leyenda!$C$8,IF(C456=7,Leyenda!$C$9,IF(C456=8,Leyenda!$C$10," "))))))))&amp;IF(C456=9,Leyenda!$C$11,IF(C456=10,Leyenda!$C$12,IF(C456=11,Leyenda!$C$13,IF(C456=12,Leyenda!D513," "))))</f>
        <v xml:space="preserve">GASTOS DE ACTIVOS FIJO </v>
      </c>
      <c r="E456" s="196" t="s">
        <v>1661</v>
      </c>
      <c r="F456" s="247">
        <v>45635</v>
      </c>
      <c r="G456" s="247" t="str">
        <f t="shared" si="31"/>
        <v>diciembre</v>
      </c>
      <c r="H456" s="191">
        <v>22</v>
      </c>
      <c r="I456" s="148" t="str">
        <f>TEXT(gastos[[#This Row],[Fecha]],"DDDD")</f>
        <v>domingo</v>
      </c>
      <c r="J456" s="249">
        <f t="shared" ref="J456:J488" si="34">DATE(YEAR(F456),MONTH(F456),H456)</f>
        <v>45648</v>
      </c>
      <c r="K456" s="249"/>
      <c r="L456" s="147"/>
      <c r="M456" s="197">
        <v>0</v>
      </c>
      <c r="N456" s="197">
        <v>4965</v>
      </c>
      <c r="O456" s="198">
        <f t="shared" si="33"/>
        <v>4965</v>
      </c>
      <c r="P456" s="199">
        <v>0</v>
      </c>
      <c r="Q456" s="199">
        <v>0</v>
      </c>
      <c r="R456" s="199">
        <v>0</v>
      </c>
      <c r="S456">
        <v>0</v>
      </c>
      <c r="T456" s="200" t="str">
        <f>IFERROR(VLOOKUP($A456,Tabla3[#All],2,0),"no esta registrado")</f>
        <v>Strata, S.R.L.</v>
      </c>
    </row>
    <row r="457" spans="1:20" ht="16.5" hidden="1" x14ac:dyDescent="0.3">
      <c r="A457" s="230" t="s">
        <v>1662</v>
      </c>
      <c r="B457" s="193">
        <v>1</v>
      </c>
      <c r="C457" s="194">
        <v>4</v>
      </c>
      <c r="D457" s="195" t="str">
        <f>IF(C457=1,Leyenda!$C$3,IF(C457=2,Leyenda!$C$4,IF(C457=3,Leyenda!$C$5,IF(C457=4,Leyenda!$C$6,IF(C457=5,Leyenda!$C$7,IF(C457=6,Leyenda!$C$8,IF(C457=7,Leyenda!$C$9,IF(C457=8,Leyenda!$C$10," "))))))))&amp;IF(C457=9,Leyenda!$C$11,IF(C457=10,Leyenda!$C$12,IF(C457=11,Leyenda!$C$13,IF(C457=12,Leyenda!D514," "))))</f>
        <v xml:space="preserve">GASTOS DE ACTIVOS FIJO </v>
      </c>
      <c r="E457" s="196" t="s">
        <v>1663</v>
      </c>
      <c r="F457" s="247">
        <v>45635</v>
      </c>
      <c r="G457" s="247" t="str">
        <f t="shared" si="31"/>
        <v>diciembre</v>
      </c>
      <c r="H457" s="191">
        <v>29</v>
      </c>
      <c r="I457" s="148" t="str">
        <f>TEXT(gastos[[#This Row],[Fecha]],"DDDD")</f>
        <v>domingo</v>
      </c>
      <c r="J457" s="249">
        <f t="shared" si="34"/>
        <v>45655</v>
      </c>
      <c r="K457" s="249"/>
      <c r="L457" s="147"/>
      <c r="M457" s="197">
        <v>0</v>
      </c>
      <c r="N457" s="197">
        <v>2874</v>
      </c>
      <c r="O457" s="198">
        <f t="shared" si="33"/>
        <v>2874</v>
      </c>
      <c r="P457" s="199">
        <v>0</v>
      </c>
      <c r="Q457" s="199">
        <v>0</v>
      </c>
      <c r="R457" s="199">
        <v>0</v>
      </c>
      <c r="S457">
        <v>0</v>
      </c>
      <c r="T457" s="200" t="str">
        <f>IFERROR(VLOOKUP($A457,Tabla3[#All],2,0),"no esta registrado")</f>
        <v>no esta registrado</v>
      </c>
    </row>
    <row r="458" spans="1:20" ht="16.5" hidden="1" x14ac:dyDescent="0.3">
      <c r="A458" s="230" t="s">
        <v>1259</v>
      </c>
      <c r="B458" s="193">
        <v>1</v>
      </c>
      <c r="C458" s="194">
        <v>4</v>
      </c>
      <c r="D458" s="195" t="str">
        <f>IF(C458=1,Leyenda!$C$3,IF(C458=2,Leyenda!$C$4,IF(C458=3,Leyenda!$C$5,IF(C458=4,Leyenda!$C$6,IF(C458=5,Leyenda!$C$7,IF(C458=6,Leyenda!$C$8,IF(C458=7,Leyenda!$C$9,IF(C458=8,Leyenda!$C$10," "))))))))&amp;IF(C458=9,Leyenda!$C$11,IF(C458=10,Leyenda!$C$12,IF(C458=11,Leyenda!$C$13,IF(C458=12,Leyenda!D515," "))))</f>
        <v xml:space="preserve">GASTOS DE ACTIVOS FIJO </v>
      </c>
      <c r="E458" s="196" t="s">
        <v>1664</v>
      </c>
      <c r="F458" s="247">
        <v>45635</v>
      </c>
      <c r="G458" s="247" t="str">
        <f t="shared" si="31"/>
        <v>diciembre</v>
      </c>
      <c r="H458" s="191">
        <v>31</v>
      </c>
      <c r="I458" s="148" t="str">
        <f>TEXT(gastos[[#This Row],[Fecha]],"DDDD")</f>
        <v>martes</v>
      </c>
      <c r="J458" s="249">
        <f t="shared" si="34"/>
        <v>45657</v>
      </c>
      <c r="K458" s="249"/>
      <c r="L458" s="147"/>
      <c r="M458" s="197">
        <v>0</v>
      </c>
      <c r="N458" s="197">
        <v>3465</v>
      </c>
      <c r="O458" s="198">
        <f t="shared" si="33"/>
        <v>3465</v>
      </c>
      <c r="P458" s="199">
        <v>0</v>
      </c>
      <c r="Q458" s="199">
        <v>0</v>
      </c>
      <c r="R458" s="199">
        <v>0</v>
      </c>
      <c r="S458">
        <v>0</v>
      </c>
      <c r="T458" s="200" t="str">
        <f>IFERROR(VLOOKUP($A458,Tabla3[#All],2,0),"no esta registrado")</f>
        <v>no esta registrado</v>
      </c>
    </row>
    <row r="459" spans="1:20" ht="16.5" hidden="1" x14ac:dyDescent="0.3">
      <c r="A459" s="230" t="s">
        <v>1665</v>
      </c>
      <c r="B459" s="193">
        <v>1</v>
      </c>
      <c r="C459" s="194">
        <v>2</v>
      </c>
      <c r="D459" s="195" t="str">
        <f>IF(C459=1,Leyenda!$C$3,IF(C459=2,Leyenda!$C$4,IF(C459=3,Leyenda!$C$5,IF(C459=4,Leyenda!$C$6,IF(C459=5,Leyenda!$C$7,IF(C459=6,Leyenda!$C$8,IF(C459=7,Leyenda!$C$9,IF(C459=8,Leyenda!$C$10," "))))))))&amp;IF(C459=9,Leyenda!$C$11,IF(C459=10,Leyenda!$C$12,IF(C459=11,Leyenda!$C$13,IF(C459=12,Leyenda!D516," "))))</f>
        <v xml:space="preserve">GASTOS POR TRABAJOS, SUMINISTROS Y SERVICIOS </v>
      </c>
      <c r="E459" s="196" t="s">
        <v>1666</v>
      </c>
      <c r="F459" s="247">
        <v>45635</v>
      </c>
      <c r="G459" s="247" t="str">
        <f t="shared" si="31"/>
        <v>diciembre</v>
      </c>
      <c r="H459" s="191">
        <v>22</v>
      </c>
      <c r="I459" s="148" t="str">
        <f>TEXT(gastos[[#This Row],[Fecha]],"DDDD")</f>
        <v>domingo</v>
      </c>
      <c r="J459" s="249">
        <f t="shared" si="34"/>
        <v>45648</v>
      </c>
      <c r="K459" s="249"/>
      <c r="L459" s="147"/>
      <c r="M459" s="197">
        <v>0</v>
      </c>
      <c r="N459" s="197">
        <f>1470-224.24</f>
        <v>1245.76</v>
      </c>
      <c r="O459" s="198">
        <f t="shared" si="33"/>
        <v>1245.76</v>
      </c>
      <c r="P459" s="199">
        <v>224.24</v>
      </c>
      <c r="Q459" s="199">
        <v>0</v>
      </c>
      <c r="R459" s="199">
        <v>0</v>
      </c>
      <c r="S459">
        <v>0</v>
      </c>
      <c r="T459" s="200" t="str">
        <f>IFERROR(VLOOKUP($A459,Tabla3[#All],2,0),"no esta registrado")</f>
        <v>no esta registrado</v>
      </c>
    </row>
    <row r="460" spans="1:20" ht="16.5" hidden="1" x14ac:dyDescent="0.3">
      <c r="A460" s="230" t="s">
        <v>1667</v>
      </c>
      <c r="B460" s="193">
        <v>1</v>
      </c>
      <c r="C460" s="194">
        <v>2</v>
      </c>
      <c r="D460" s="195" t="str">
        <f>IF(C460=1,Leyenda!$C$3,IF(C460=2,Leyenda!$C$4,IF(C460=3,Leyenda!$C$5,IF(C460=4,Leyenda!$C$6,IF(C460=5,Leyenda!$C$7,IF(C460=6,Leyenda!$C$8,IF(C460=7,Leyenda!$C$9,IF(C460=8,Leyenda!$C$10," "))))))))&amp;IF(C460=9,Leyenda!$C$11,IF(C460=10,Leyenda!$C$12,IF(C460=11,Leyenda!$C$13,IF(C460=12,Leyenda!D517," "))))</f>
        <v xml:space="preserve">GASTOS POR TRABAJOS, SUMINISTROS Y SERVICIOS </v>
      </c>
      <c r="E460" s="196" t="s">
        <v>1668</v>
      </c>
      <c r="F460" s="247">
        <v>45635</v>
      </c>
      <c r="G460" s="247" t="str">
        <f t="shared" si="31"/>
        <v>diciembre</v>
      </c>
      <c r="H460" s="191">
        <v>15</v>
      </c>
      <c r="I460" s="148" t="str">
        <f>TEXT(gastos[[#This Row],[Fecha]],"DDDD")</f>
        <v>domingo</v>
      </c>
      <c r="J460" s="249">
        <f t="shared" si="34"/>
        <v>45641</v>
      </c>
      <c r="K460" s="249"/>
      <c r="L460" s="147"/>
      <c r="M460" s="197">
        <v>0</v>
      </c>
      <c r="N460" s="197">
        <f>1414-215.7</f>
        <v>1198.3</v>
      </c>
      <c r="O460" s="198">
        <f t="shared" si="33"/>
        <v>1198.3</v>
      </c>
      <c r="P460" s="199">
        <v>215.7</v>
      </c>
      <c r="Q460" s="199">
        <v>0</v>
      </c>
      <c r="R460" s="199">
        <v>0</v>
      </c>
      <c r="S460">
        <v>0</v>
      </c>
      <c r="T460" s="200" t="str">
        <f>IFERROR(VLOOKUP($A460,Tabla3[#All],2,0),"no esta registrado")</f>
        <v>no esta registrado</v>
      </c>
    </row>
    <row r="461" spans="1:20" ht="16.5" hidden="1" x14ac:dyDescent="0.3">
      <c r="A461" s="230" t="s">
        <v>533</v>
      </c>
      <c r="B461" s="193">
        <v>1</v>
      </c>
      <c r="C461" s="194">
        <v>2</v>
      </c>
      <c r="D461" s="195" t="str">
        <f>IF(C461=1,Leyenda!$C$3,IF(C461=2,Leyenda!$C$4,IF(C461=3,Leyenda!$C$5,IF(C461=4,Leyenda!$C$6,IF(C461=5,Leyenda!$C$7,IF(C461=6,Leyenda!$C$8,IF(C461=7,Leyenda!$C$9,IF(C461=8,Leyenda!$C$10," "))))))))&amp;IF(C461=9,Leyenda!$C$11,IF(C461=10,Leyenda!$C$12,IF(C461=11,Leyenda!$C$13,IF(C461=12,Leyenda!D518," "))))</f>
        <v xml:space="preserve">GASTOS POR TRABAJOS, SUMINISTROS Y SERVICIOS </v>
      </c>
      <c r="E461" s="196" t="s">
        <v>1669</v>
      </c>
      <c r="F461" s="247">
        <v>45635</v>
      </c>
      <c r="G461" s="247" t="str">
        <f t="shared" si="31"/>
        <v>diciembre</v>
      </c>
      <c r="H461" s="191">
        <v>14</v>
      </c>
      <c r="I461" s="148" t="str">
        <f>TEXT(gastos[[#This Row],[Fecha]],"DDDD")</f>
        <v>sábado</v>
      </c>
      <c r="J461" s="249">
        <f t="shared" si="34"/>
        <v>45640</v>
      </c>
      <c r="K461" s="249"/>
      <c r="L461" s="147"/>
      <c r="M461" s="197">
        <v>0</v>
      </c>
      <c r="N461" s="197">
        <f>4007.59-231.86</f>
        <v>3775.73</v>
      </c>
      <c r="O461" s="198">
        <f t="shared" si="33"/>
        <v>3775.73</v>
      </c>
      <c r="P461" s="199">
        <v>231.86</v>
      </c>
      <c r="Q461" s="199">
        <v>0</v>
      </c>
      <c r="R461" s="199">
        <v>0</v>
      </c>
      <c r="S461">
        <v>0</v>
      </c>
      <c r="T461" s="200" t="str">
        <f>IFERROR(VLOOKUP($A461,Tabla3[#All],2,0),"no esta registrado")</f>
        <v>Farmacía Medicar GBC, A. H.</v>
      </c>
    </row>
    <row r="462" spans="1:20" ht="16.5" hidden="1" x14ac:dyDescent="0.3">
      <c r="A462" s="231" t="s">
        <v>1459</v>
      </c>
      <c r="B462" s="193">
        <v>1</v>
      </c>
      <c r="C462" s="194">
        <v>2</v>
      </c>
      <c r="D462" s="195" t="str">
        <f>IF(C462=1,Leyenda!$C$3,IF(C462=2,Leyenda!$C$4,IF(C462=3,Leyenda!$C$5,IF(C462=4,Leyenda!$C$6,IF(C462=5,Leyenda!$C$7,IF(C462=6,Leyenda!$C$8,IF(C462=7,Leyenda!$C$9,IF(C462=8,Leyenda!$C$10," "))))))))&amp;IF(C462=9,Leyenda!$C$11,IF(C462=10,Leyenda!$C$12,IF(C462=11,Leyenda!$C$13,IF(C462=12,Leyenda!D519," "))))</f>
        <v xml:space="preserve">GASTOS POR TRABAJOS, SUMINISTROS Y SERVICIOS </v>
      </c>
      <c r="E462" s="196" t="s">
        <v>1670</v>
      </c>
      <c r="F462" s="247">
        <v>45635</v>
      </c>
      <c r="G462" s="247" t="str">
        <f t="shared" si="31"/>
        <v>diciembre</v>
      </c>
      <c r="H462" s="191">
        <v>29</v>
      </c>
      <c r="I462" s="148" t="str">
        <f>TEXT(gastos[[#This Row],[Fecha]],"DDDD")</f>
        <v>domingo</v>
      </c>
      <c r="J462" s="249">
        <f t="shared" si="34"/>
        <v>45655</v>
      </c>
      <c r="K462" s="249"/>
      <c r="L462" s="147"/>
      <c r="M462" s="197">
        <v>0</v>
      </c>
      <c r="N462" s="197">
        <v>1737.29</v>
      </c>
      <c r="O462" s="198">
        <f t="shared" si="33"/>
        <v>1737.29</v>
      </c>
      <c r="P462" s="199">
        <v>312.70999999999998</v>
      </c>
      <c r="Q462" s="199">
        <v>0</v>
      </c>
      <c r="R462" s="199">
        <v>0</v>
      </c>
      <c r="S462">
        <v>0</v>
      </c>
      <c r="T462" s="200" t="str">
        <f>IFERROR(VLOOKUP($A462,Tabla3[#All],2,0),"no esta registrado")</f>
        <v>no esta registrado</v>
      </c>
    </row>
    <row r="463" spans="1:20" ht="16.5" hidden="1" x14ac:dyDescent="0.3">
      <c r="A463" s="230" t="s">
        <v>1128</v>
      </c>
      <c r="B463" s="193">
        <v>1</v>
      </c>
      <c r="C463" s="194">
        <v>2</v>
      </c>
      <c r="D463" s="195" t="str">
        <f>IF(C463=1,Leyenda!$C$3,IF(C463=2,Leyenda!$C$4,IF(C463=3,Leyenda!$C$5,IF(C463=4,Leyenda!$C$6,IF(C463=5,Leyenda!$C$7,IF(C463=6,Leyenda!$C$8,IF(C463=7,Leyenda!$C$9,IF(C463=8,Leyenda!$C$10," "))))))))&amp;IF(C463=9,Leyenda!$C$11,IF(C463=10,Leyenda!$C$12,IF(C463=11,Leyenda!$C$13,IF(C463=12,Leyenda!D520," "))))</f>
        <v xml:space="preserve">GASTOS POR TRABAJOS, SUMINISTROS Y SERVICIOS </v>
      </c>
      <c r="E463" s="196" t="s">
        <v>1671</v>
      </c>
      <c r="F463" s="247">
        <v>45635</v>
      </c>
      <c r="G463" s="247" t="str">
        <f t="shared" si="31"/>
        <v>diciembre</v>
      </c>
      <c r="H463" s="191">
        <v>18</v>
      </c>
      <c r="I463" s="148" t="str">
        <f>TEXT(gastos[[#This Row],[Fecha]],"DDDD")</f>
        <v>miércoles</v>
      </c>
      <c r="J463" s="249">
        <f t="shared" si="34"/>
        <v>45644</v>
      </c>
      <c r="K463" s="249"/>
      <c r="L463" s="147"/>
      <c r="M463" s="197">
        <v>0</v>
      </c>
      <c r="N463" s="197">
        <f>999.97-152.54</f>
        <v>847.43000000000006</v>
      </c>
      <c r="O463" s="198">
        <f t="shared" si="33"/>
        <v>847.43000000000006</v>
      </c>
      <c r="P463" s="199">
        <v>152.54</v>
      </c>
      <c r="Q463" s="199">
        <v>0</v>
      </c>
      <c r="R463" s="199">
        <v>0</v>
      </c>
      <c r="S463">
        <v>0</v>
      </c>
      <c r="T463" s="200" t="str">
        <f>IFERROR(VLOOKUP($A463,Tabla3[#All],2,0),"no esta registrado")</f>
        <v>Abastek Marketing SRL</v>
      </c>
    </row>
    <row r="464" spans="1:20" ht="16.5" hidden="1" x14ac:dyDescent="0.3">
      <c r="A464" s="230" t="s">
        <v>1672</v>
      </c>
      <c r="B464" s="193">
        <v>1</v>
      </c>
      <c r="C464" s="194">
        <v>2</v>
      </c>
      <c r="D464" s="195" t="str">
        <f>IF(C464=1,Leyenda!$C$3,IF(C464=2,Leyenda!$C$4,IF(C464=3,Leyenda!$C$5,IF(C464=4,Leyenda!$C$6,IF(C464=5,Leyenda!$C$7,IF(C464=6,Leyenda!$C$8,IF(C464=7,Leyenda!$C$9,IF(C464=8,Leyenda!$C$10," "))))))))&amp;IF(C464=9,Leyenda!$C$11,IF(C464=10,Leyenda!$C$12,IF(C464=11,Leyenda!$C$13,IF(C464=12,Leyenda!D521," "))))</f>
        <v xml:space="preserve">GASTOS POR TRABAJOS, SUMINISTROS Y SERVICIOS </v>
      </c>
      <c r="E464" s="196" t="s">
        <v>1673</v>
      </c>
      <c r="F464" s="247">
        <v>45635</v>
      </c>
      <c r="G464" s="247" t="str">
        <f t="shared" si="31"/>
        <v>diciembre</v>
      </c>
      <c r="H464" s="191">
        <v>20</v>
      </c>
      <c r="I464" s="148" t="str">
        <f>TEXT(gastos[[#This Row],[Fecha]],"DDDD")</f>
        <v>viernes</v>
      </c>
      <c r="J464" s="249">
        <f t="shared" si="34"/>
        <v>45646</v>
      </c>
      <c r="K464" s="249"/>
      <c r="L464" s="147"/>
      <c r="M464" s="197">
        <v>0</v>
      </c>
      <c r="N464" s="197">
        <f>916.5-139.8</f>
        <v>776.7</v>
      </c>
      <c r="O464" s="198">
        <f t="shared" si="33"/>
        <v>776.7</v>
      </c>
      <c r="P464" s="199">
        <v>139.80000000000001</v>
      </c>
      <c r="Q464" s="199">
        <v>0</v>
      </c>
      <c r="R464" s="199">
        <v>0</v>
      </c>
      <c r="S464">
        <v>0</v>
      </c>
      <c r="T464" s="200" t="str">
        <f>IFERROR(VLOOKUP($A464,Tabla3[#All],2,0),"no esta registrado")</f>
        <v>no esta registrado</v>
      </c>
    </row>
    <row r="465" spans="1:20" ht="16.5" hidden="1" x14ac:dyDescent="0.3">
      <c r="A465" s="230" t="s">
        <v>1672</v>
      </c>
      <c r="B465" s="193">
        <v>1</v>
      </c>
      <c r="C465" s="194">
        <v>2</v>
      </c>
      <c r="D465" s="195" t="str">
        <f>IF(C465=1,Leyenda!$C$3,IF(C465=2,Leyenda!$C$4,IF(C465=3,Leyenda!$C$5,IF(C465=4,Leyenda!$C$6,IF(C465=5,Leyenda!$C$7,IF(C465=6,Leyenda!$C$8,IF(C465=7,Leyenda!$C$9,IF(C465=8,Leyenda!$C$10," "))))))))&amp;IF(C465=9,Leyenda!$C$11,IF(C465=10,Leyenda!$C$12,IF(C465=11,Leyenda!$C$13,IF(C465=12,Leyenda!D522," "))))</f>
        <v xml:space="preserve">GASTOS POR TRABAJOS, SUMINISTROS Y SERVICIOS </v>
      </c>
      <c r="E465" s="196" t="s">
        <v>1674</v>
      </c>
      <c r="F465" s="247">
        <v>45635</v>
      </c>
      <c r="G465" s="247" t="str">
        <f t="shared" si="31"/>
        <v>diciembre</v>
      </c>
      <c r="H465" s="191">
        <v>20</v>
      </c>
      <c r="I465" s="148" t="str">
        <f>TEXT(gastos[[#This Row],[Fecha]],"DDDD")</f>
        <v>viernes</v>
      </c>
      <c r="J465" s="249">
        <f t="shared" si="34"/>
        <v>45646</v>
      </c>
      <c r="K465" s="249"/>
      <c r="L465" s="147"/>
      <c r="M465" s="197">
        <v>0</v>
      </c>
      <c r="N465" s="197">
        <f>3500.5-533.98</f>
        <v>2966.52</v>
      </c>
      <c r="O465" s="198">
        <f t="shared" si="33"/>
        <v>2966.52</v>
      </c>
      <c r="P465" s="199">
        <v>533.98</v>
      </c>
      <c r="Q465" s="199">
        <v>0</v>
      </c>
      <c r="R465" s="199">
        <v>0</v>
      </c>
      <c r="S465">
        <v>0</v>
      </c>
      <c r="T465" s="200" t="str">
        <f>IFERROR(VLOOKUP($A465,Tabla3[#All],2,0),"no esta registrado")</f>
        <v>no esta registrado</v>
      </c>
    </row>
    <row r="466" spans="1:20" ht="16.5" hidden="1" x14ac:dyDescent="0.3">
      <c r="A466" s="230" t="s">
        <v>711</v>
      </c>
      <c r="B466" s="193">
        <v>1</v>
      </c>
      <c r="C466" s="194">
        <v>2</v>
      </c>
      <c r="D466" s="195" t="str">
        <f>IF(C466=1,Leyenda!$C$3,IF(C466=2,Leyenda!$C$4,IF(C466=3,Leyenda!$C$5,IF(C466=4,Leyenda!$C$6,IF(C466=5,Leyenda!$C$7,IF(C466=6,Leyenda!$C$8,IF(C466=7,Leyenda!$C$9,IF(C466=8,Leyenda!$C$10," "))))))))&amp;IF(C466=9,Leyenda!$C$11,IF(C466=10,Leyenda!$C$12,IF(C466=11,Leyenda!$C$13,IF(C466=12,Leyenda!D523," "))))</f>
        <v xml:space="preserve">GASTOS POR TRABAJOS, SUMINISTROS Y SERVICIOS </v>
      </c>
      <c r="E466" s="196" t="s">
        <v>1675</v>
      </c>
      <c r="F466" s="247">
        <v>45635</v>
      </c>
      <c r="G466" s="247" t="str">
        <f t="shared" si="31"/>
        <v>diciembre</v>
      </c>
      <c r="H466" s="191">
        <v>22</v>
      </c>
      <c r="I466" s="148" t="str">
        <f>TEXT(gastos[[#This Row],[Fecha]],"DDDD")</f>
        <v>domingo</v>
      </c>
      <c r="J466" s="249">
        <f t="shared" si="34"/>
        <v>45648</v>
      </c>
      <c r="K466" s="249"/>
      <c r="L466" s="147"/>
      <c r="M466" s="197">
        <v>0</v>
      </c>
      <c r="N466" s="197">
        <f>4995-761.95</f>
        <v>4233.05</v>
      </c>
      <c r="O466" s="198">
        <f t="shared" si="33"/>
        <v>4233.05</v>
      </c>
      <c r="P466" s="199">
        <v>761.95</v>
      </c>
      <c r="Q466" s="199">
        <v>0</v>
      </c>
      <c r="R466" s="199">
        <v>0</v>
      </c>
      <c r="S466">
        <v>0</v>
      </c>
      <c r="T466" s="200" t="str">
        <f>IFERROR(VLOOKUP($A466,Tabla3[#All],2,0),"no esta registrado")</f>
        <v>Antonio Chahin M., S.A.//Anthony s</v>
      </c>
    </row>
    <row r="467" spans="1:20" ht="16.5" hidden="1" x14ac:dyDescent="0.3">
      <c r="A467" s="231" t="s">
        <v>711</v>
      </c>
      <c r="B467" s="193">
        <v>1</v>
      </c>
      <c r="C467" s="194">
        <v>2</v>
      </c>
      <c r="D467" s="195" t="str">
        <f>IF(C467=1,Leyenda!$C$3,IF(C467=2,Leyenda!$C$4,IF(C467=3,Leyenda!$C$5,IF(C467=4,Leyenda!$C$6,IF(C467=5,Leyenda!$C$7,IF(C467=6,Leyenda!$C$8,IF(C467=7,Leyenda!$C$9,IF(C467=8,Leyenda!$C$10," "))))))))&amp;IF(C467=9,Leyenda!$C$11,IF(C467=10,Leyenda!$C$12,IF(C467=11,Leyenda!$C$13,IF(C467=12,Leyenda!D524," "))))</f>
        <v xml:space="preserve">GASTOS POR TRABAJOS, SUMINISTROS Y SERVICIOS </v>
      </c>
      <c r="E467" s="196" t="s">
        <v>1676</v>
      </c>
      <c r="F467" s="247">
        <v>45635</v>
      </c>
      <c r="G467" s="247" t="str">
        <f t="shared" si="31"/>
        <v>diciembre</v>
      </c>
      <c r="H467" s="191">
        <v>22</v>
      </c>
      <c r="I467" s="148" t="str">
        <f>TEXT(gastos[[#This Row],[Fecha]],"DDDD")</f>
        <v>domingo</v>
      </c>
      <c r="J467" s="249">
        <f t="shared" si="34"/>
        <v>45648</v>
      </c>
      <c r="K467" s="249"/>
      <c r="L467" s="147"/>
      <c r="M467" s="197">
        <v>0</v>
      </c>
      <c r="N467" s="197">
        <v>3000</v>
      </c>
      <c r="O467" s="198">
        <f t="shared" si="33"/>
        <v>3000</v>
      </c>
      <c r="P467" s="199">
        <v>0</v>
      </c>
      <c r="Q467" s="199">
        <v>0</v>
      </c>
      <c r="R467" s="199">
        <v>0</v>
      </c>
      <c r="S467">
        <v>0</v>
      </c>
      <c r="T467" s="200" t="str">
        <f>IFERROR(VLOOKUP($A467,Tabla3[#All],2,0),"no esta registrado")</f>
        <v>Antonio Chahin M., S.A.//Anthony s</v>
      </c>
    </row>
    <row r="468" spans="1:20" ht="16.5" hidden="1" x14ac:dyDescent="0.3">
      <c r="A468" s="230" t="s">
        <v>1303</v>
      </c>
      <c r="B468" s="193">
        <v>1</v>
      </c>
      <c r="C468" s="194">
        <v>2</v>
      </c>
      <c r="D468" s="195" t="str">
        <f>IF(C468=1,Leyenda!$C$3,IF(C468=2,Leyenda!$C$4,IF(C468=3,Leyenda!$C$5,IF(C468=4,Leyenda!$C$6,IF(C468=5,Leyenda!$C$7,IF(C468=6,Leyenda!$C$8,IF(C468=7,Leyenda!$C$9,IF(C468=8,Leyenda!$C$10," "))))))))&amp;IF(C468=9,Leyenda!$C$11,IF(C468=10,Leyenda!$C$12,IF(C468=11,Leyenda!$C$13,IF(C468=12,Leyenda!D525," "))))</f>
        <v xml:space="preserve">GASTOS POR TRABAJOS, SUMINISTROS Y SERVICIOS </v>
      </c>
      <c r="E468" s="196" t="s">
        <v>1677</v>
      </c>
      <c r="F468" s="247">
        <v>45635</v>
      </c>
      <c r="G468" s="247" t="str">
        <f t="shared" si="31"/>
        <v>diciembre</v>
      </c>
      <c r="H468" s="191">
        <v>23</v>
      </c>
      <c r="I468" s="148" t="str">
        <f>TEXT(gastos[[#This Row],[Fecha]],"DDDD")</f>
        <v>lunes</v>
      </c>
      <c r="J468" s="249">
        <f t="shared" si="34"/>
        <v>45649</v>
      </c>
      <c r="K468" s="249"/>
      <c r="L468" s="147"/>
      <c r="M468" s="197">
        <v>0</v>
      </c>
      <c r="N468" s="197">
        <f>3140-180.26</f>
        <v>2959.74</v>
      </c>
      <c r="O468" s="198">
        <f t="shared" si="33"/>
        <v>2959.74</v>
      </c>
      <c r="P468" s="199">
        <v>180.26</v>
      </c>
      <c r="Q468" s="199">
        <v>0</v>
      </c>
      <c r="R468" s="199">
        <v>0</v>
      </c>
      <c r="S468">
        <v>0</v>
      </c>
      <c r="T468" s="200" t="str">
        <f>IFERROR(VLOOKUP($A468,Tabla3[#All],2,0),"no esta registrado")</f>
        <v>no esta registrado</v>
      </c>
    </row>
    <row r="469" spans="1:20" ht="16.5" hidden="1" x14ac:dyDescent="0.3">
      <c r="A469" s="230" t="s">
        <v>1461</v>
      </c>
      <c r="B469" s="193">
        <v>1</v>
      </c>
      <c r="C469" s="194">
        <v>2</v>
      </c>
      <c r="D469" s="195" t="str">
        <f>IF(C469=1,Leyenda!$C$3,IF(C469=2,Leyenda!$C$4,IF(C469=3,Leyenda!$C$5,IF(C469=4,Leyenda!$C$6,IF(C469=5,Leyenda!$C$7,IF(C469=6,Leyenda!$C$8,IF(C469=7,Leyenda!$C$9,IF(C469=8,Leyenda!$C$10," "))))))))&amp;IF(C469=9,Leyenda!$C$11,IF(C469=10,Leyenda!$C$12,IF(C469=11,Leyenda!$C$13,IF(C469=12,Leyenda!D526," "))))</f>
        <v xml:space="preserve">GASTOS POR TRABAJOS, SUMINISTROS Y SERVICIOS </v>
      </c>
      <c r="E469" s="196" t="s">
        <v>1678</v>
      </c>
      <c r="F469" s="247">
        <v>45635</v>
      </c>
      <c r="G469" s="247" t="str">
        <f t="shared" ref="G469:G488" si="35">TEXT(F469,"MMMM")</f>
        <v>diciembre</v>
      </c>
      <c r="H469" s="191">
        <v>6</v>
      </c>
      <c r="I469" s="148" t="str">
        <f>TEXT(gastos[[#This Row],[Fecha]],"DDDD")</f>
        <v>viernes</v>
      </c>
      <c r="J469" s="249">
        <f t="shared" si="34"/>
        <v>45632</v>
      </c>
      <c r="K469" s="249"/>
      <c r="L469" s="147"/>
      <c r="M469" s="197">
        <v>0</v>
      </c>
      <c r="N469" s="197">
        <f>319+1412.09</f>
        <v>1731.09</v>
      </c>
      <c r="O469" s="198">
        <f t="shared" si="33"/>
        <v>1731.09</v>
      </c>
      <c r="P469" s="199">
        <v>252.88</v>
      </c>
      <c r="Q469" s="199">
        <v>0</v>
      </c>
      <c r="R469" s="199">
        <v>0</v>
      </c>
      <c r="S469">
        <v>0</v>
      </c>
      <c r="T469" s="200" t="str">
        <f>IFERROR(VLOOKUP($A469,Tabla3[#All],2,0),"no esta registrado")</f>
        <v>no esta registrado</v>
      </c>
    </row>
    <row r="470" spans="1:20" ht="16.5" hidden="1" x14ac:dyDescent="0.3">
      <c r="A470" s="230" t="s">
        <v>1300</v>
      </c>
      <c r="B470" s="193">
        <v>1</v>
      </c>
      <c r="C470" s="194">
        <v>2</v>
      </c>
      <c r="D470" s="195" t="str">
        <f>IF(C470=1,Leyenda!$C$3,IF(C470=2,Leyenda!$C$4,IF(C470=3,Leyenda!$C$5,IF(C470=4,Leyenda!$C$6,IF(C470=5,Leyenda!$C$7,IF(C470=6,Leyenda!$C$8,IF(C470=7,Leyenda!$C$9,IF(C470=8,Leyenda!$C$10," "))))))))&amp;IF(C470=9,Leyenda!$C$11,IF(C470=10,Leyenda!$C$12,IF(C470=11,Leyenda!$C$13,IF(C470=12,Leyenda!D527," "))))</f>
        <v xml:space="preserve">GASTOS POR TRABAJOS, SUMINISTROS Y SERVICIOS </v>
      </c>
      <c r="E470" s="196" t="s">
        <v>1679</v>
      </c>
      <c r="F470" s="247">
        <v>45635</v>
      </c>
      <c r="G470" s="247" t="str">
        <f t="shared" si="35"/>
        <v>diciembre</v>
      </c>
      <c r="H470" s="191">
        <v>2</v>
      </c>
      <c r="I470" s="148" t="str">
        <f>TEXT(gastos[[#This Row],[Fecha]],"DDDD")</f>
        <v>lunes</v>
      </c>
      <c r="J470" s="249">
        <f t="shared" si="34"/>
        <v>45628</v>
      </c>
      <c r="K470" s="249"/>
      <c r="L470" s="147"/>
      <c r="M470" s="197">
        <v>0</v>
      </c>
      <c r="N470" s="197">
        <v>1037.28</v>
      </c>
      <c r="O470" s="198">
        <f t="shared" si="33"/>
        <v>1037.28</v>
      </c>
      <c r="P470" s="199">
        <v>186.72</v>
      </c>
      <c r="Q470" s="199">
        <v>0</v>
      </c>
      <c r="R470" s="199">
        <v>0</v>
      </c>
      <c r="S470">
        <v>0</v>
      </c>
      <c r="T470" s="200" t="str">
        <f>IFERROR(VLOOKUP($A470,Tabla3[#All],2,0),"no esta registrado")</f>
        <v>no esta registrado</v>
      </c>
    </row>
    <row r="471" spans="1:20" ht="16.5" hidden="1" x14ac:dyDescent="0.3">
      <c r="A471" s="230" t="s">
        <v>675</v>
      </c>
      <c r="B471" s="193">
        <v>1</v>
      </c>
      <c r="C471" s="194">
        <v>2</v>
      </c>
      <c r="D471" s="195" t="str">
        <f>IF(C471=1,Leyenda!$C$3,IF(C471=2,Leyenda!$C$4,IF(C471=3,Leyenda!$C$5,IF(C471=4,Leyenda!$C$6,IF(C471=5,Leyenda!$C$7,IF(C471=6,Leyenda!$C$8,IF(C471=7,Leyenda!$C$9,IF(C471=8,Leyenda!$C$10," "))))))))&amp;IF(C471=9,Leyenda!$C$11,IF(C471=10,Leyenda!$C$12,IF(C471=11,Leyenda!$C$13,IF(C471=12,Leyenda!D528," "))))</f>
        <v xml:space="preserve">GASTOS POR TRABAJOS, SUMINISTROS Y SERVICIOS </v>
      </c>
      <c r="E471" s="196" t="s">
        <v>1680</v>
      </c>
      <c r="F471" s="247">
        <v>45635</v>
      </c>
      <c r="G471" s="247" t="str">
        <f t="shared" si="35"/>
        <v>diciembre</v>
      </c>
      <c r="H471" s="191">
        <v>9</v>
      </c>
      <c r="I471" s="148" t="str">
        <f>TEXT(gastos[[#This Row],[Fecha]],"DDDD")</f>
        <v>lunes</v>
      </c>
      <c r="J471" s="249">
        <f t="shared" si="34"/>
        <v>45635</v>
      </c>
      <c r="K471" s="249"/>
      <c r="L471" s="147"/>
      <c r="M471" s="197">
        <v>0</v>
      </c>
      <c r="N471" s="197">
        <f>930-141.85</f>
        <v>788.15</v>
      </c>
      <c r="O471" s="198">
        <f t="shared" si="33"/>
        <v>788.15</v>
      </c>
      <c r="P471" s="199">
        <v>141.85</v>
      </c>
      <c r="Q471" s="199">
        <v>0</v>
      </c>
      <c r="R471" s="199">
        <v>0</v>
      </c>
      <c r="S471">
        <v>0</v>
      </c>
      <c r="T471" s="200" t="str">
        <f>IFERROR(VLOOKUP($A471,Tabla3[#All],2,0),"no esta registrado")</f>
        <v>Encajes La Rosario, S.R.L.</v>
      </c>
    </row>
    <row r="472" spans="1:20" ht="16.5" hidden="1" x14ac:dyDescent="0.3">
      <c r="A472" s="230" t="s">
        <v>504</v>
      </c>
      <c r="B472" s="193">
        <v>1</v>
      </c>
      <c r="C472" s="194">
        <v>2</v>
      </c>
      <c r="D472" s="195" t="str">
        <f>IF(C472=1,Leyenda!$C$3,IF(C472=2,Leyenda!$C$4,IF(C472=3,Leyenda!$C$5,IF(C472=4,Leyenda!$C$6,IF(C472=5,Leyenda!$C$7,IF(C472=6,Leyenda!$C$8,IF(C472=7,Leyenda!$C$9,IF(C472=8,Leyenda!$C$10," "))))))))&amp;IF(C472=9,Leyenda!$C$11,IF(C472=10,Leyenda!$C$12,IF(C472=11,Leyenda!$C$13,IF(C472=12,Leyenda!D529," "))))</f>
        <v xml:space="preserve">GASTOS POR TRABAJOS, SUMINISTROS Y SERVICIOS </v>
      </c>
      <c r="E472" s="196" t="s">
        <v>1681</v>
      </c>
      <c r="F472" s="247">
        <v>45635</v>
      </c>
      <c r="G472" s="247" t="str">
        <f t="shared" si="35"/>
        <v>diciembre</v>
      </c>
      <c r="H472" s="191">
        <v>2</v>
      </c>
      <c r="I472" s="148" t="str">
        <f>TEXT(gastos[[#This Row],[Fecha]],"DDDD")</f>
        <v>lunes</v>
      </c>
      <c r="J472" s="249">
        <f t="shared" si="34"/>
        <v>45628</v>
      </c>
      <c r="K472" s="249"/>
      <c r="L472" s="147"/>
      <c r="M472" s="197">
        <v>0</v>
      </c>
      <c r="N472" s="197">
        <f>1583.19-96.39</f>
        <v>1486.8</v>
      </c>
      <c r="O472" s="198">
        <f t="shared" si="33"/>
        <v>1486.8</v>
      </c>
      <c r="P472" s="199">
        <v>96.39</v>
      </c>
      <c r="Q472" s="199">
        <v>0</v>
      </c>
      <c r="R472" s="199">
        <v>0</v>
      </c>
      <c r="S472">
        <v>0</v>
      </c>
      <c r="T472" s="200" t="str">
        <f>IFERROR(VLOOKUP($A472,Tabla3[#All],2,0),"no esta registrado")</f>
        <v>Centro Cuesta Nacional S.A.S.//Supermercados Nacional//Casa Cuesta//Ferretería Cuesta//JUMBO//Bebemundo</v>
      </c>
    </row>
    <row r="473" spans="1:20" ht="16.5" hidden="1" x14ac:dyDescent="0.3">
      <c r="A473" s="230" t="s">
        <v>511</v>
      </c>
      <c r="B473" s="193">
        <v>1</v>
      </c>
      <c r="C473" s="194">
        <v>2</v>
      </c>
      <c r="D473" s="195" t="str">
        <f>IF(C473=1,Leyenda!$C$3,IF(C473=2,Leyenda!$C$4,IF(C473=3,Leyenda!$C$5,IF(C473=4,Leyenda!$C$6,IF(C473=5,Leyenda!$C$7,IF(C473=6,Leyenda!$C$8,IF(C473=7,Leyenda!$C$9,IF(C473=8,Leyenda!$C$10," "))))))))&amp;IF(C473=9,Leyenda!$C$11,IF(C473=10,Leyenda!$C$12,IF(C473=11,Leyenda!$C$13,IF(C473=12,Leyenda!D530," "))))</f>
        <v xml:space="preserve">GASTOS POR TRABAJOS, SUMINISTROS Y SERVICIOS </v>
      </c>
      <c r="E473" s="196" t="s">
        <v>1682</v>
      </c>
      <c r="F473" s="247">
        <v>45635</v>
      </c>
      <c r="G473" s="247" t="str">
        <f t="shared" si="35"/>
        <v>diciembre</v>
      </c>
      <c r="H473" s="191">
        <v>16</v>
      </c>
      <c r="I473" s="148" t="str">
        <f>TEXT(gastos[[#This Row],[Fecha]],"DDDD")</f>
        <v>lunes</v>
      </c>
      <c r="J473" s="249">
        <f t="shared" si="34"/>
        <v>45642</v>
      </c>
      <c r="K473" s="249"/>
      <c r="L473" s="147"/>
      <c r="M473" s="197">
        <v>0</v>
      </c>
      <c r="N473" s="197">
        <f>5661-529.08</f>
        <v>5131.92</v>
      </c>
      <c r="O473" s="198">
        <f t="shared" si="33"/>
        <v>5131.92</v>
      </c>
      <c r="P473" s="199">
        <v>529.08000000000004</v>
      </c>
      <c r="Q473" s="199">
        <v>0</v>
      </c>
      <c r="R473" s="199">
        <v>0</v>
      </c>
      <c r="S473">
        <v>0</v>
      </c>
      <c r="T473" s="200" t="str">
        <f>IFERROR(VLOOKUP($A473,Tabla3[#All],2,0),"no esta registrado")</f>
        <v>Bravo, S.A.//Supermercados Bravo</v>
      </c>
    </row>
    <row r="474" spans="1:20" ht="16.5" hidden="1" x14ac:dyDescent="0.3">
      <c r="A474" s="230" t="s">
        <v>507</v>
      </c>
      <c r="B474" s="193">
        <v>1</v>
      </c>
      <c r="C474" s="194">
        <v>2</v>
      </c>
      <c r="D474" s="195" t="str">
        <f>IF(C474=1,Leyenda!$C$3,IF(C474=2,Leyenda!$C$4,IF(C474=3,Leyenda!$C$5,IF(C474=4,Leyenda!$C$6,IF(C474=5,Leyenda!$C$7,IF(C474=6,Leyenda!$C$8,IF(C474=7,Leyenda!$C$9,IF(C474=8,Leyenda!$C$10," "))))))))&amp;IF(C474=9,Leyenda!$C$11,IF(C474=10,Leyenda!$C$12,IF(C474=11,Leyenda!$C$13,IF(C474=12,Leyenda!D531," "))))</f>
        <v xml:space="preserve">GASTOS POR TRABAJOS, SUMINISTROS Y SERVICIOS </v>
      </c>
      <c r="E474" s="196" t="s">
        <v>1683</v>
      </c>
      <c r="F474" s="247">
        <v>45635</v>
      </c>
      <c r="G474" s="247" t="str">
        <f t="shared" si="35"/>
        <v>diciembre</v>
      </c>
      <c r="H474" s="191">
        <v>10</v>
      </c>
      <c r="I474" s="148" t="str">
        <f>TEXT(gastos[[#This Row],[Fecha]],"DDDD")</f>
        <v>martes</v>
      </c>
      <c r="J474" s="249">
        <f t="shared" si="34"/>
        <v>45636</v>
      </c>
      <c r="K474" s="249"/>
      <c r="L474" s="147"/>
      <c r="M474" s="197">
        <v>0</v>
      </c>
      <c r="N474" s="197">
        <f>2030-309.66</f>
        <v>1720.34</v>
      </c>
      <c r="O474" s="198">
        <f t="shared" si="33"/>
        <v>1720.34</v>
      </c>
      <c r="P474" s="199">
        <v>309.66000000000003</v>
      </c>
      <c r="Q474" s="199">
        <v>0</v>
      </c>
      <c r="R474" s="199">
        <v>0</v>
      </c>
      <c r="S474">
        <v>0</v>
      </c>
      <c r="T474" s="200" t="str">
        <f>IFERROR(VLOOKUP($A474,Tabla3[#All],2,0),"no esta registrado")</f>
        <v>Grupo Ramos, S. A.//Super Pola//La Sirena</v>
      </c>
    </row>
    <row r="475" spans="1:20" ht="16.5" hidden="1" x14ac:dyDescent="0.3">
      <c r="A475" s="230" t="s">
        <v>517</v>
      </c>
      <c r="B475" s="193">
        <v>1</v>
      </c>
      <c r="C475" s="194">
        <v>2</v>
      </c>
      <c r="D475" s="195" t="str">
        <f>IF(C475=1,Leyenda!$C$3,IF(C475=2,Leyenda!$C$4,IF(C475=3,Leyenda!$C$5,IF(C475=4,Leyenda!$C$6,IF(C475=5,Leyenda!$C$7,IF(C475=6,Leyenda!$C$8,IF(C475=7,Leyenda!$C$9,IF(C475=8,Leyenda!$C$10," "))))))))&amp;IF(C475=9,Leyenda!$C$11,IF(C475=10,Leyenda!$C$12,IF(C475=11,Leyenda!$C$13,IF(C475=12,Leyenda!D532," "))))</f>
        <v xml:space="preserve">GASTOS POR TRABAJOS, SUMINISTROS Y SERVICIOS </v>
      </c>
      <c r="E475" s="196" t="s">
        <v>1684</v>
      </c>
      <c r="F475" s="247">
        <v>45635</v>
      </c>
      <c r="G475" s="247" t="str">
        <f t="shared" si="35"/>
        <v>diciembre</v>
      </c>
      <c r="H475" s="191">
        <v>2</v>
      </c>
      <c r="I475" s="148" t="str">
        <f>TEXT(gastos[[#This Row],[Fecha]],"DDDD")</f>
        <v>lunes</v>
      </c>
      <c r="J475" s="249">
        <f t="shared" si="34"/>
        <v>45628</v>
      </c>
      <c r="K475" s="249"/>
      <c r="L475" s="147"/>
      <c r="M475" s="197">
        <v>0</v>
      </c>
      <c r="N475" s="197">
        <f>8177.97+760</f>
        <v>8937.9700000000012</v>
      </c>
      <c r="O475" s="198">
        <f t="shared" si="33"/>
        <v>8937.9700000000012</v>
      </c>
      <c r="P475" s="199">
        <v>1472.03</v>
      </c>
      <c r="Q475" s="199">
        <v>0</v>
      </c>
      <c r="R475" s="199">
        <v>0</v>
      </c>
      <c r="S475">
        <v>0</v>
      </c>
      <c r="T475" s="200" t="str">
        <f>IFERROR(VLOOKUP($A475,Tabla3[#All],2,0),"no esta registrado")</f>
        <v>Pricesmart Dominicana S. A.</v>
      </c>
    </row>
    <row r="476" spans="1:20" ht="16.5" hidden="1" x14ac:dyDescent="0.3">
      <c r="A476" s="230" t="s">
        <v>511</v>
      </c>
      <c r="B476" s="193">
        <v>1</v>
      </c>
      <c r="C476" s="194">
        <v>2</v>
      </c>
      <c r="D476" s="195" t="str">
        <f>IF(C476=1,Leyenda!$C$3,IF(C476=2,Leyenda!$C$4,IF(C476=3,Leyenda!$C$5,IF(C476=4,Leyenda!$C$6,IF(C476=5,Leyenda!$C$7,IF(C476=6,Leyenda!$C$8,IF(C476=7,Leyenda!$C$9,IF(C476=8,Leyenda!$C$10," "))))))))&amp;IF(C476=9,Leyenda!$C$11,IF(C476=10,Leyenda!$C$12,IF(C476=11,Leyenda!$C$13,IF(C476=12,Leyenda!D533," "))))</f>
        <v xml:space="preserve">GASTOS POR TRABAJOS, SUMINISTROS Y SERVICIOS </v>
      </c>
      <c r="E476" s="196" t="s">
        <v>1685</v>
      </c>
      <c r="F476" s="247">
        <v>45635</v>
      </c>
      <c r="G476" s="247" t="str">
        <f t="shared" si="35"/>
        <v>diciembre</v>
      </c>
      <c r="H476" s="191">
        <v>7</v>
      </c>
      <c r="I476" s="148" t="str">
        <f>TEXT(gastos[[#This Row],[Fecha]],"DDDD")</f>
        <v>sábado</v>
      </c>
      <c r="J476" s="249">
        <f t="shared" si="34"/>
        <v>45633</v>
      </c>
      <c r="K476" s="249"/>
      <c r="L476" s="147"/>
      <c r="M476" s="197">
        <v>0</v>
      </c>
      <c r="N476" s="197">
        <f>13174-974.55</f>
        <v>12199.45</v>
      </c>
      <c r="O476" s="198">
        <f t="shared" si="33"/>
        <v>12199.45</v>
      </c>
      <c r="P476" s="199">
        <v>974.55</v>
      </c>
      <c r="Q476" s="199">
        <v>0</v>
      </c>
      <c r="R476" s="199">
        <v>0</v>
      </c>
      <c r="S476">
        <v>0</v>
      </c>
      <c r="T476" s="200" t="str">
        <f>IFERROR(VLOOKUP($A476,Tabla3[#All],2,0),"no esta registrado")</f>
        <v>Bravo, S.A.//Supermercados Bravo</v>
      </c>
    </row>
    <row r="477" spans="1:20" ht="16.5" hidden="1" x14ac:dyDescent="0.3">
      <c r="A477" s="230" t="s">
        <v>511</v>
      </c>
      <c r="B477" s="193">
        <v>1</v>
      </c>
      <c r="C477" s="194">
        <v>2</v>
      </c>
      <c r="D477" s="195" t="str">
        <f>IF(C477=1,Leyenda!$C$3,IF(C477=2,Leyenda!$C$4,IF(C477=3,Leyenda!$C$5,IF(C477=4,Leyenda!$C$6,IF(C477=5,Leyenda!$C$7,IF(C477=6,Leyenda!$C$8,IF(C477=7,Leyenda!$C$9,IF(C477=8,Leyenda!$C$10," "))))))))&amp;IF(C477=9,Leyenda!$C$11,IF(C477=10,Leyenda!$C$12,IF(C477=11,Leyenda!$C$13,IF(C477=12,Leyenda!D534," "))))</f>
        <v xml:space="preserve">GASTOS POR TRABAJOS, SUMINISTROS Y SERVICIOS </v>
      </c>
      <c r="E477" s="196" t="s">
        <v>1686</v>
      </c>
      <c r="F477" s="247">
        <v>45635</v>
      </c>
      <c r="G477" s="247" t="str">
        <f t="shared" si="35"/>
        <v>diciembre</v>
      </c>
      <c r="H477" s="191">
        <v>21</v>
      </c>
      <c r="I477" s="148" t="str">
        <f>TEXT(gastos[[#This Row],[Fecha]],"DDDD")</f>
        <v>sábado</v>
      </c>
      <c r="J477" s="249">
        <f t="shared" si="34"/>
        <v>45647</v>
      </c>
      <c r="K477" s="249"/>
      <c r="L477" s="147"/>
      <c r="M477" s="197">
        <v>0</v>
      </c>
      <c r="N477" s="197">
        <f>4477-440.1</f>
        <v>4036.9</v>
      </c>
      <c r="O477" s="198">
        <f t="shared" si="33"/>
        <v>4036.9</v>
      </c>
      <c r="P477" s="199">
        <v>440.1</v>
      </c>
      <c r="Q477" s="199">
        <v>0</v>
      </c>
      <c r="R477" s="199">
        <v>0</v>
      </c>
      <c r="S477">
        <v>0</v>
      </c>
      <c r="T477" s="200" t="str">
        <f>IFERROR(VLOOKUP($A477,Tabla3[#All],2,0),"no esta registrado")</f>
        <v>Bravo, S.A.//Supermercados Bravo</v>
      </c>
    </row>
    <row r="478" spans="1:20" ht="16.5" hidden="1" x14ac:dyDescent="0.3">
      <c r="A478" s="230" t="s">
        <v>511</v>
      </c>
      <c r="B478" s="193">
        <v>1</v>
      </c>
      <c r="C478" s="194">
        <v>2</v>
      </c>
      <c r="D478" s="195" t="str">
        <f>IF(C478=1,Leyenda!$C$3,IF(C478=2,Leyenda!$C$4,IF(C478=3,Leyenda!$C$5,IF(C478=4,Leyenda!$C$6,IF(C478=5,Leyenda!$C$7,IF(C478=6,Leyenda!$C$8,IF(C478=7,Leyenda!$C$9,IF(C478=8,Leyenda!$C$10," "))))))))&amp;IF(C478=9,Leyenda!$C$11,IF(C478=10,Leyenda!$C$12,IF(C478=11,Leyenda!$C$13,IF(C478=12,Leyenda!D535," "))))</f>
        <v xml:space="preserve">GASTOS POR TRABAJOS, SUMINISTROS Y SERVICIOS </v>
      </c>
      <c r="E478" s="196" t="s">
        <v>1687</v>
      </c>
      <c r="F478" s="247">
        <v>45635</v>
      </c>
      <c r="G478" s="247" t="str">
        <f t="shared" si="35"/>
        <v>diciembre</v>
      </c>
      <c r="H478" s="191">
        <v>31</v>
      </c>
      <c r="I478" s="148" t="str">
        <f>TEXT(gastos[[#This Row],[Fecha]],"DDDD")</f>
        <v>martes</v>
      </c>
      <c r="J478" s="249">
        <f t="shared" si="34"/>
        <v>45657</v>
      </c>
      <c r="K478" s="249"/>
      <c r="L478" s="147"/>
      <c r="M478" s="197">
        <v>0</v>
      </c>
      <c r="N478" s="197">
        <f>10281-690.46</f>
        <v>9590.5400000000009</v>
      </c>
      <c r="O478" s="198">
        <f t="shared" si="33"/>
        <v>9590.5400000000009</v>
      </c>
      <c r="P478" s="199">
        <v>690.46</v>
      </c>
      <c r="Q478" s="199">
        <v>0</v>
      </c>
      <c r="R478" s="199">
        <v>0</v>
      </c>
      <c r="S478">
        <v>0</v>
      </c>
      <c r="T478" s="200" t="str">
        <f>IFERROR(VLOOKUP($A478,Tabla3[#All],2,0),"no esta registrado")</f>
        <v>Bravo, S.A.//Supermercados Bravo</v>
      </c>
    </row>
    <row r="479" spans="1:20" ht="16.5" hidden="1" x14ac:dyDescent="0.3">
      <c r="A479" s="230" t="s">
        <v>495</v>
      </c>
      <c r="B479" s="193">
        <v>1</v>
      </c>
      <c r="C479" s="194">
        <v>2</v>
      </c>
      <c r="D479" s="195" t="str">
        <f>IF(C479=1,Leyenda!$C$3,IF(C479=2,Leyenda!$C$4,IF(C479=3,Leyenda!$C$5,IF(C479=4,Leyenda!$C$6,IF(C479=5,Leyenda!$C$7,IF(C479=6,Leyenda!$C$8,IF(C479=7,Leyenda!$C$9,IF(C479=8,Leyenda!$C$10," "))))))))&amp;IF(C479=9,Leyenda!$C$11,IF(C479=10,Leyenda!$C$12,IF(C479=11,Leyenda!$C$13,IF(C479=12,Leyenda!D536," "))))</f>
        <v xml:space="preserve">GASTOS POR TRABAJOS, SUMINISTROS Y SERVICIOS </v>
      </c>
      <c r="E479" s="196" t="s">
        <v>1688</v>
      </c>
      <c r="F479" s="247">
        <v>45635</v>
      </c>
      <c r="G479" s="247" t="str">
        <f t="shared" si="35"/>
        <v>diciembre</v>
      </c>
      <c r="H479" s="191">
        <v>7</v>
      </c>
      <c r="I479" s="148" t="str">
        <f>TEXT(gastos[[#This Row],[Fecha]],"DDDD")</f>
        <v>sábado</v>
      </c>
      <c r="J479" s="249">
        <f t="shared" si="34"/>
        <v>45633</v>
      </c>
      <c r="K479" s="249"/>
      <c r="L479" s="147"/>
      <c r="M479" s="197">
        <v>2407.69</v>
      </c>
      <c r="N479" s="197">
        <v>0</v>
      </c>
      <c r="O479" s="198">
        <f>SUM(M479:N479)</f>
        <v>2407.69</v>
      </c>
      <c r="P479" s="199">
        <v>433.39</v>
      </c>
      <c r="Q479" s="199">
        <v>0</v>
      </c>
      <c r="R479" s="199">
        <v>0</v>
      </c>
      <c r="S479">
        <v>0</v>
      </c>
      <c r="T479" s="200" t="str">
        <f>IFERROR(VLOOKUP($A479,Tabla3[#All],2,0),"no esta registrado")</f>
        <v>CLARO//CODETEL</v>
      </c>
    </row>
    <row r="480" spans="1:20" ht="16.5" hidden="1" x14ac:dyDescent="0.3">
      <c r="A480" s="230" t="s">
        <v>495</v>
      </c>
      <c r="B480" s="193">
        <v>1</v>
      </c>
      <c r="C480" s="194">
        <v>2</v>
      </c>
      <c r="D480" s="195" t="str">
        <f>IF(C480=1,Leyenda!$C$3,IF(C480=2,Leyenda!$C$4,IF(C480=3,Leyenda!$C$5,IF(C480=4,Leyenda!$C$6,IF(C480=5,Leyenda!$C$7,IF(C480=6,Leyenda!$C$8,IF(C480=7,Leyenda!$C$9,IF(C480=8,Leyenda!$C$10," "))))))))&amp;IF(C480=9,Leyenda!$C$11,IF(C480=10,Leyenda!$C$12,IF(C480=11,Leyenda!$C$13,IF(C480=12,Leyenda!D537," "))))</f>
        <v xml:space="preserve">GASTOS POR TRABAJOS, SUMINISTROS Y SERVICIOS </v>
      </c>
      <c r="E480" s="196" t="s">
        <v>1689</v>
      </c>
      <c r="F480" s="247">
        <v>45635</v>
      </c>
      <c r="G480" s="247" t="str">
        <f t="shared" si="35"/>
        <v>diciembre</v>
      </c>
      <c r="H480" s="191">
        <v>7</v>
      </c>
      <c r="I480" s="148" t="str">
        <f>TEXT(gastos[[#This Row],[Fecha]],"DDDD")</f>
        <v>sábado</v>
      </c>
      <c r="J480" s="249">
        <f t="shared" si="34"/>
        <v>45633</v>
      </c>
      <c r="K480" s="249"/>
      <c r="L480" s="147"/>
      <c r="M480" s="197">
        <v>1153.08</v>
      </c>
      <c r="N480" s="197">
        <v>0</v>
      </c>
      <c r="O480" s="198">
        <f>SUM(M480:N480)</f>
        <v>1153.08</v>
      </c>
      <c r="P480" s="199">
        <v>207.55</v>
      </c>
      <c r="Q480" s="199">
        <v>0</v>
      </c>
      <c r="R480" s="199">
        <v>0</v>
      </c>
      <c r="S480">
        <v>0</v>
      </c>
      <c r="T480" s="200" t="str">
        <f>IFERROR(VLOOKUP($A480,Tabla3[#All],2,0),"no esta registrado")</f>
        <v>CLARO//CODETEL</v>
      </c>
    </row>
    <row r="481" spans="1:20" ht="16.5" hidden="1" x14ac:dyDescent="0.3">
      <c r="A481" s="230" t="s">
        <v>486</v>
      </c>
      <c r="B481" s="193">
        <v>1</v>
      </c>
      <c r="C481" s="194">
        <v>2</v>
      </c>
      <c r="D481" s="195" t="str">
        <f>IF(C481=1,Leyenda!$C$3,IF(C481=2,Leyenda!$C$4,IF(C481=3,Leyenda!$C$5,IF(C481=4,Leyenda!$C$6,IF(C481=5,Leyenda!$C$7,IF(C481=6,Leyenda!$C$8,IF(C481=7,Leyenda!$C$9,IF(C481=8,Leyenda!$C$10," "))))))))&amp;IF(C481=9,Leyenda!$C$11,IF(C481=10,Leyenda!$C$12,IF(C481=11,Leyenda!$C$13,IF(C481=12,Leyenda!D538," "))))</f>
        <v xml:space="preserve">GASTOS POR TRABAJOS, SUMINISTROS Y SERVICIOS </v>
      </c>
      <c r="E481" s="196" t="s">
        <v>1690</v>
      </c>
      <c r="F481" s="247">
        <v>45635</v>
      </c>
      <c r="G481" s="247" t="str">
        <f t="shared" si="35"/>
        <v>diciembre</v>
      </c>
      <c r="H481" s="191">
        <v>26</v>
      </c>
      <c r="I481" s="148" t="str">
        <f>TEXT(gastos[[#This Row],[Fecha]],"DDDD")</f>
        <v>jueves</v>
      </c>
      <c r="J481" s="249">
        <f t="shared" si="34"/>
        <v>45652</v>
      </c>
      <c r="K481" s="249"/>
      <c r="L481" s="147"/>
      <c r="M481" s="197">
        <v>22687.5</v>
      </c>
      <c r="N481" s="197">
        <v>0</v>
      </c>
      <c r="O481" s="198">
        <f t="shared" si="33"/>
        <v>22687.5</v>
      </c>
      <c r="P481" s="199">
        <v>0</v>
      </c>
      <c r="Q481" s="199">
        <v>0</v>
      </c>
      <c r="R481" s="199">
        <v>0</v>
      </c>
      <c r="S481">
        <v>0</v>
      </c>
      <c r="T481" s="200" t="str">
        <f>IFERROR(VLOOKUP($A481,Tabla3[#All],2,0),"no esta registrado")</f>
        <v>Banco Multiple BHD León, S. A.</v>
      </c>
    </row>
    <row r="482" spans="1:20" ht="16.5" hidden="1" x14ac:dyDescent="0.3">
      <c r="A482" s="231" t="s">
        <v>486</v>
      </c>
      <c r="B482" s="193">
        <v>1</v>
      </c>
      <c r="C482" s="194">
        <v>7</v>
      </c>
      <c r="D482" s="195" t="str">
        <f>IF(C482=1,Leyenda!$C$3,IF(C482=2,Leyenda!$C$4,IF(C482=3,Leyenda!$C$5,IF(C482=4,Leyenda!$C$6,IF(C482=5,Leyenda!$C$7,IF(C482=6,Leyenda!$C$8,IF(C482=7,Leyenda!$C$9,IF(C482=8,Leyenda!$C$10," "))))))))&amp;IF(C482=9,Leyenda!$C$11,IF(C482=10,Leyenda!$C$12,IF(C482=11,Leyenda!$C$13,IF(C482=12,Leyenda!D539," "))))</f>
        <v xml:space="preserve">GASTOS FINANCIEROS </v>
      </c>
      <c r="E482" s="202" t="s">
        <v>1691</v>
      </c>
      <c r="F482" s="247">
        <v>45635</v>
      </c>
      <c r="G482" s="247" t="str">
        <f t="shared" si="35"/>
        <v>diciembre</v>
      </c>
      <c r="H482" s="203">
        <v>4</v>
      </c>
      <c r="I482" s="250" t="str">
        <f>TEXT(gastos[[#This Row],[Fecha]],"DDDD")</f>
        <v>miércoles</v>
      </c>
      <c r="J482" s="249">
        <f t="shared" si="34"/>
        <v>45630</v>
      </c>
      <c r="K482" s="249"/>
      <c r="L482" s="147"/>
      <c r="M482" s="197">
        <v>15208.33</v>
      </c>
      <c r="N482" s="197">
        <v>0</v>
      </c>
      <c r="O482" s="198">
        <f t="shared" si="33"/>
        <v>15208.33</v>
      </c>
      <c r="P482" s="199">
        <v>0</v>
      </c>
      <c r="Q482" s="199">
        <v>0</v>
      </c>
      <c r="R482" s="199">
        <v>0</v>
      </c>
      <c r="S482">
        <v>0</v>
      </c>
      <c r="T482" s="200" t="str">
        <f>IFERROR(VLOOKUP($A482,Tabla3[#All],2,0),"no esta registrado")</f>
        <v>Banco Multiple BHD León, S. A.</v>
      </c>
    </row>
    <row r="483" spans="1:20" ht="16.5" hidden="1" x14ac:dyDescent="0.3">
      <c r="A483" s="230" t="s">
        <v>486</v>
      </c>
      <c r="B483" s="193">
        <v>1</v>
      </c>
      <c r="C483" s="194">
        <v>7</v>
      </c>
      <c r="D483" s="195" t="str">
        <f>IF(C483=1,Leyenda!$C$3,IF(C483=2,Leyenda!$C$4,IF(C483=3,Leyenda!$C$5,IF(C483=4,Leyenda!$C$6,IF(C483=5,Leyenda!$C$7,IF(C483=6,Leyenda!$C$8,IF(C483=7,Leyenda!$C$9,IF(C483=8,Leyenda!$C$10," "))))))))&amp;IF(C483=9,Leyenda!$C$11,IF(C483=10,Leyenda!$C$12,IF(C483=11,Leyenda!$C$13,IF(C483=12,Leyenda!D540," "))))</f>
        <v xml:space="preserve">GASTOS FINANCIEROS </v>
      </c>
      <c r="E483" s="196" t="s">
        <v>1692</v>
      </c>
      <c r="F483" s="247">
        <v>45635</v>
      </c>
      <c r="G483" s="247" t="str">
        <f t="shared" si="35"/>
        <v>diciembre</v>
      </c>
      <c r="H483" s="191">
        <v>7</v>
      </c>
      <c r="I483" s="148" t="str">
        <f>TEXT(gastos[[#This Row],[Fecha]],"DDDD")</f>
        <v>sábado</v>
      </c>
      <c r="J483" s="249">
        <f t="shared" si="34"/>
        <v>45633</v>
      </c>
      <c r="K483" s="249"/>
      <c r="L483" s="147"/>
      <c r="M483" s="197">
        <v>1376.18</v>
      </c>
      <c r="N483" s="197">
        <v>0</v>
      </c>
      <c r="O483" s="198">
        <f t="shared" si="33"/>
        <v>1376.18</v>
      </c>
      <c r="P483" s="199">
        <v>0</v>
      </c>
      <c r="Q483" s="199">
        <v>0</v>
      </c>
      <c r="R483" s="199">
        <v>0</v>
      </c>
      <c r="S483">
        <v>0</v>
      </c>
      <c r="T483" s="200" t="str">
        <f>IFERROR(VLOOKUP($A483,Tabla3[#All],2,0),"no esta registrado")</f>
        <v>Banco Multiple BHD León, S. A.</v>
      </c>
    </row>
    <row r="484" spans="1:20" ht="16.5" hidden="1" x14ac:dyDescent="0.3">
      <c r="A484" s="230" t="s">
        <v>486</v>
      </c>
      <c r="B484" s="193">
        <v>1</v>
      </c>
      <c r="C484" s="194">
        <v>7</v>
      </c>
      <c r="D484" s="195" t="str">
        <f>IF(C484=1,Leyenda!$C$3,IF(C484=2,Leyenda!$C$4,IF(C484=3,Leyenda!$C$5,IF(C484=4,Leyenda!$C$6,IF(C484=5,Leyenda!$C$7,IF(C484=6,Leyenda!$C$8,IF(C484=7,Leyenda!$C$9,IF(C484=8,Leyenda!$C$10," "))))))))&amp;IF(C484=9,Leyenda!$C$11,IF(C484=10,Leyenda!$C$12,IF(C484=11,Leyenda!$C$13,IF(C484=12,Leyenda!D541," "))))</f>
        <v xml:space="preserve">GASTOS FINANCIEROS </v>
      </c>
      <c r="E484" s="196" t="s">
        <v>1693</v>
      </c>
      <c r="F484" s="247">
        <v>45635</v>
      </c>
      <c r="G484" s="247" t="str">
        <f t="shared" si="35"/>
        <v>diciembre</v>
      </c>
      <c r="H484" s="191">
        <v>7</v>
      </c>
      <c r="I484" s="148" t="str">
        <f>TEXT(gastos[[#This Row],[Fecha]],"DDDD")</f>
        <v>sábado</v>
      </c>
      <c r="J484" s="249">
        <f t="shared" si="34"/>
        <v>45633</v>
      </c>
      <c r="K484" s="249"/>
      <c r="L484" s="147"/>
      <c r="M484" s="197">
        <v>1908.23</v>
      </c>
      <c r="N484" s="197">
        <v>0</v>
      </c>
      <c r="O484" s="198">
        <f t="shared" si="33"/>
        <v>1908.23</v>
      </c>
      <c r="P484" s="199">
        <v>0</v>
      </c>
      <c r="Q484" s="199">
        <v>0</v>
      </c>
      <c r="R484" s="199">
        <v>0</v>
      </c>
      <c r="S484">
        <v>0</v>
      </c>
      <c r="T484" s="200" t="str">
        <f>IFERROR(VLOOKUP($A484,Tabla3[#All],2,0),"no esta registrado")</f>
        <v>Banco Multiple BHD León, S. A.</v>
      </c>
    </row>
    <row r="485" spans="1:20" ht="16.5" hidden="1" x14ac:dyDescent="0.3">
      <c r="A485" s="230" t="s">
        <v>489</v>
      </c>
      <c r="B485" s="193">
        <v>1</v>
      </c>
      <c r="C485" s="194">
        <v>7</v>
      </c>
      <c r="D485" s="195" t="str">
        <f>IF(C485=1,Leyenda!$C$3,IF(C485=2,Leyenda!$C$4,IF(C485=3,Leyenda!$C$5,IF(C485=4,Leyenda!$C$6,IF(C485=5,Leyenda!$C$7,IF(C485=6,Leyenda!$C$8,IF(C485=7,Leyenda!$C$9,IF(C485=8,Leyenda!$C$10," "))))))))&amp;IF(C485=9,Leyenda!$C$11,IF(C485=10,Leyenda!$C$12,IF(C485=11,Leyenda!$C$13,IF(C485=12,Leyenda!D542," "))))</f>
        <v xml:space="preserve">GASTOS FINANCIEROS </v>
      </c>
      <c r="E485" s="196" t="s">
        <v>1694</v>
      </c>
      <c r="F485" s="247">
        <v>45635</v>
      </c>
      <c r="G485" s="247" t="str">
        <f t="shared" si="35"/>
        <v>diciembre</v>
      </c>
      <c r="H485" s="191">
        <v>31</v>
      </c>
      <c r="I485" s="148" t="str">
        <f>TEXT(gastos[[#This Row],[Fecha]],"DDDD")</f>
        <v>martes</v>
      </c>
      <c r="J485" s="249">
        <f t="shared" si="34"/>
        <v>45657</v>
      </c>
      <c r="K485" s="249"/>
      <c r="L485" s="147"/>
      <c r="M485" s="197">
        <v>11624.14</v>
      </c>
      <c r="N485" s="197">
        <v>0</v>
      </c>
      <c r="O485" s="198">
        <f t="shared" si="33"/>
        <v>11624.14</v>
      </c>
      <c r="P485" s="199">
        <v>0</v>
      </c>
      <c r="Q485" s="199">
        <v>0</v>
      </c>
      <c r="R485" s="199">
        <v>0</v>
      </c>
      <c r="S485">
        <v>0</v>
      </c>
      <c r="T485" s="200" t="str">
        <f>IFERROR(VLOOKUP($A485,Tabla3[#All],2,0),"no esta registrado")</f>
        <v>Banco Popular Dominicano, S. A. Banco Multiple</v>
      </c>
    </row>
    <row r="486" spans="1:20" ht="16.5" hidden="1" x14ac:dyDescent="0.3">
      <c r="A486" s="230" t="s">
        <v>492</v>
      </c>
      <c r="B486" s="193">
        <v>1</v>
      </c>
      <c r="C486" s="194">
        <v>7</v>
      </c>
      <c r="D486" s="195" t="str">
        <f>IF(C486=1,Leyenda!$C$3,IF(C486=2,Leyenda!$C$4,IF(C486=3,Leyenda!$C$5,IF(C486=4,Leyenda!$C$6,IF(C486=5,Leyenda!$C$7,IF(C486=6,Leyenda!$C$8,IF(C486=7,Leyenda!$C$9,IF(C486=8,Leyenda!$C$10," "))))))))&amp;IF(C486=9,Leyenda!$C$11,IF(C486=10,Leyenda!$C$12,IF(C486=11,Leyenda!$C$13,IF(C486=12,Leyenda!D543," "))))</f>
        <v xml:space="preserve">GASTOS FINANCIEROS </v>
      </c>
      <c r="E486" s="202" t="s">
        <v>1695</v>
      </c>
      <c r="F486" s="247">
        <v>45635</v>
      </c>
      <c r="G486" s="247" t="str">
        <f t="shared" si="35"/>
        <v>diciembre</v>
      </c>
      <c r="H486" s="191">
        <v>31</v>
      </c>
      <c r="I486" s="148" t="str">
        <f>TEXT(gastos[[#This Row],[Fecha]],"DDDD")</f>
        <v>martes</v>
      </c>
      <c r="J486" s="249">
        <f t="shared" si="34"/>
        <v>45657</v>
      </c>
      <c r="K486" s="249"/>
      <c r="L486" s="147"/>
      <c r="M486" s="197">
        <v>400</v>
      </c>
      <c r="N486" s="197">
        <v>0</v>
      </c>
      <c r="O486" s="198">
        <f t="shared" si="33"/>
        <v>400</v>
      </c>
      <c r="P486" s="199">
        <v>0</v>
      </c>
      <c r="Q486" s="199">
        <v>0</v>
      </c>
      <c r="R486" s="199">
        <v>0</v>
      </c>
      <c r="S486">
        <v>0</v>
      </c>
      <c r="T486" s="200" t="str">
        <f>IFERROR(VLOOKUP($A486,Tabla3[#All],2,0),"no esta registrado")</f>
        <v>Banco Dominicano del Progreso, S. A.//Banco Multiple</v>
      </c>
    </row>
    <row r="487" spans="1:20" ht="16.5" hidden="1" x14ac:dyDescent="0.3">
      <c r="A487" s="231" t="s">
        <v>492</v>
      </c>
      <c r="B487" s="193">
        <v>1</v>
      </c>
      <c r="C487" s="194">
        <v>7</v>
      </c>
      <c r="D487" s="195" t="str">
        <f>IF(C487=1,Leyenda!$C$3,IF(C487=2,Leyenda!$C$4,IF(C487=3,Leyenda!$C$5,IF(C487=4,Leyenda!$C$6,IF(C487=5,Leyenda!$C$7,IF(C487=6,Leyenda!$C$8,IF(C487=7,Leyenda!$C$9,IF(C487=8,Leyenda!$C$10," "))))))))&amp;IF(C487=9,Leyenda!$C$11,IF(C487=10,Leyenda!$C$12,IF(C487=11,Leyenda!$C$13,IF(C487=12,Leyenda!D544," "))))</f>
        <v xml:space="preserve">GASTOS FINANCIEROS </v>
      </c>
      <c r="E487" s="202" t="s">
        <v>1696</v>
      </c>
      <c r="F487" s="247">
        <v>45635</v>
      </c>
      <c r="G487" s="247" t="str">
        <f t="shared" si="35"/>
        <v>diciembre</v>
      </c>
      <c r="H487" s="191">
        <v>16</v>
      </c>
      <c r="I487" s="148" t="str">
        <f>TEXT(gastos[[#This Row],[Fecha]],"DDDD")</f>
        <v>lunes</v>
      </c>
      <c r="J487" s="249">
        <f t="shared" si="34"/>
        <v>45642</v>
      </c>
      <c r="K487" s="249"/>
      <c r="L487" s="147"/>
      <c r="M487" s="197">
        <v>66.930000000000007</v>
      </c>
      <c r="N487" s="197">
        <v>0</v>
      </c>
      <c r="O487" s="198">
        <f t="shared" si="33"/>
        <v>66.930000000000007</v>
      </c>
      <c r="P487" s="199">
        <v>0</v>
      </c>
      <c r="Q487" s="199">
        <v>0</v>
      </c>
      <c r="R487" s="199">
        <v>0</v>
      </c>
      <c r="S487">
        <v>0</v>
      </c>
      <c r="T487" s="200" t="str">
        <f>IFERROR(VLOOKUP($A487,Tabla3[#All],2,0),"no esta registrado")</f>
        <v>Banco Dominicano del Progreso, S. A.//Banco Multiple</v>
      </c>
    </row>
    <row r="488" spans="1:20" ht="16.5" hidden="1" x14ac:dyDescent="0.3">
      <c r="A488" s="231" t="s">
        <v>492</v>
      </c>
      <c r="B488" s="193">
        <v>1</v>
      </c>
      <c r="C488" s="194">
        <v>7</v>
      </c>
      <c r="D488" s="195" t="str">
        <f>IF(C488=1,Leyenda!$C$3,IF(C488=2,Leyenda!$C$4,IF(C488=3,Leyenda!$C$5,IF(C488=4,Leyenda!$C$6,IF(C488=5,Leyenda!$C$7,IF(C488=6,Leyenda!$C$8,IF(C488=7,Leyenda!$C$9,IF(C488=8,Leyenda!$C$10," "))))))))&amp;IF(C488=9,Leyenda!$C$11,IF(C488=10,Leyenda!$C$12,IF(C488=11,Leyenda!$C$13,IF(C488=12,Leyenda!D545," "))))</f>
        <v xml:space="preserve">GASTOS FINANCIEROS </v>
      </c>
      <c r="E488" s="202" t="s">
        <v>1697</v>
      </c>
      <c r="F488" s="247">
        <v>45635</v>
      </c>
      <c r="G488" s="247" t="str">
        <f t="shared" si="35"/>
        <v>diciembre</v>
      </c>
      <c r="H488" s="191">
        <v>16</v>
      </c>
      <c r="I488" s="148" t="str">
        <f>TEXT(gastos[[#This Row],[Fecha]],"DDDD")</f>
        <v>lunes</v>
      </c>
      <c r="J488" s="249">
        <f t="shared" si="34"/>
        <v>45642</v>
      </c>
      <c r="K488" s="249"/>
      <c r="L488" s="147"/>
      <c r="M488" s="197">
        <v>23281.3</v>
      </c>
      <c r="N488" s="197">
        <v>0</v>
      </c>
      <c r="O488" s="198">
        <f t="shared" si="33"/>
        <v>23281.3</v>
      </c>
      <c r="P488" s="199">
        <v>0</v>
      </c>
      <c r="Q488" s="199">
        <v>0</v>
      </c>
      <c r="R488" s="199">
        <v>0</v>
      </c>
      <c r="S488">
        <v>0</v>
      </c>
      <c r="T488" s="200" t="str">
        <f>IFERROR(VLOOKUP($A488,Tabla3[#All],2,0),"no esta registrado")</f>
        <v>Banco Dominicano del Progreso, S. A.//Banco Multiple</v>
      </c>
    </row>
  </sheetData>
  <dataConsolidate>
    <dataRefs count="2">
      <dataRef ref="G1:G488" sheet="Gastos2024"/>
      <dataRef ref="G4:G488" sheet="Gastos2024"/>
    </dataRefs>
  </dataConsolidate>
  <dataValidations disablePrompts="1" count="1">
    <dataValidation type="textLength" allowBlank="1" showInputMessage="1" showErrorMessage="1" errorTitle="Validacion RNC o Cedula " error="La longitud de Este Campo es la Siguiente:_x000a__x000a_RNC = 9 Posiciones _x000a_Cedula = 11 posiciones" promptTitle="Validacion RNC o Cedula " prompt="La longitud de Este Campo es la Siguiente:_x000a__x000a_RNC = 9 Posiciones _x000a_Cedula = 11 posiciones" sqref="A65203 IL65196 SH65196 ACD65196 ALZ65196 AVV65196 BFR65196 BPN65196 BZJ65196 CJF65196 CTB65196 DCX65196 DMT65196 DWP65196 EGL65196 EQH65196 FAD65196 FJZ65196 FTV65196 GDR65196 GNN65196 GXJ65196 HHF65196 HRB65196 IAX65196 IKT65196 IUP65196 JEL65196 JOH65196 JYD65196 KHZ65196 KRV65196 LBR65196 LLN65196 LVJ65196 MFF65196 MPB65196 MYX65196 NIT65196 NSP65196 OCL65196 OMH65196 OWD65196 PFZ65196 PPV65196 PZR65196 QJN65196 QTJ65196 RDF65196 RNB65196 RWX65196 SGT65196 SQP65196 TAL65196 TKH65196 TUD65196 UDZ65196 UNV65196 UXR65196 VHN65196 VRJ65196 WBF65196 WLB65196 WUX65196 A130739 IL130732 SH130732 ACD130732 ALZ130732 AVV130732 BFR130732 BPN130732 BZJ130732 CJF130732 CTB130732 DCX130732 DMT130732 DWP130732 EGL130732 EQH130732 FAD130732 FJZ130732 FTV130732 GDR130732 GNN130732 GXJ130732 HHF130732 HRB130732 IAX130732 IKT130732 IUP130732 JEL130732 JOH130732 JYD130732 KHZ130732 KRV130732 LBR130732 LLN130732 LVJ130732 MFF130732 MPB130732 MYX130732 NIT130732 NSP130732 OCL130732 OMH130732 OWD130732 PFZ130732 PPV130732 PZR130732 QJN130732 QTJ130732 RDF130732 RNB130732 RWX130732 SGT130732 SQP130732 TAL130732 TKH130732 TUD130732 UDZ130732 UNV130732 UXR130732 VHN130732 VRJ130732 WBF130732 WLB130732 WUX130732 A196275 IL196268 SH196268 ACD196268 ALZ196268 AVV196268 BFR196268 BPN196268 BZJ196268 CJF196268 CTB196268 DCX196268 DMT196268 DWP196268 EGL196268 EQH196268 FAD196268 FJZ196268 FTV196268 GDR196268 GNN196268 GXJ196268 HHF196268 HRB196268 IAX196268 IKT196268 IUP196268 JEL196268 JOH196268 JYD196268 KHZ196268 KRV196268 LBR196268 LLN196268 LVJ196268 MFF196268 MPB196268 MYX196268 NIT196268 NSP196268 OCL196268 OMH196268 OWD196268 PFZ196268 PPV196268 PZR196268 QJN196268 QTJ196268 RDF196268 RNB196268 RWX196268 SGT196268 SQP196268 TAL196268 TKH196268 TUD196268 UDZ196268 UNV196268 UXR196268 VHN196268 VRJ196268 WBF196268 WLB196268 WUX196268 A261811 IL261804 SH261804 ACD261804 ALZ261804 AVV261804 BFR261804 BPN261804 BZJ261804 CJF261804 CTB261804 DCX261804 DMT261804 DWP261804 EGL261804 EQH261804 FAD261804 FJZ261804 FTV261804 GDR261804 GNN261804 GXJ261804 HHF261804 HRB261804 IAX261804 IKT261804 IUP261804 JEL261804 JOH261804 JYD261804 KHZ261804 KRV261804 LBR261804 LLN261804 LVJ261804 MFF261804 MPB261804 MYX261804 NIT261804 NSP261804 OCL261804 OMH261804 OWD261804 PFZ261804 PPV261804 PZR261804 QJN261804 QTJ261804 RDF261804 RNB261804 RWX261804 SGT261804 SQP261804 TAL261804 TKH261804 TUD261804 UDZ261804 UNV261804 UXR261804 VHN261804 VRJ261804 WBF261804 WLB261804 WUX261804 A327347 IL327340 SH327340 ACD327340 ALZ327340 AVV327340 BFR327340 BPN327340 BZJ327340 CJF327340 CTB327340 DCX327340 DMT327340 DWP327340 EGL327340 EQH327340 FAD327340 FJZ327340 FTV327340 GDR327340 GNN327340 GXJ327340 HHF327340 HRB327340 IAX327340 IKT327340 IUP327340 JEL327340 JOH327340 JYD327340 KHZ327340 KRV327340 LBR327340 LLN327340 LVJ327340 MFF327340 MPB327340 MYX327340 NIT327340 NSP327340 OCL327340 OMH327340 OWD327340 PFZ327340 PPV327340 PZR327340 QJN327340 QTJ327340 RDF327340 RNB327340 RWX327340 SGT327340 SQP327340 TAL327340 TKH327340 TUD327340 UDZ327340 UNV327340 UXR327340 VHN327340 VRJ327340 WBF327340 WLB327340 WUX327340 A392883 IL392876 SH392876 ACD392876 ALZ392876 AVV392876 BFR392876 BPN392876 BZJ392876 CJF392876 CTB392876 DCX392876 DMT392876 DWP392876 EGL392876 EQH392876 FAD392876 FJZ392876 FTV392876 GDR392876 GNN392876 GXJ392876 HHF392876 HRB392876 IAX392876 IKT392876 IUP392876 JEL392876 JOH392876 JYD392876 KHZ392876 KRV392876 LBR392876 LLN392876 LVJ392876 MFF392876 MPB392876 MYX392876 NIT392876 NSP392876 OCL392876 OMH392876 OWD392876 PFZ392876 PPV392876 PZR392876 QJN392876 QTJ392876 RDF392876 RNB392876 RWX392876 SGT392876 SQP392876 TAL392876 TKH392876 TUD392876 UDZ392876 UNV392876 UXR392876 VHN392876 VRJ392876 WBF392876 WLB392876 WUX392876 A458419 IL458412 SH458412 ACD458412 ALZ458412 AVV458412 BFR458412 BPN458412 BZJ458412 CJF458412 CTB458412 DCX458412 DMT458412 DWP458412 EGL458412 EQH458412 FAD458412 FJZ458412 FTV458412 GDR458412 GNN458412 GXJ458412 HHF458412 HRB458412 IAX458412 IKT458412 IUP458412 JEL458412 JOH458412 JYD458412 KHZ458412 KRV458412 LBR458412 LLN458412 LVJ458412 MFF458412 MPB458412 MYX458412 NIT458412 NSP458412 OCL458412 OMH458412 OWD458412 PFZ458412 PPV458412 PZR458412 QJN458412 QTJ458412 RDF458412 RNB458412 RWX458412 SGT458412 SQP458412 TAL458412 TKH458412 TUD458412 UDZ458412 UNV458412 UXR458412 VHN458412 VRJ458412 WBF458412 WLB458412 WUX458412 A523955 IL523948 SH523948 ACD523948 ALZ523948 AVV523948 BFR523948 BPN523948 BZJ523948 CJF523948 CTB523948 DCX523948 DMT523948 DWP523948 EGL523948 EQH523948 FAD523948 FJZ523948 FTV523948 GDR523948 GNN523948 GXJ523948 HHF523948 HRB523948 IAX523948 IKT523948 IUP523948 JEL523948 JOH523948 JYD523948 KHZ523948 KRV523948 LBR523948 LLN523948 LVJ523948 MFF523948 MPB523948 MYX523948 NIT523948 NSP523948 OCL523948 OMH523948 OWD523948 PFZ523948 PPV523948 PZR523948 QJN523948 QTJ523948 RDF523948 RNB523948 RWX523948 SGT523948 SQP523948 TAL523948 TKH523948 TUD523948 UDZ523948 UNV523948 UXR523948 VHN523948 VRJ523948 WBF523948 WLB523948 WUX523948 A589491 IL589484 SH589484 ACD589484 ALZ589484 AVV589484 BFR589484 BPN589484 BZJ589484 CJF589484 CTB589484 DCX589484 DMT589484 DWP589484 EGL589484 EQH589484 FAD589484 FJZ589484 FTV589484 GDR589484 GNN589484 GXJ589484 HHF589484 HRB589484 IAX589484 IKT589484 IUP589484 JEL589484 JOH589484 JYD589484 KHZ589484 KRV589484 LBR589484 LLN589484 LVJ589484 MFF589484 MPB589484 MYX589484 NIT589484 NSP589484 OCL589484 OMH589484 OWD589484 PFZ589484 PPV589484 PZR589484 QJN589484 QTJ589484 RDF589484 RNB589484 RWX589484 SGT589484 SQP589484 TAL589484 TKH589484 TUD589484 UDZ589484 UNV589484 UXR589484 VHN589484 VRJ589484 WBF589484 WLB589484 WUX589484 A655027 IL655020 SH655020 ACD655020 ALZ655020 AVV655020 BFR655020 BPN655020 BZJ655020 CJF655020 CTB655020 DCX655020 DMT655020 DWP655020 EGL655020 EQH655020 FAD655020 FJZ655020 FTV655020 GDR655020 GNN655020 GXJ655020 HHF655020 HRB655020 IAX655020 IKT655020 IUP655020 JEL655020 JOH655020 JYD655020 KHZ655020 KRV655020 LBR655020 LLN655020 LVJ655020 MFF655020 MPB655020 MYX655020 NIT655020 NSP655020 OCL655020 OMH655020 OWD655020 PFZ655020 PPV655020 PZR655020 QJN655020 QTJ655020 RDF655020 RNB655020 RWX655020 SGT655020 SQP655020 TAL655020 TKH655020 TUD655020 UDZ655020 UNV655020 UXR655020 VHN655020 VRJ655020 WBF655020 WLB655020 WUX655020 A720563 IL720556 SH720556 ACD720556 ALZ720556 AVV720556 BFR720556 BPN720556 BZJ720556 CJF720556 CTB720556 DCX720556 DMT720556 DWP720556 EGL720556 EQH720556 FAD720556 FJZ720556 FTV720556 GDR720556 GNN720556 GXJ720556 HHF720556 HRB720556 IAX720556 IKT720556 IUP720556 JEL720556 JOH720556 JYD720556 KHZ720556 KRV720556 LBR720556 LLN720556 LVJ720556 MFF720556 MPB720556 MYX720556 NIT720556 NSP720556 OCL720556 OMH720556 OWD720556 PFZ720556 PPV720556 PZR720556 QJN720556 QTJ720556 RDF720556 RNB720556 RWX720556 SGT720556 SQP720556 TAL720556 TKH720556 TUD720556 UDZ720556 UNV720556 UXR720556 VHN720556 VRJ720556 WBF720556 WLB720556 WUX720556 A786099 IL786092 SH786092 ACD786092 ALZ786092 AVV786092 BFR786092 BPN786092 BZJ786092 CJF786092 CTB786092 DCX786092 DMT786092 DWP786092 EGL786092 EQH786092 FAD786092 FJZ786092 FTV786092 GDR786092 GNN786092 GXJ786092 HHF786092 HRB786092 IAX786092 IKT786092 IUP786092 JEL786092 JOH786092 JYD786092 KHZ786092 KRV786092 LBR786092 LLN786092 LVJ786092 MFF786092 MPB786092 MYX786092 NIT786092 NSP786092 OCL786092 OMH786092 OWD786092 PFZ786092 PPV786092 PZR786092 QJN786092 QTJ786092 RDF786092 RNB786092 RWX786092 SGT786092 SQP786092 TAL786092 TKH786092 TUD786092 UDZ786092 UNV786092 UXR786092 VHN786092 VRJ786092 WBF786092 WLB786092 WUX786092 A851635 IL851628 SH851628 ACD851628 ALZ851628 AVV851628 BFR851628 BPN851628 BZJ851628 CJF851628 CTB851628 DCX851628 DMT851628 DWP851628 EGL851628 EQH851628 FAD851628 FJZ851628 FTV851628 GDR851628 GNN851628 GXJ851628 HHF851628 HRB851628 IAX851628 IKT851628 IUP851628 JEL851628 JOH851628 JYD851628 KHZ851628 KRV851628 LBR851628 LLN851628 LVJ851628 MFF851628 MPB851628 MYX851628 NIT851628 NSP851628 OCL851628 OMH851628 OWD851628 PFZ851628 PPV851628 PZR851628 QJN851628 QTJ851628 RDF851628 RNB851628 RWX851628 SGT851628 SQP851628 TAL851628 TKH851628 TUD851628 UDZ851628 UNV851628 UXR851628 VHN851628 VRJ851628 WBF851628 WLB851628 WUX851628 A917171 IL917164 SH917164 ACD917164 ALZ917164 AVV917164 BFR917164 BPN917164 BZJ917164 CJF917164 CTB917164 DCX917164 DMT917164 DWP917164 EGL917164 EQH917164 FAD917164 FJZ917164 FTV917164 GDR917164 GNN917164 GXJ917164 HHF917164 HRB917164 IAX917164 IKT917164 IUP917164 JEL917164 JOH917164 JYD917164 KHZ917164 KRV917164 LBR917164 LLN917164 LVJ917164 MFF917164 MPB917164 MYX917164 NIT917164 NSP917164 OCL917164 OMH917164 OWD917164 PFZ917164 PPV917164 PZR917164 QJN917164 QTJ917164 RDF917164 RNB917164 RWX917164 SGT917164 SQP917164 TAL917164 TKH917164 TUD917164 UDZ917164 UNV917164 UXR917164 VHN917164 VRJ917164 WBF917164 WLB917164 WUX917164 A982707 IL982700 SH982700 ACD982700 ALZ982700 AVV982700 BFR982700 BPN982700 BZJ982700 CJF982700 CTB982700 DCX982700 DMT982700 DWP982700 EGL982700 EQH982700 FAD982700 FJZ982700 FTV982700 GDR982700 GNN982700 GXJ982700 HHF982700 HRB982700 IAX982700 IKT982700 IUP982700 JEL982700 JOH982700 JYD982700 KHZ982700 KRV982700 LBR982700 LLN982700 LVJ982700 MFF982700 MPB982700 MYX982700 NIT982700 NSP982700 OCL982700 OMH982700 OWD982700 PFZ982700 PPV982700 PZR982700 QJN982700 QTJ982700 RDF982700 RNB982700 RWX982700 SGT982700 SQP982700 TAL982700 TKH982700 TUD982700 UDZ982700 UNV982700 UXR982700 VHN982700 VRJ982700 WBF982700 WLB982700 WUX982700" xr:uid="{B99A59AE-921B-4C77-AB60-393E5F1EA450}">
      <formula1>9</formula1>
      <formula2>11</formula2>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C086-74C8-48CF-8ED4-3FB66C646E4B}">
  <sheetPr>
    <tabColor theme="3" tint="-0.499984740745262"/>
  </sheetPr>
  <dimension ref="A1:AJ1850"/>
  <sheetViews>
    <sheetView workbookViewId="0">
      <selection activeCell="AF38" sqref="A38:AH41"/>
    </sheetView>
  </sheetViews>
  <sheetFormatPr baseColWidth="10" defaultColWidth="11.42578125" defaultRowHeight="15" x14ac:dyDescent="0.25"/>
  <cols>
    <col min="5" max="5" width="17.5703125" customWidth="1"/>
    <col min="6" max="6" width="9.28515625" customWidth="1"/>
    <col min="7" max="7" width="34.85546875" customWidth="1"/>
    <col min="8" max="8" width="40.7109375" customWidth="1"/>
    <col min="9" max="9" width="23.28515625" customWidth="1"/>
    <col min="10" max="10" width="11.42578125" hidden="1" customWidth="1"/>
    <col min="11" max="11" width="21.42578125" customWidth="1"/>
    <col min="12" max="12" width="12" style="191" customWidth="1"/>
    <col min="13" max="13" width="8.7109375" hidden="1" customWidth="1"/>
    <col min="14" max="14" width="4.7109375" style="191" hidden="1" customWidth="1"/>
    <col min="15" max="15" width="30.5703125" customWidth="1"/>
    <col min="16" max="16" width="28.28515625" customWidth="1"/>
    <col min="17" max="17" width="24" customWidth="1"/>
    <col min="18" max="18" width="17.7109375" customWidth="1"/>
    <col min="19" max="20" width="11.42578125" hidden="1" customWidth="1"/>
    <col min="21" max="21" width="23" customWidth="1"/>
    <col min="22" max="26" width="11.42578125" hidden="1" customWidth="1"/>
    <col min="27" max="27" width="31.85546875" customWidth="1"/>
    <col min="28" max="28" width="21.85546875" bestFit="1" customWidth="1"/>
    <col min="29" max="29" width="29.42578125" bestFit="1" customWidth="1"/>
    <col min="30" max="30" width="14.85546875" bestFit="1" customWidth="1"/>
    <col min="31" max="32" width="10.85546875" bestFit="1" customWidth="1"/>
    <col min="33" max="33" width="17.5703125" bestFit="1" customWidth="1"/>
    <col min="34" max="34" width="10.85546875" bestFit="1" customWidth="1"/>
    <col min="35" max="35" width="12.5703125" bestFit="1" customWidth="1"/>
    <col min="36" max="36" width="7" bestFit="1" customWidth="1"/>
    <col min="37" max="37" width="8" bestFit="1" customWidth="1"/>
    <col min="38" max="38" width="22" bestFit="1" customWidth="1"/>
    <col min="39" max="39" width="20.140625" bestFit="1" customWidth="1"/>
    <col min="40" max="40" width="7.140625" bestFit="1" customWidth="1"/>
    <col min="41" max="41" width="19" bestFit="1" customWidth="1"/>
    <col min="42" max="42" width="5.7109375" bestFit="1" customWidth="1"/>
    <col min="43" max="43" width="9" bestFit="1" customWidth="1"/>
    <col min="44" max="44" width="7.42578125" bestFit="1" customWidth="1"/>
    <col min="45" max="45" width="11" bestFit="1" customWidth="1"/>
    <col min="46" max="46" width="12.5703125" bestFit="1" customWidth="1"/>
    <col min="261" max="261" width="13.5703125" bestFit="1" customWidth="1"/>
    <col min="262" max="262" width="7.140625" bestFit="1" customWidth="1"/>
    <col min="264" max="264" width="40.7109375" customWidth="1"/>
    <col min="265" max="265" width="23.28515625" customWidth="1"/>
    <col min="266" max="266" width="0" hidden="1" customWidth="1"/>
    <col min="267" max="267" width="8.7109375" customWidth="1"/>
    <col min="268" max="268" width="4.7109375" customWidth="1"/>
    <col min="269" max="270" width="0" hidden="1" customWidth="1"/>
    <col min="272" max="272" width="11.7109375" customWidth="1"/>
    <col min="273" max="274" width="11.5703125" customWidth="1"/>
    <col min="275" max="276" width="0" hidden="1" customWidth="1"/>
    <col min="277" max="277" width="14.140625" customWidth="1"/>
    <col min="278" max="282" width="0" hidden="1" customWidth="1"/>
    <col min="284" max="284" width="14.28515625" customWidth="1"/>
    <col min="287" max="287" width="62.7109375" bestFit="1" customWidth="1"/>
    <col min="517" max="517" width="13.5703125" bestFit="1" customWidth="1"/>
    <col min="518" max="518" width="7.140625" bestFit="1" customWidth="1"/>
    <col min="520" max="520" width="40.7109375" customWidth="1"/>
    <col min="521" max="521" width="23.28515625" customWidth="1"/>
    <col min="522" max="522" width="0" hidden="1" customWidth="1"/>
    <col min="523" max="523" width="8.7109375" customWidth="1"/>
    <col min="524" max="524" width="4.7109375" customWidth="1"/>
    <col min="525" max="526" width="0" hidden="1" customWidth="1"/>
    <col min="528" max="528" width="11.7109375" customWidth="1"/>
    <col min="529" max="530" width="11.5703125" customWidth="1"/>
    <col min="531" max="532" width="0" hidden="1" customWidth="1"/>
    <col min="533" max="533" width="14.140625" customWidth="1"/>
    <col min="534" max="538" width="0" hidden="1" customWidth="1"/>
    <col min="540" max="540" width="14.28515625" customWidth="1"/>
    <col min="543" max="543" width="62.7109375" bestFit="1" customWidth="1"/>
    <col min="773" max="773" width="13.5703125" bestFit="1" customWidth="1"/>
    <col min="774" max="774" width="7.140625" bestFit="1" customWidth="1"/>
    <col min="776" max="776" width="40.7109375" customWidth="1"/>
    <col min="777" max="777" width="23.28515625" customWidth="1"/>
    <col min="778" max="778" width="0" hidden="1" customWidth="1"/>
    <col min="779" max="779" width="8.7109375" customWidth="1"/>
    <col min="780" max="780" width="4.7109375" customWidth="1"/>
    <col min="781" max="782" width="0" hidden="1" customWidth="1"/>
    <col min="784" max="784" width="11.7109375" customWidth="1"/>
    <col min="785" max="786" width="11.5703125" customWidth="1"/>
    <col min="787" max="788" width="0" hidden="1" customWidth="1"/>
    <col min="789" max="789" width="14.140625" customWidth="1"/>
    <col min="790" max="794" width="0" hidden="1" customWidth="1"/>
    <col min="796" max="796" width="14.28515625" customWidth="1"/>
    <col min="799" max="799" width="62.7109375" bestFit="1" customWidth="1"/>
    <col min="1029" max="1029" width="13.5703125" bestFit="1" customWidth="1"/>
    <col min="1030" max="1030" width="7.140625" bestFit="1" customWidth="1"/>
    <col min="1032" max="1032" width="40.7109375" customWidth="1"/>
    <col min="1033" max="1033" width="23.28515625" customWidth="1"/>
    <col min="1034" max="1034" width="0" hidden="1" customWidth="1"/>
    <col min="1035" max="1035" width="8.7109375" customWidth="1"/>
    <col min="1036" max="1036" width="4.7109375" customWidth="1"/>
    <col min="1037" max="1038" width="0" hidden="1" customWidth="1"/>
    <col min="1040" max="1040" width="11.7109375" customWidth="1"/>
    <col min="1041" max="1042" width="11.5703125" customWidth="1"/>
    <col min="1043" max="1044" width="0" hidden="1" customWidth="1"/>
    <col min="1045" max="1045" width="14.140625" customWidth="1"/>
    <col min="1046" max="1050" width="0" hidden="1" customWidth="1"/>
    <col min="1052" max="1052" width="14.28515625" customWidth="1"/>
    <col min="1055" max="1055" width="62.7109375" bestFit="1" customWidth="1"/>
    <col min="1285" max="1285" width="13.5703125" bestFit="1" customWidth="1"/>
    <col min="1286" max="1286" width="7.140625" bestFit="1" customWidth="1"/>
    <col min="1288" max="1288" width="40.7109375" customWidth="1"/>
    <col min="1289" max="1289" width="23.28515625" customWidth="1"/>
    <col min="1290" max="1290" width="0" hidden="1" customWidth="1"/>
    <col min="1291" max="1291" width="8.7109375" customWidth="1"/>
    <col min="1292" max="1292" width="4.7109375" customWidth="1"/>
    <col min="1293" max="1294" width="0" hidden="1" customWidth="1"/>
    <col min="1296" max="1296" width="11.7109375" customWidth="1"/>
    <col min="1297" max="1298" width="11.5703125" customWidth="1"/>
    <col min="1299" max="1300" width="0" hidden="1" customWidth="1"/>
    <col min="1301" max="1301" width="14.140625" customWidth="1"/>
    <col min="1302" max="1306" width="0" hidden="1" customWidth="1"/>
    <col min="1308" max="1308" width="14.28515625" customWidth="1"/>
    <col min="1311" max="1311" width="62.7109375" bestFit="1" customWidth="1"/>
    <col min="1541" max="1541" width="13.5703125" bestFit="1" customWidth="1"/>
    <col min="1542" max="1542" width="7.140625" bestFit="1" customWidth="1"/>
    <col min="1544" max="1544" width="40.7109375" customWidth="1"/>
    <col min="1545" max="1545" width="23.28515625" customWidth="1"/>
    <col min="1546" max="1546" width="0" hidden="1" customWidth="1"/>
    <col min="1547" max="1547" width="8.7109375" customWidth="1"/>
    <col min="1548" max="1548" width="4.7109375" customWidth="1"/>
    <col min="1549" max="1550" width="0" hidden="1" customWidth="1"/>
    <col min="1552" max="1552" width="11.7109375" customWidth="1"/>
    <col min="1553" max="1554" width="11.5703125" customWidth="1"/>
    <col min="1555" max="1556" width="0" hidden="1" customWidth="1"/>
    <col min="1557" max="1557" width="14.140625" customWidth="1"/>
    <col min="1558" max="1562" width="0" hidden="1" customWidth="1"/>
    <col min="1564" max="1564" width="14.28515625" customWidth="1"/>
    <col min="1567" max="1567" width="62.7109375" bestFit="1" customWidth="1"/>
    <col min="1797" max="1797" width="13.5703125" bestFit="1" customWidth="1"/>
    <col min="1798" max="1798" width="7.140625" bestFit="1" customWidth="1"/>
    <col min="1800" max="1800" width="40.7109375" customWidth="1"/>
    <col min="1801" max="1801" width="23.28515625" customWidth="1"/>
    <col min="1802" max="1802" width="0" hidden="1" customWidth="1"/>
    <col min="1803" max="1803" width="8.7109375" customWidth="1"/>
    <col min="1804" max="1804" width="4.7109375" customWidth="1"/>
    <col min="1805" max="1806" width="0" hidden="1" customWidth="1"/>
    <col min="1808" max="1808" width="11.7109375" customWidth="1"/>
    <col min="1809" max="1810" width="11.5703125" customWidth="1"/>
    <col min="1811" max="1812" width="0" hidden="1" customWidth="1"/>
    <col min="1813" max="1813" width="14.140625" customWidth="1"/>
    <col min="1814" max="1818" width="0" hidden="1" customWidth="1"/>
    <col min="1820" max="1820" width="14.28515625" customWidth="1"/>
    <col min="1823" max="1823" width="62.7109375" bestFit="1" customWidth="1"/>
    <col min="2053" max="2053" width="13.5703125" bestFit="1" customWidth="1"/>
    <col min="2054" max="2054" width="7.140625" bestFit="1" customWidth="1"/>
    <col min="2056" max="2056" width="40.7109375" customWidth="1"/>
    <col min="2057" max="2057" width="23.28515625" customWidth="1"/>
    <col min="2058" max="2058" width="0" hidden="1" customWidth="1"/>
    <col min="2059" max="2059" width="8.7109375" customWidth="1"/>
    <col min="2060" max="2060" width="4.7109375" customWidth="1"/>
    <col min="2061" max="2062" width="0" hidden="1" customWidth="1"/>
    <col min="2064" max="2064" width="11.7109375" customWidth="1"/>
    <col min="2065" max="2066" width="11.5703125" customWidth="1"/>
    <col min="2067" max="2068" width="0" hidden="1" customWidth="1"/>
    <col min="2069" max="2069" width="14.140625" customWidth="1"/>
    <col min="2070" max="2074" width="0" hidden="1" customWidth="1"/>
    <col min="2076" max="2076" width="14.28515625" customWidth="1"/>
    <col min="2079" max="2079" width="62.7109375" bestFit="1" customWidth="1"/>
    <col min="2309" max="2309" width="13.5703125" bestFit="1" customWidth="1"/>
    <col min="2310" max="2310" width="7.140625" bestFit="1" customWidth="1"/>
    <col min="2312" max="2312" width="40.7109375" customWidth="1"/>
    <col min="2313" max="2313" width="23.28515625" customWidth="1"/>
    <col min="2314" max="2314" width="0" hidden="1" customWidth="1"/>
    <col min="2315" max="2315" width="8.7109375" customWidth="1"/>
    <col min="2316" max="2316" width="4.7109375" customWidth="1"/>
    <col min="2317" max="2318" width="0" hidden="1" customWidth="1"/>
    <col min="2320" max="2320" width="11.7109375" customWidth="1"/>
    <col min="2321" max="2322" width="11.5703125" customWidth="1"/>
    <col min="2323" max="2324" width="0" hidden="1" customWidth="1"/>
    <col min="2325" max="2325" width="14.140625" customWidth="1"/>
    <col min="2326" max="2330" width="0" hidden="1" customWidth="1"/>
    <col min="2332" max="2332" width="14.28515625" customWidth="1"/>
    <col min="2335" max="2335" width="62.7109375" bestFit="1" customWidth="1"/>
    <col min="2565" max="2565" width="13.5703125" bestFit="1" customWidth="1"/>
    <col min="2566" max="2566" width="7.140625" bestFit="1" customWidth="1"/>
    <col min="2568" max="2568" width="40.7109375" customWidth="1"/>
    <col min="2569" max="2569" width="23.28515625" customWidth="1"/>
    <col min="2570" max="2570" width="0" hidden="1" customWidth="1"/>
    <col min="2571" max="2571" width="8.7109375" customWidth="1"/>
    <col min="2572" max="2572" width="4.7109375" customWidth="1"/>
    <col min="2573" max="2574" width="0" hidden="1" customWidth="1"/>
    <col min="2576" max="2576" width="11.7109375" customWidth="1"/>
    <col min="2577" max="2578" width="11.5703125" customWidth="1"/>
    <col min="2579" max="2580" width="0" hidden="1" customWidth="1"/>
    <col min="2581" max="2581" width="14.140625" customWidth="1"/>
    <col min="2582" max="2586" width="0" hidden="1" customWidth="1"/>
    <col min="2588" max="2588" width="14.28515625" customWidth="1"/>
    <col min="2591" max="2591" width="62.7109375" bestFit="1" customWidth="1"/>
    <col min="2821" max="2821" width="13.5703125" bestFit="1" customWidth="1"/>
    <col min="2822" max="2822" width="7.140625" bestFit="1" customWidth="1"/>
    <col min="2824" max="2824" width="40.7109375" customWidth="1"/>
    <col min="2825" max="2825" width="23.28515625" customWidth="1"/>
    <col min="2826" max="2826" width="0" hidden="1" customWidth="1"/>
    <col min="2827" max="2827" width="8.7109375" customWidth="1"/>
    <col min="2828" max="2828" width="4.7109375" customWidth="1"/>
    <col min="2829" max="2830" width="0" hidden="1" customWidth="1"/>
    <col min="2832" max="2832" width="11.7109375" customWidth="1"/>
    <col min="2833" max="2834" width="11.5703125" customWidth="1"/>
    <col min="2835" max="2836" width="0" hidden="1" customWidth="1"/>
    <col min="2837" max="2837" width="14.140625" customWidth="1"/>
    <col min="2838" max="2842" width="0" hidden="1" customWidth="1"/>
    <col min="2844" max="2844" width="14.28515625" customWidth="1"/>
    <col min="2847" max="2847" width="62.7109375" bestFit="1" customWidth="1"/>
    <col min="3077" max="3077" width="13.5703125" bestFit="1" customWidth="1"/>
    <col min="3078" max="3078" width="7.140625" bestFit="1" customWidth="1"/>
    <col min="3080" max="3080" width="40.7109375" customWidth="1"/>
    <col min="3081" max="3081" width="23.28515625" customWidth="1"/>
    <col min="3082" max="3082" width="0" hidden="1" customWidth="1"/>
    <col min="3083" max="3083" width="8.7109375" customWidth="1"/>
    <col min="3084" max="3084" width="4.7109375" customWidth="1"/>
    <col min="3085" max="3086" width="0" hidden="1" customWidth="1"/>
    <col min="3088" max="3088" width="11.7109375" customWidth="1"/>
    <col min="3089" max="3090" width="11.5703125" customWidth="1"/>
    <col min="3091" max="3092" width="0" hidden="1" customWidth="1"/>
    <col min="3093" max="3093" width="14.140625" customWidth="1"/>
    <col min="3094" max="3098" width="0" hidden="1" customWidth="1"/>
    <col min="3100" max="3100" width="14.28515625" customWidth="1"/>
    <col min="3103" max="3103" width="62.7109375" bestFit="1" customWidth="1"/>
    <col min="3333" max="3333" width="13.5703125" bestFit="1" customWidth="1"/>
    <col min="3334" max="3334" width="7.140625" bestFit="1" customWidth="1"/>
    <col min="3336" max="3336" width="40.7109375" customWidth="1"/>
    <col min="3337" max="3337" width="23.28515625" customWidth="1"/>
    <col min="3338" max="3338" width="0" hidden="1" customWidth="1"/>
    <col min="3339" max="3339" width="8.7109375" customWidth="1"/>
    <col min="3340" max="3340" width="4.7109375" customWidth="1"/>
    <col min="3341" max="3342" width="0" hidden="1" customWidth="1"/>
    <col min="3344" max="3344" width="11.7109375" customWidth="1"/>
    <col min="3345" max="3346" width="11.5703125" customWidth="1"/>
    <col min="3347" max="3348" width="0" hidden="1" customWidth="1"/>
    <col min="3349" max="3349" width="14.140625" customWidth="1"/>
    <col min="3350" max="3354" width="0" hidden="1" customWidth="1"/>
    <col min="3356" max="3356" width="14.28515625" customWidth="1"/>
    <col min="3359" max="3359" width="62.7109375" bestFit="1" customWidth="1"/>
    <col min="3589" max="3589" width="13.5703125" bestFit="1" customWidth="1"/>
    <col min="3590" max="3590" width="7.140625" bestFit="1" customWidth="1"/>
    <col min="3592" max="3592" width="40.7109375" customWidth="1"/>
    <col min="3593" max="3593" width="23.28515625" customWidth="1"/>
    <col min="3594" max="3594" width="0" hidden="1" customWidth="1"/>
    <col min="3595" max="3595" width="8.7109375" customWidth="1"/>
    <col min="3596" max="3596" width="4.7109375" customWidth="1"/>
    <col min="3597" max="3598" width="0" hidden="1" customWidth="1"/>
    <col min="3600" max="3600" width="11.7109375" customWidth="1"/>
    <col min="3601" max="3602" width="11.5703125" customWidth="1"/>
    <col min="3603" max="3604" width="0" hidden="1" customWidth="1"/>
    <col min="3605" max="3605" width="14.140625" customWidth="1"/>
    <col min="3606" max="3610" width="0" hidden="1" customWidth="1"/>
    <col min="3612" max="3612" width="14.28515625" customWidth="1"/>
    <col min="3615" max="3615" width="62.7109375" bestFit="1" customWidth="1"/>
    <col min="3845" max="3845" width="13.5703125" bestFit="1" customWidth="1"/>
    <col min="3846" max="3846" width="7.140625" bestFit="1" customWidth="1"/>
    <col min="3848" max="3848" width="40.7109375" customWidth="1"/>
    <col min="3849" max="3849" width="23.28515625" customWidth="1"/>
    <col min="3850" max="3850" width="0" hidden="1" customWidth="1"/>
    <col min="3851" max="3851" width="8.7109375" customWidth="1"/>
    <col min="3852" max="3852" width="4.7109375" customWidth="1"/>
    <col min="3853" max="3854" width="0" hidden="1" customWidth="1"/>
    <col min="3856" max="3856" width="11.7109375" customWidth="1"/>
    <col min="3857" max="3858" width="11.5703125" customWidth="1"/>
    <col min="3859" max="3860" width="0" hidden="1" customWidth="1"/>
    <col min="3861" max="3861" width="14.140625" customWidth="1"/>
    <col min="3862" max="3866" width="0" hidden="1" customWidth="1"/>
    <col min="3868" max="3868" width="14.28515625" customWidth="1"/>
    <col min="3871" max="3871" width="62.7109375" bestFit="1" customWidth="1"/>
    <col min="4101" max="4101" width="13.5703125" bestFit="1" customWidth="1"/>
    <col min="4102" max="4102" width="7.140625" bestFit="1" customWidth="1"/>
    <col min="4104" max="4104" width="40.7109375" customWidth="1"/>
    <col min="4105" max="4105" width="23.28515625" customWidth="1"/>
    <col min="4106" max="4106" width="0" hidden="1" customWidth="1"/>
    <col min="4107" max="4107" width="8.7109375" customWidth="1"/>
    <col min="4108" max="4108" width="4.7109375" customWidth="1"/>
    <col min="4109" max="4110" width="0" hidden="1" customWidth="1"/>
    <col min="4112" max="4112" width="11.7109375" customWidth="1"/>
    <col min="4113" max="4114" width="11.5703125" customWidth="1"/>
    <col min="4115" max="4116" width="0" hidden="1" customWidth="1"/>
    <col min="4117" max="4117" width="14.140625" customWidth="1"/>
    <col min="4118" max="4122" width="0" hidden="1" customWidth="1"/>
    <col min="4124" max="4124" width="14.28515625" customWidth="1"/>
    <col min="4127" max="4127" width="62.7109375" bestFit="1" customWidth="1"/>
    <col min="4357" max="4357" width="13.5703125" bestFit="1" customWidth="1"/>
    <col min="4358" max="4358" width="7.140625" bestFit="1" customWidth="1"/>
    <col min="4360" max="4360" width="40.7109375" customWidth="1"/>
    <col min="4361" max="4361" width="23.28515625" customWidth="1"/>
    <col min="4362" max="4362" width="0" hidden="1" customWidth="1"/>
    <col min="4363" max="4363" width="8.7109375" customWidth="1"/>
    <col min="4364" max="4364" width="4.7109375" customWidth="1"/>
    <col min="4365" max="4366" width="0" hidden="1" customWidth="1"/>
    <col min="4368" max="4368" width="11.7109375" customWidth="1"/>
    <col min="4369" max="4370" width="11.5703125" customWidth="1"/>
    <col min="4371" max="4372" width="0" hidden="1" customWidth="1"/>
    <col min="4373" max="4373" width="14.140625" customWidth="1"/>
    <col min="4374" max="4378" width="0" hidden="1" customWidth="1"/>
    <col min="4380" max="4380" width="14.28515625" customWidth="1"/>
    <col min="4383" max="4383" width="62.7109375" bestFit="1" customWidth="1"/>
    <col min="4613" max="4613" width="13.5703125" bestFit="1" customWidth="1"/>
    <col min="4614" max="4614" width="7.140625" bestFit="1" customWidth="1"/>
    <col min="4616" max="4616" width="40.7109375" customWidth="1"/>
    <col min="4617" max="4617" width="23.28515625" customWidth="1"/>
    <col min="4618" max="4618" width="0" hidden="1" customWidth="1"/>
    <col min="4619" max="4619" width="8.7109375" customWidth="1"/>
    <col min="4620" max="4620" width="4.7109375" customWidth="1"/>
    <col min="4621" max="4622" width="0" hidden="1" customWidth="1"/>
    <col min="4624" max="4624" width="11.7109375" customWidth="1"/>
    <col min="4625" max="4626" width="11.5703125" customWidth="1"/>
    <col min="4627" max="4628" width="0" hidden="1" customWidth="1"/>
    <col min="4629" max="4629" width="14.140625" customWidth="1"/>
    <col min="4630" max="4634" width="0" hidden="1" customWidth="1"/>
    <col min="4636" max="4636" width="14.28515625" customWidth="1"/>
    <col min="4639" max="4639" width="62.7109375" bestFit="1" customWidth="1"/>
    <col min="4869" max="4869" width="13.5703125" bestFit="1" customWidth="1"/>
    <col min="4870" max="4870" width="7.140625" bestFit="1" customWidth="1"/>
    <col min="4872" max="4872" width="40.7109375" customWidth="1"/>
    <col min="4873" max="4873" width="23.28515625" customWidth="1"/>
    <col min="4874" max="4874" width="0" hidden="1" customWidth="1"/>
    <col min="4875" max="4875" width="8.7109375" customWidth="1"/>
    <col min="4876" max="4876" width="4.7109375" customWidth="1"/>
    <col min="4877" max="4878" width="0" hidden="1" customWidth="1"/>
    <col min="4880" max="4880" width="11.7109375" customWidth="1"/>
    <col min="4881" max="4882" width="11.5703125" customWidth="1"/>
    <col min="4883" max="4884" width="0" hidden="1" customWidth="1"/>
    <col min="4885" max="4885" width="14.140625" customWidth="1"/>
    <col min="4886" max="4890" width="0" hidden="1" customWidth="1"/>
    <col min="4892" max="4892" width="14.28515625" customWidth="1"/>
    <col min="4895" max="4895" width="62.7109375" bestFit="1" customWidth="1"/>
    <col min="5125" max="5125" width="13.5703125" bestFit="1" customWidth="1"/>
    <col min="5126" max="5126" width="7.140625" bestFit="1" customWidth="1"/>
    <col min="5128" max="5128" width="40.7109375" customWidth="1"/>
    <col min="5129" max="5129" width="23.28515625" customWidth="1"/>
    <col min="5130" max="5130" width="0" hidden="1" customWidth="1"/>
    <col min="5131" max="5131" width="8.7109375" customWidth="1"/>
    <col min="5132" max="5132" width="4.7109375" customWidth="1"/>
    <col min="5133" max="5134" width="0" hidden="1" customWidth="1"/>
    <col min="5136" max="5136" width="11.7109375" customWidth="1"/>
    <col min="5137" max="5138" width="11.5703125" customWidth="1"/>
    <col min="5139" max="5140" width="0" hidden="1" customWidth="1"/>
    <col min="5141" max="5141" width="14.140625" customWidth="1"/>
    <col min="5142" max="5146" width="0" hidden="1" customWidth="1"/>
    <col min="5148" max="5148" width="14.28515625" customWidth="1"/>
    <col min="5151" max="5151" width="62.7109375" bestFit="1" customWidth="1"/>
    <col min="5381" max="5381" width="13.5703125" bestFit="1" customWidth="1"/>
    <col min="5382" max="5382" width="7.140625" bestFit="1" customWidth="1"/>
    <col min="5384" max="5384" width="40.7109375" customWidth="1"/>
    <col min="5385" max="5385" width="23.28515625" customWidth="1"/>
    <col min="5386" max="5386" width="0" hidden="1" customWidth="1"/>
    <col min="5387" max="5387" width="8.7109375" customWidth="1"/>
    <col min="5388" max="5388" width="4.7109375" customWidth="1"/>
    <col min="5389" max="5390" width="0" hidden="1" customWidth="1"/>
    <col min="5392" max="5392" width="11.7109375" customWidth="1"/>
    <col min="5393" max="5394" width="11.5703125" customWidth="1"/>
    <col min="5395" max="5396" width="0" hidden="1" customWidth="1"/>
    <col min="5397" max="5397" width="14.140625" customWidth="1"/>
    <col min="5398" max="5402" width="0" hidden="1" customWidth="1"/>
    <col min="5404" max="5404" width="14.28515625" customWidth="1"/>
    <col min="5407" max="5407" width="62.7109375" bestFit="1" customWidth="1"/>
    <col min="5637" max="5637" width="13.5703125" bestFit="1" customWidth="1"/>
    <col min="5638" max="5638" width="7.140625" bestFit="1" customWidth="1"/>
    <col min="5640" max="5640" width="40.7109375" customWidth="1"/>
    <col min="5641" max="5641" width="23.28515625" customWidth="1"/>
    <col min="5642" max="5642" width="0" hidden="1" customWidth="1"/>
    <col min="5643" max="5643" width="8.7109375" customWidth="1"/>
    <col min="5644" max="5644" width="4.7109375" customWidth="1"/>
    <col min="5645" max="5646" width="0" hidden="1" customWidth="1"/>
    <col min="5648" max="5648" width="11.7109375" customWidth="1"/>
    <col min="5649" max="5650" width="11.5703125" customWidth="1"/>
    <col min="5651" max="5652" width="0" hidden="1" customWidth="1"/>
    <col min="5653" max="5653" width="14.140625" customWidth="1"/>
    <col min="5654" max="5658" width="0" hidden="1" customWidth="1"/>
    <col min="5660" max="5660" width="14.28515625" customWidth="1"/>
    <col min="5663" max="5663" width="62.7109375" bestFit="1" customWidth="1"/>
    <col min="5893" max="5893" width="13.5703125" bestFit="1" customWidth="1"/>
    <col min="5894" max="5894" width="7.140625" bestFit="1" customWidth="1"/>
    <col min="5896" max="5896" width="40.7109375" customWidth="1"/>
    <col min="5897" max="5897" width="23.28515625" customWidth="1"/>
    <col min="5898" max="5898" width="0" hidden="1" customWidth="1"/>
    <col min="5899" max="5899" width="8.7109375" customWidth="1"/>
    <col min="5900" max="5900" width="4.7109375" customWidth="1"/>
    <col min="5901" max="5902" width="0" hidden="1" customWidth="1"/>
    <col min="5904" max="5904" width="11.7109375" customWidth="1"/>
    <col min="5905" max="5906" width="11.5703125" customWidth="1"/>
    <col min="5907" max="5908" width="0" hidden="1" customWidth="1"/>
    <col min="5909" max="5909" width="14.140625" customWidth="1"/>
    <col min="5910" max="5914" width="0" hidden="1" customWidth="1"/>
    <col min="5916" max="5916" width="14.28515625" customWidth="1"/>
    <col min="5919" max="5919" width="62.7109375" bestFit="1" customWidth="1"/>
    <col min="6149" max="6149" width="13.5703125" bestFit="1" customWidth="1"/>
    <col min="6150" max="6150" width="7.140625" bestFit="1" customWidth="1"/>
    <col min="6152" max="6152" width="40.7109375" customWidth="1"/>
    <col min="6153" max="6153" width="23.28515625" customWidth="1"/>
    <col min="6154" max="6154" width="0" hidden="1" customWidth="1"/>
    <col min="6155" max="6155" width="8.7109375" customWidth="1"/>
    <col min="6156" max="6156" width="4.7109375" customWidth="1"/>
    <col min="6157" max="6158" width="0" hidden="1" customWidth="1"/>
    <col min="6160" max="6160" width="11.7109375" customWidth="1"/>
    <col min="6161" max="6162" width="11.5703125" customWidth="1"/>
    <col min="6163" max="6164" width="0" hidden="1" customWidth="1"/>
    <col min="6165" max="6165" width="14.140625" customWidth="1"/>
    <col min="6166" max="6170" width="0" hidden="1" customWidth="1"/>
    <col min="6172" max="6172" width="14.28515625" customWidth="1"/>
    <col min="6175" max="6175" width="62.7109375" bestFit="1" customWidth="1"/>
    <col min="6405" max="6405" width="13.5703125" bestFit="1" customWidth="1"/>
    <col min="6406" max="6406" width="7.140625" bestFit="1" customWidth="1"/>
    <col min="6408" max="6408" width="40.7109375" customWidth="1"/>
    <col min="6409" max="6409" width="23.28515625" customWidth="1"/>
    <col min="6410" max="6410" width="0" hidden="1" customWidth="1"/>
    <col min="6411" max="6411" width="8.7109375" customWidth="1"/>
    <col min="6412" max="6412" width="4.7109375" customWidth="1"/>
    <col min="6413" max="6414" width="0" hidden="1" customWidth="1"/>
    <col min="6416" max="6416" width="11.7109375" customWidth="1"/>
    <col min="6417" max="6418" width="11.5703125" customWidth="1"/>
    <col min="6419" max="6420" width="0" hidden="1" customWidth="1"/>
    <col min="6421" max="6421" width="14.140625" customWidth="1"/>
    <col min="6422" max="6426" width="0" hidden="1" customWidth="1"/>
    <col min="6428" max="6428" width="14.28515625" customWidth="1"/>
    <col min="6431" max="6431" width="62.7109375" bestFit="1" customWidth="1"/>
    <col min="6661" max="6661" width="13.5703125" bestFit="1" customWidth="1"/>
    <col min="6662" max="6662" width="7.140625" bestFit="1" customWidth="1"/>
    <col min="6664" max="6664" width="40.7109375" customWidth="1"/>
    <col min="6665" max="6665" width="23.28515625" customWidth="1"/>
    <col min="6666" max="6666" width="0" hidden="1" customWidth="1"/>
    <col min="6667" max="6667" width="8.7109375" customWidth="1"/>
    <col min="6668" max="6668" width="4.7109375" customWidth="1"/>
    <col min="6669" max="6670" width="0" hidden="1" customWidth="1"/>
    <col min="6672" max="6672" width="11.7109375" customWidth="1"/>
    <col min="6673" max="6674" width="11.5703125" customWidth="1"/>
    <col min="6675" max="6676" width="0" hidden="1" customWidth="1"/>
    <col min="6677" max="6677" width="14.140625" customWidth="1"/>
    <col min="6678" max="6682" width="0" hidden="1" customWidth="1"/>
    <col min="6684" max="6684" width="14.28515625" customWidth="1"/>
    <col min="6687" max="6687" width="62.7109375" bestFit="1" customWidth="1"/>
    <col min="6917" max="6917" width="13.5703125" bestFit="1" customWidth="1"/>
    <col min="6918" max="6918" width="7.140625" bestFit="1" customWidth="1"/>
    <col min="6920" max="6920" width="40.7109375" customWidth="1"/>
    <col min="6921" max="6921" width="23.28515625" customWidth="1"/>
    <col min="6922" max="6922" width="0" hidden="1" customWidth="1"/>
    <col min="6923" max="6923" width="8.7109375" customWidth="1"/>
    <col min="6924" max="6924" width="4.7109375" customWidth="1"/>
    <col min="6925" max="6926" width="0" hidden="1" customWidth="1"/>
    <col min="6928" max="6928" width="11.7109375" customWidth="1"/>
    <col min="6929" max="6930" width="11.5703125" customWidth="1"/>
    <col min="6931" max="6932" width="0" hidden="1" customWidth="1"/>
    <col min="6933" max="6933" width="14.140625" customWidth="1"/>
    <col min="6934" max="6938" width="0" hidden="1" customWidth="1"/>
    <col min="6940" max="6940" width="14.28515625" customWidth="1"/>
    <col min="6943" max="6943" width="62.7109375" bestFit="1" customWidth="1"/>
    <col min="7173" max="7173" width="13.5703125" bestFit="1" customWidth="1"/>
    <col min="7174" max="7174" width="7.140625" bestFit="1" customWidth="1"/>
    <col min="7176" max="7176" width="40.7109375" customWidth="1"/>
    <col min="7177" max="7177" width="23.28515625" customWidth="1"/>
    <col min="7178" max="7178" width="0" hidden="1" customWidth="1"/>
    <col min="7179" max="7179" width="8.7109375" customWidth="1"/>
    <col min="7180" max="7180" width="4.7109375" customWidth="1"/>
    <col min="7181" max="7182" width="0" hidden="1" customWidth="1"/>
    <col min="7184" max="7184" width="11.7109375" customWidth="1"/>
    <col min="7185" max="7186" width="11.5703125" customWidth="1"/>
    <col min="7187" max="7188" width="0" hidden="1" customWidth="1"/>
    <col min="7189" max="7189" width="14.140625" customWidth="1"/>
    <col min="7190" max="7194" width="0" hidden="1" customWidth="1"/>
    <col min="7196" max="7196" width="14.28515625" customWidth="1"/>
    <col min="7199" max="7199" width="62.7109375" bestFit="1" customWidth="1"/>
    <col min="7429" max="7429" width="13.5703125" bestFit="1" customWidth="1"/>
    <col min="7430" max="7430" width="7.140625" bestFit="1" customWidth="1"/>
    <col min="7432" max="7432" width="40.7109375" customWidth="1"/>
    <col min="7433" max="7433" width="23.28515625" customWidth="1"/>
    <col min="7434" max="7434" width="0" hidden="1" customWidth="1"/>
    <col min="7435" max="7435" width="8.7109375" customWidth="1"/>
    <col min="7436" max="7436" width="4.7109375" customWidth="1"/>
    <col min="7437" max="7438" width="0" hidden="1" customWidth="1"/>
    <col min="7440" max="7440" width="11.7109375" customWidth="1"/>
    <col min="7441" max="7442" width="11.5703125" customWidth="1"/>
    <col min="7443" max="7444" width="0" hidden="1" customWidth="1"/>
    <col min="7445" max="7445" width="14.140625" customWidth="1"/>
    <col min="7446" max="7450" width="0" hidden="1" customWidth="1"/>
    <col min="7452" max="7452" width="14.28515625" customWidth="1"/>
    <col min="7455" max="7455" width="62.7109375" bestFit="1" customWidth="1"/>
    <col min="7685" max="7685" width="13.5703125" bestFit="1" customWidth="1"/>
    <col min="7686" max="7686" width="7.140625" bestFit="1" customWidth="1"/>
    <col min="7688" max="7688" width="40.7109375" customWidth="1"/>
    <col min="7689" max="7689" width="23.28515625" customWidth="1"/>
    <col min="7690" max="7690" width="0" hidden="1" customWidth="1"/>
    <col min="7691" max="7691" width="8.7109375" customWidth="1"/>
    <col min="7692" max="7692" width="4.7109375" customWidth="1"/>
    <col min="7693" max="7694" width="0" hidden="1" customWidth="1"/>
    <col min="7696" max="7696" width="11.7109375" customWidth="1"/>
    <col min="7697" max="7698" width="11.5703125" customWidth="1"/>
    <col min="7699" max="7700" width="0" hidden="1" customWidth="1"/>
    <col min="7701" max="7701" width="14.140625" customWidth="1"/>
    <col min="7702" max="7706" width="0" hidden="1" customWidth="1"/>
    <col min="7708" max="7708" width="14.28515625" customWidth="1"/>
    <col min="7711" max="7711" width="62.7109375" bestFit="1" customWidth="1"/>
    <col min="7941" max="7941" width="13.5703125" bestFit="1" customWidth="1"/>
    <col min="7942" max="7942" width="7.140625" bestFit="1" customWidth="1"/>
    <col min="7944" max="7944" width="40.7109375" customWidth="1"/>
    <col min="7945" max="7945" width="23.28515625" customWidth="1"/>
    <col min="7946" max="7946" width="0" hidden="1" customWidth="1"/>
    <col min="7947" max="7947" width="8.7109375" customWidth="1"/>
    <col min="7948" max="7948" width="4.7109375" customWidth="1"/>
    <col min="7949" max="7950" width="0" hidden="1" customWidth="1"/>
    <col min="7952" max="7952" width="11.7109375" customWidth="1"/>
    <col min="7953" max="7954" width="11.5703125" customWidth="1"/>
    <col min="7955" max="7956" width="0" hidden="1" customWidth="1"/>
    <col min="7957" max="7957" width="14.140625" customWidth="1"/>
    <col min="7958" max="7962" width="0" hidden="1" customWidth="1"/>
    <col min="7964" max="7964" width="14.28515625" customWidth="1"/>
    <col min="7967" max="7967" width="62.7109375" bestFit="1" customWidth="1"/>
    <col min="8197" max="8197" width="13.5703125" bestFit="1" customWidth="1"/>
    <col min="8198" max="8198" width="7.140625" bestFit="1" customWidth="1"/>
    <col min="8200" max="8200" width="40.7109375" customWidth="1"/>
    <col min="8201" max="8201" width="23.28515625" customWidth="1"/>
    <col min="8202" max="8202" width="0" hidden="1" customWidth="1"/>
    <col min="8203" max="8203" width="8.7109375" customWidth="1"/>
    <col min="8204" max="8204" width="4.7109375" customWidth="1"/>
    <col min="8205" max="8206" width="0" hidden="1" customWidth="1"/>
    <col min="8208" max="8208" width="11.7109375" customWidth="1"/>
    <col min="8209" max="8210" width="11.5703125" customWidth="1"/>
    <col min="8211" max="8212" width="0" hidden="1" customWidth="1"/>
    <col min="8213" max="8213" width="14.140625" customWidth="1"/>
    <col min="8214" max="8218" width="0" hidden="1" customWidth="1"/>
    <col min="8220" max="8220" width="14.28515625" customWidth="1"/>
    <col min="8223" max="8223" width="62.7109375" bestFit="1" customWidth="1"/>
    <col min="8453" max="8453" width="13.5703125" bestFit="1" customWidth="1"/>
    <col min="8454" max="8454" width="7.140625" bestFit="1" customWidth="1"/>
    <col min="8456" max="8456" width="40.7109375" customWidth="1"/>
    <col min="8457" max="8457" width="23.28515625" customWidth="1"/>
    <col min="8458" max="8458" width="0" hidden="1" customWidth="1"/>
    <col min="8459" max="8459" width="8.7109375" customWidth="1"/>
    <col min="8460" max="8460" width="4.7109375" customWidth="1"/>
    <col min="8461" max="8462" width="0" hidden="1" customWidth="1"/>
    <col min="8464" max="8464" width="11.7109375" customWidth="1"/>
    <col min="8465" max="8466" width="11.5703125" customWidth="1"/>
    <col min="8467" max="8468" width="0" hidden="1" customWidth="1"/>
    <col min="8469" max="8469" width="14.140625" customWidth="1"/>
    <col min="8470" max="8474" width="0" hidden="1" customWidth="1"/>
    <col min="8476" max="8476" width="14.28515625" customWidth="1"/>
    <col min="8479" max="8479" width="62.7109375" bestFit="1" customWidth="1"/>
    <col min="8709" max="8709" width="13.5703125" bestFit="1" customWidth="1"/>
    <col min="8710" max="8710" width="7.140625" bestFit="1" customWidth="1"/>
    <col min="8712" max="8712" width="40.7109375" customWidth="1"/>
    <col min="8713" max="8713" width="23.28515625" customWidth="1"/>
    <col min="8714" max="8714" width="0" hidden="1" customWidth="1"/>
    <col min="8715" max="8715" width="8.7109375" customWidth="1"/>
    <col min="8716" max="8716" width="4.7109375" customWidth="1"/>
    <col min="8717" max="8718" width="0" hidden="1" customWidth="1"/>
    <col min="8720" max="8720" width="11.7109375" customWidth="1"/>
    <col min="8721" max="8722" width="11.5703125" customWidth="1"/>
    <col min="8723" max="8724" width="0" hidden="1" customWidth="1"/>
    <col min="8725" max="8725" width="14.140625" customWidth="1"/>
    <col min="8726" max="8730" width="0" hidden="1" customWidth="1"/>
    <col min="8732" max="8732" width="14.28515625" customWidth="1"/>
    <col min="8735" max="8735" width="62.7109375" bestFit="1" customWidth="1"/>
    <col min="8965" max="8965" width="13.5703125" bestFit="1" customWidth="1"/>
    <col min="8966" max="8966" width="7.140625" bestFit="1" customWidth="1"/>
    <col min="8968" max="8968" width="40.7109375" customWidth="1"/>
    <col min="8969" max="8969" width="23.28515625" customWidth="1"/>
    <col min="8970" max="8970" width="0" hidden="1" customWidth="1"/>
    <col min="8971" max="8971" width="8.7109375" customWidth="1"/>
    <col min="8972" max="8972" width="4.7109375" customWidth="1"/>
    <col min="8973" max="8974" width="0" hidden="1" customWidth="1"/>
    <col min="8976" max="8976" width="11.7109375" customWidth="1"/>
    <col min="8977" max="8978" width="11.5703125" customWidth="1"/>
    <col min="8979" max="8980" width="0" hidden="1" customWidth="1"/>
    <col min="8981" max="8981" width="14.140625" customWidth="1"/>
    <col min="8982" max="8986" width="0" hidden="1" customWidth="1"/>
    <col min="8988" max="8988" width="14.28515625" customWidth="1"/>
    <col min="8991" max="8991" width="62.7109375" bestFit="1" customWidth="1"/>
    <col min="9221" max="9221" width="13.5703125" bestFit="1" customWidth="1"/>
    <col min="9222" max="9222" width="7.140625" bestFit="1" customWidth="1"/>
    <col min="9224" max="9224" width="40.7109375" customWidth="1"/>
    <col min="9225" max="9225" width="23.28515625" customWidth="1"/>
    <col min="9226" max="9226" width="0" hidden="1" customWidth="1"/>
    <col min="9227" max="9227" width="8.7109375" customWidth="1"/>
    <col min="9228" max="9228" width="4.7109375" customWidth="1"/>
    <col min="9229" max="9230" width="0" hidden="1" customWidth="1"/>
    <col min="9232" max="9232" width="11.7109375" customWidth="1"/>
    <col min="9233" max="9234" width="11.5703125" customWidth="1"/>
    <col min="9235" max="9236" width="0" hidden="1" customWidth="1"/>
    <col min="9237" max="9237" width="14.140625" customWidth="1"/>
    <col min="9238" max="9242" width="0" hidden="1" customWidth="1"/>
    <col min="9244" max="9244" width="14.28515625" customWidth="1"/>
    <col min="9247" max="9247" width="62.7109375" bestFit="1" customWidth="1"/>
    <col min="9477" max="9477" width="13.5703125" bestFit="1" customWidth="1"/>
    <col min="9478" max="9478" width="7.140625" bestFit="1" customWidth="1"/>
    <col min="9480" max="9480" width="40.7109375" customWidth="1"/>
    <col min="9481" max="9481" width="23.28515625" customWidth="1"/>
    <col min="9482" max="9482" width="0" hidden="1" customWidth="1"/>
    <col min="9483" max="9483" width="8.7109375" customWidth="1"/>
    <col min="9484" max="9484" width="4.7109375" customWidth="1"/>
    <col min="9485" max="9486" width="0" hidden="1" customWidth="1"/>
    <col min="9488" max="9488" width="11.7109375" customWidth="1"/>
    <col min="9489" max="9490" width="11.5703125" customWidth="1"/>
    <col min="9491" max="9492" width="0" hidden="1" customWidth="1"/>
    <col min="9493" max="9493" width="14.140625" customWidth="1"/>
    <col min="9494" max="9498" width="0" hidden="1" customWidth="1"/>
    <col min="9500" max="9500" width="14.28515625" customWidth="1"/>
    <col min="9503" max="9503" width="62.7109375" bestFit="1" customWidth="1"/>
    <col min="9733" max="9733" width="13.5703125" bestFit="1" customWidth="1"/>
    <col min="9734" max="9734" width="7.140625" bestFit="1" customWidth="1"/>
    <col min="9736" max="9736" width="40.7109375" customWidth="1"/>
    <col min="9737" max="9737" width="23.28515625" customWidth="1"/>
    <col min="9738" max="9738" width="0" hidden="1" customWidth="1"/>
    <col min="9739" max="9739" width="8.7109375" customWidth="1"/>
    <col min="9740" max="9740" width="4.7109375" customWidth="1"/>
    <col min="9741" max="9742" width="0" hidden="1" customWidth="1"/>
    <col min="9744" max="9744" width="11.7109375" customWidth="1"/>
    <col min="9745" max="9746" width="11.5703125" customWidth="1"/>
    <col min="9747" max="9748" width="0" hidden="1" customWidth="1"/>
    <col min="9749" max="9749" width="14.140625" customWidth="1"/>
    <col min="9750" max="9754" width="0" hidden="1" customWidth="1"/>
    <col min="9756" max="9756" width="14.28515625" customWidth="1"/>
    <col min="9759" max="9759" width="62.7109375" bestFit="1" customWidth="1"/>
    <col min="9989" max="9989" width="13.5703125" bestFit="1" customWidth="1"/>
    <col min="9990" max="9990" width="7.140625" bestFit="1" customWidth="1"/>
    <col min="9992" max="9992" width="40.7109375" customWidth="1"/>
    <col min="9993" max="9993" width="23.28515625" customWidth="1"/>
    <col min="9994" max="9994" width="0" hidden="1" customWidth="1"/>
    <col min="9995" max="9995" width="8.7109375" customWidth="1"/>
    <col min="9996" max="9996" width="4.7109375" customWidth="1"/>
    <col min="9997" max="9998" width="0" hidden="1" customWidth="1"/>
    <col min="10000" max="10000" width="11.7109375" customWidth="1"/>
    <col min="10001" max="10002" width="11.5703125" customWidth="1"/>
    <col min="10003" max="10004" width="0" hidden="1" customWidth="1"/>
    <col min="10005" max="10005" width="14.140625" customWidth="1"/>
    <col min="10006" max="10010" width="0" hidden="1" customWidth="1"/>
    <col min="10012" max="10012" width="14.28515625" customWidth="1"/>
    <col min="10015" max="10015" width="62.7109375" bestFit="1" customWidth="1"/>
    <col min="10245" max="10245" width="13.5703125" bestFit="1" customWidth="1"/>
    <col min="10246" max="10246" width="7.140625" bestFit="1" customWidth="1"/>
    <col min="10248" max="10248" width="40.7109375" customWidth="1"/>
    <col min="10249" max="10249" width="23.28515625" customWidth="1"/>
    <col min="10250" max="10250" width="0" hidden="1" customWidth="1"/>
    <col min="10251" max="10251" width="8.7109375" customWidth="1"/>
    <col min="10252" max="10252" width="4.7109375" customWidth="1"/>
    <col min="10253" max="10254" width="0" hidden="1" customWidth="1"/>
    <col min="10256" max="10256" width="11.7109375" customWidth="1"/>
    <col min="10257" max="10258" width="11.5703125" customWidth="1"/>
    <col min="10259" max="10260" width="0" hidden="1" customWidth="1"/>
    <col min="10261" max="10261" width="14.140625" customWidth="1"/>
    <col min="10262" max="10266" width="0" hidden="1" customWidth="1"/>
    <col min="10268" max="10268" width="14.28515625" customWidth="1"/>
    <col min="10271" max="10271" width="62.7109375" bestFit="1" customWidth="1"/>
    <col min="10501" max="10501" width="13.5703125" bestFit="1" customWidth="1"/>
    <col min="10502" max="10502" width="7.140625" bestFit="1" customWidth="1"/>
    <col min="10504" max="10504" width="40.7109375" customWidth="1"/>
    <col min="10505" max="10505" width="23.28515625" customWidth="1"/>
    <col min="10506" max="10506" width="0" hidden="1" customWidth="1"/>
    <col min="10507" max="10507" width="8.7109375" customWidth="1"/>
    <col min="10508" max="10508" width="4.7109375" customWidth="1"/>
    <col min="10509" max="10510" width="0" hidden="1" customWidth="1"/>
    <col min="10512" max="10512" width="11.7109375" customWidth="1"/>
    <col min="10513" max="10514" width="11.5703125" customWidth="1"/>
    <col min="10515" max="10516" width="0" hidden="1" customWidth="1"/>
    <col min="10517" max="10517" width="14.140625" customWidth="1"/>
    <col min="10518" max="10522" width="0" hidden="1" customWidth="1"/>
    <col min="10524" max="10524" width="14.28515625" customWidth="1"/>
    <col min="10527" max="10527" width="62.7109375" bestFit="1" customWidth="1"/>
    <col min="10757" max="10757" width="13.5703125" bestFit="1" customWidth="1"/>
    <col min="10758" max="10758" width="7.140625" bestFit="1" customWidth="1"/>
    <col min="10760" max="10760" width="40.7109375" customWidth="1"/>
    <col min="10761" max="10761" width="23.28515625" customWidth="1"/>
    <col min="10762" max="10762" width="0" hidden="1" customWidth="1"/>
    <col min="10763" max="10763" width="8.7109375" customWidth="1"/>
    <col min="10764" max="10764" width="4.7109375" customWidth="1"/>
    <col min="10765" max="10766" width="0" hidden="1" customWidth="1"/>
    <col min="10768" max="10768" width="11.7109375" customWidth="1"/>
    <col min="10769" max="10770" width="11.5703125" customWidth="1"/>
    <col min="10771" max="10772" width="0" hidden="1" customWidth="1"/>
    <col min="10773" max="10773" width="14.140625" customWidth="1"/>
    <col min="10774" max="10778" width="0" hidden="1" customWidth="1"/>
    <col min="10780" max="10780" width="14.28515625" customWidth="1"/>
    <col min="10783" max="10783" width="62.7109375" bestFit="1" customWidth="1"/>
    <col min="11013" max="11013" width="13.5703125" bestFit="1" customWidth="1"/>
    <col min="11014" max="11014" width="7.140625" bestFit="1" customWidth="1"/>
    <col min="11016" max="11016" width="40.7109375" customWidth="1"/>
    <col min="11017" max="11017" width="23.28515625" customWidth="1"/>
    <col min="11018" max="11018" width="0" hidden="1" customWidth="1"/>
    <col min="11019" max="11019" width="8.7109375" customWidth="1"/>
    <col min="11020" max="11020" width="4.7109375" customWidth="1"/>
    <col min="11021" max="11022" width="0" hidden="1" customWidth="1"/>
    <col min="11024" max="11024" width="11.7109375" customWidth="1"/>
    <col min="11025" max="11026" width="11.5703125" customWidth="1"/>
    <col min="11027" max="11028" width="0" hidden="1" customWidth="1"/>
    <col min="11029" max="11029" width="14.140625" customWidth="1"/>
    <col min="11030" max="11034" width="0" hidden="1" customWidth="1"/>
    <col min="11036" max="11036" width="14.28515625" customWidth="1"/>
    <col min="11039" max="11039" width="62.7109375" bestFit="1" customWidth="1"/>
    <col min="11269" max="11269" width="13.5703125" bestFit="1" customWidth="1"/>
    <col min="11270" max="11270" width="7.140625" bestFit="1" customWidth="1"/>
    <col min="11272" max="11272" width="40.7109375" customWidth="1"/>
    <col min="11273" max="11273" width="23.28515625" customWidth="1"/>
    <col min="11274" max="11274" width="0" hidden="1" customWidth="1"/>
    <col min="11275" max="11275" width="8.7109375" customWidth="1"/>
    <col min="11276" max="11276" width="4.7109375" customWidth="1"/>
    <col min="11277" max="11278" width="0" hidden="1" customWidth="1"/>
    <col min="11280" max="11280" width="11.7109375" customWidth="1"/>
    <col min="11281" max="11282" width="11.5703125" customWidth="1"/>
    <col min="11283" max="11284" width="0" hidden="1" customWidth="1"/>
    <col min="11285" max="11285" width="14.140625" customWidth="1"/>
    <col min="11286" max="11290" width="0" hidden="1" customWidth="1"/>
    <col min="11292" max="11292" width="14.28515625" customWidth="1"/>
    <col min="11295" max="11295" width="62.7109375" bestFit="1" customWidth="1"/>
    <col min="11525" max="11525" width="13.5703125" bestFit="1" customWidth="1"/>
    <col min="11526" max="11526" width="7.140625" bestFit="1" customWidth="1"/>
    <col min="11528" max="11528" width="40.7109375" customWidth="1"/>
    <col min="11529" max="11529" width="23.28515625" customWidth="1"/>
    <col min="11530" max="11530" width="0" hidden="1" customWidth="1"/>
    <col min="11531" max="11531" width="8.7109375" customWidth="1"/>
    <col min="11532" max="11532" width="4.7109375" customWidth="1"/>
    <col min="11533" max="11534" width="0" hidden="1" customWidth="1"/>
    <col min="11536" max="11536" width="11.7109375" customWidth="1"/>
    <col min="11537" max="11538" width="11.5703125" customWidth="1"/>
    <col min="11539" max="11540" width="0" hidden="1" customWidth="1"/>
    <col min="11541" max="11541" width="14.140625" customWidth="1"/>
    <col min="11542" max="11546" width="0" hidden="1" customWidth="1"/>
    <col min="11548" max="11548" width="14.28515625" customWidth="1"/>
    <col min="11551" max="11551" width="62.7109375" bestFit="1" customWidth="1"/>
    <col min="11781" max="11781" width="13.5703125" bestFit="1" customWidth="1"/>
    <col min="11782" max="11782" width="7.140625" bestFit="1" customWidth="1"/>
    <col min="11784" max="11784" width="40.7109375" customWidth="1"/>
    <col min="11785" max="11785" width="23.28515625" customWidth="1"/>
    <col min="11786" max="11786" width="0" hidden="1" customWidth="1"/>
    <col min="11787" max="11787" width="8.7109375" customWidth="1"/>
    <col min="11788" max="11788" width="4.7109375" customWidth="1"/>
    <col min="11789" max="11790" width="0" hidden="1" customWidth="1"/>
    <col min="11792" max="11792" width="11.7109375" customWidth="1"/>
    <col min="11793" max="11794" width="11.5703125" customWidth="1"/>
    <col min="11795" max="11796" width="0" hidden="1" customWidth="1"/>
    <col min="11797" max="11797" width="14.140625" customWidth="1"/>
    <col min="11798" max="11802" width="0" hidden="1" customWidth="1"/>
    <col min="11804" max="11804" width="14.28515625" customWidth="1"/>
    <col min="11807" max="11807" width="62.7109375" bestFit="1" customWidth="1"/>
    <col min="12037" max="12037" width="13.5703125" bestFit="1" customWidth="1"/>
    <col min="12038" max="12038" width="7.140625" bestFit="1" customWidth="1"/>
    <col min="12040" max="12040" width="40.7109375" customWidth="1"/>
    <col min="12041" max="12041" width="23.28515625" customWidth="1"/>
    <col min="12042" max="12042" width="0" hidden="1" customWidth="1"/>
    <col min="12043" max="12043" width="8.7109375" customWidth="1"/>
    <col min="12044" max="12044" width="4.7109375" customWidth="1"/>
    <col min="12045" max="12046" width="0" hidden="1" customWidth="1"/>
    <col min="12048" max="12048" width="11.7109375" customWidth="1"/>
    <col min="12049" max="12050" width="11.5703125" customWidth="1"/>
    <col min="12051" max="12052" width="0" hidden="1" customWidth="1"/>
    <col min="12053" max="12053" width="14.140625" customWidth="1"/>
    <col min="12054" max="12058" width="0" hidden="1" customWidth="1"/>
    <col min="12060" max="12060" width="14.28515625" customWidth="1"/>
    <col min="12063" max="12063" width="62.7109375" bestFit="1" customWidth="1"/>
    <col min="12293" max="12293" width="13.5703125" bestFit="1" customWidth="1"/>
    <col min="12294" max="12294" width="7.140625" bestFit="1" customWidth="1"/>
    <col min="12296" max="12296" width="40.7109375" customWidth="1"/>
    <col min="12297" max="12297" width="23.28515625" customWidth="1"/>
    <col min="12298" max="12298" width="0" hidden="1" customWidth="1"/>
    <col min="12299" max="12299" width="8.7109375" customWidth="1"/>
    <col min="12300" max="12300" width="4.7109375" customWidth="1"/>
    <col min="12301" max="12302" width="0" hidden="1" customWidth="1"/>
    <col min="12304" max="12304" width="11.7109375" customWidth="1"/>
    <col min="12305" max="12306" width="11.5703125" customWidth="1"/>
    <col min="12307" max="12308" width="0" hidden="1" customWidth="1"/>
    <col min="12309" max="12309" width="14.140625" customWidth="1"/>
    <col min="12310" max="12314" width="0" hidden="1" customWidth="1"/>
    <col min="12316" max="12316" width="14.28515625" customWidth="1"/>
    <col min="12319" max="12319" width="62.7109375" bestFit="1" customWidth="1"/>
    <col min="12549" max="12549" width="13.5703125" bestFit="1" customWidth="1"/>
    <col min="12550" max="12550" width="7.140625" bestFit="1" customWidth="1"/>
    <col min="12552" max="12552" width="40.7109375" customWidth="1"/>
    <col min="12553" max="12553" width="23.28515625" customWidth="1"/>
    <col min="12554" max="12554" width="0" hidden="1" customWidth="1"/>
    <col min="12555" max="12555" width="8.7109375" customWidth="1"/>
    <col min="12556" max="12556" width="4.7109375" customWidth="1"/>
    <col min="12557" max="12558" width="0" hidden="1" customWidth="1"/>
    <col min="12560" max="12560" width="11.7109375" customWidth="1"/>
    <col min="12561" max="12562" width="11.5703125" customWidth="1"/>
    <col min="12563" max="12564" width="0" hidden="1" customWidth="1"/>
    <col min="12565" max="12565" width="14.140625" customWidth="1"/>
    <col min="12566" max="12570" width="0" hidden="1" customWidth="1"/>
    <col min="12572" max="12572" width="14.28515625" customWidth="1"/>
    <col min="12575" max="12575" width="62.7109375" bestFit="1" customWidth="1"/>
    <col min="12805" max="12805" width="13.5703125" bestFit="1" customWidth="1"/>
    <col min="12806" max="12806" width="7.140625" bestFit="1" customWidth="1"/>
    <col min="12808" max="12808" width="40.7109375" customWidth="1"/>
    <col min="12809" max="12809" width="23.28515625" customWidth="1"/>
    <col min="12810" max="12810" width="0" hidden="1" customWidth="1"/>
    <col min="12811" max="12811" width="8.7109375" customWidth="1"/>
    <col min="12812" max="12812" width="4.7109375" customWidth="1"/>
    <col min="12813" max="12814" width="0" hidden="1" customWidth="1"/>
    <col min="12816" max="12816" width="11.7109375" customWidth="1"/>
    <col min="12817" max="12818" width="11.5703125" customWidth="1"/>
    <col min="12819" max="12820" width="0" hidden="1" customWidth="1"/>
    <col min="12821" max="12821" width="14.140625" customWidth="1"/>
    <col min="12822" max="12826" width="0" hidden="1" customWidth="1"/>
    <col min="12828" max="12828" width="14.28515625" customWidth="1"/>
    <col min="12831" max="12831" width="62.7109375" bestFit="1" customWidth="1"/>
    <col min="13061" max="13061" width="13.5703125" bestFit="1" customWidth="1"/>
    <col min="13062" max="13062" width="7.140625" bestFit="1" customWidth="1"/>
    <col min="13064" max="13064" width="40.7109375" customWidth="1"/>
    <col min="13065" max="13065" width="23.28515625" customWidth="1"/>
    <col min="13066" max="13066" width="0" hidden="1" customWidth="1"/>
    <col min="13067" max="13067" width="8.7109375" customWidth="1"/>
    <col min="13068" max="13068" width="4.7109375" customWidth="1"/>
    <col min="13069" max="13070" width="0" hidden="1" customWidth="1"/>
    <col min="13072" max="13072" width="11.7109375" customWidth="1"/>
    <col min="13073" max="13074" width="11.5703125" customWidth="1"/>
    <col min="13075" max="13076" width="0" hidden="1" customWidth="1"/>
    <col min="13077" max="13077" width="14.140625" customWidth="1"/>
    <col min="13078" max="13082" width="0" hidden="1" customWidth="1"/>
    <col min="13084" max="13084" width="14.28515625" customWidth="1"/>
    <col min="13087" max="13087" width="62.7109375" bestFit="1" customWidth="1"/>
    <col min="13317" max="13317" width="13.5703125" bestFit="1" customWidth="1"/>
    <col min="13318" max="13318" width="7.140625" bestFit="1" customWidth="1"/>
    <col min="13320" max="13320" width="40.7109375" customWidth="1"/>
    <col min="13321" max="13321" width="23.28515625" customWidth="1"/>
    <col min="13322" max="13322" width="0" hidden="1" customWidth="1"/>
    <col min="13323" max="13323" width="8.7109375" customWidth="1"/>
    <col min="13324" max="13324" width="4.7109375" customWidth="1"/>
    <col min="13325" max="13326" width="0" hidden="1" customWidth="1"/>
    <col min="13328" max="13328" width="11.7109375" customWidth="1"/>
    <col min="13329" max="13330" width="11.5703125" customWidth="1"/>
    <col min="13331" max="13332" width="0" hidden="1" customWidth="1"/>
    <col min="13333" max="13333" width="14.140625" customWidth="1"/>
    <col min="13334" max="13338" width="0" hidden="1" customWidth="1"/>
    <col min="13340" max="13340" width="14.28515625" customWidth="1"/>
    <col min="13343" max="13343" width="62.7109375" bestFit="1" customWidth="1"/>
    <col min="13573" max="13573" width="13.5703125" bestFit="1" customWidth="1"/>
    <col min="13574" max="13574" width="7.140625" bestFit="1" customWidth="1"/>
    <col min="13576" max="13576" width="40.7109375" customWidth="1"/>
    <col min="13577" max="13577" width="23.28515625" customWidth="1"/>
    <col min="13578" max="13578" width="0" hidden="1" customWidth="1"/>
    <col min="13579" max="13579" width="8.7109375" customWidth="1"/>
    <col min="13580" max="13580" width="4.7109375" customWidth="1"/>
    <col min="13581" max="13582" width="0" hidden="1" customWidth="1"/>
    <col min="13584" max="13584" width="11.7109375" customWidth="1"/>
    <col min="13585" max="13586" width="11.5703125" customWidth="1"/>
    <col min="13587" max="13588" width="0" hidden="1" customWidth="1"/>
    <col min="13589" max="13589" width="14.140625" customWidth="1"/>
    <col min="13590" max="13594" width="0" hidden="1" customWidth="1"/>
    <col min="13596" max="13596" width="14.28515625" customWidth="1"/>
    <col min="13599" max="13599" width="62.7109375" bestFit="1" customWidth="1"/>
    <col min="13829" max="13829" width="13.5703125" bestFit="1" customWidth="1"/>
    <col min="13830" max="13830" width="7.140625" bestFit="1" customWidth="1"/>
    <col min="13832" max="13832" width="40.7109375" customWidth="1"/>
    <col min="13833" max="13833" width="23.28515625" customWidth="1"/>
    <col min="13834" max="13834" width="0" hidden="1" customWidth="1"/>
    <col min="13835" max="13835" width="8.7109375" customWidth="1"/>
    <col min="13836" max="13836" width="4.7109375" customWidth="1"/>
    <col min="13837" max="13838" width="0" hidden="1" customWidth="1"/>
    <col min="13840" max="13840" width="11.7109375" customWidth="1"/>
    <col min="13841" max="13842" width="11.5703125" customWidth="1"/>
    <col min="13843" max="13844" width="0" hidden="1" customWidth="1"/>
    <col min="13845" max="13845" width="14.140625" customWidth="1"/>
    <col min="13846" max="13850" width="0" hidden="1" customWidth="1"/>
    <col min="13852" max="13852" width="14.28515625" customWidth="1"/>
    <col min="13855" max="13855" width="62.7109375" bestFit="1" customWidth="1"/>
    <col min="14085" max="14085" width="13.5703125" bestFit="1" customWidth="1"/>
    <col min="14086" max="14086" width="7.140625" bestFit="1" customWidth="1"/>
    <col min="14088" max="14088" width="40.7109375" customWidth="1"/>
    <col min="14089" max="14089" width="23.28515625" customWidth="1"/>
    <col min="14090" max="14090" width="0" hidden="1" customWidth="1"/>
    <col min="14091" max="14091" width="8.7109375" customWidth="1"/>
    <col min="14092" max="14092" width="4.7109375" customWidth="1"/>
    <col min="14093" max="14094" width="0" hidden="1" customWidth="1"/>
    <col min="14096" max="14096" width="11.7109375" customWidth="1"/>
    <col min="14097" max="14098" width="11.5703125" customWidth="1"/>
    <col min="14099" max="14100" width="0" hidden="1" customWidth="1"/>
    <col min="14101" max="14101" width="14.140625" customWidth="1"/>
    <col min="14102" max="14106" width="0" hidden="1" customWidth="1"/>
    <col min="14108" max="14108" width="14.28515625" customWidth="1"/>
    <col min="14111" max="14111" width="62.7109375" bestFit="1" customWidth="1"/>
    <col min="14341" max="14341" width="13.5703125" bestFit="1" customWidth="1"/>
    <col min="14342" max="14342" width="7.140625" bestFit="1" customWidth="1"/>
    <col min="14344" max="14344" width="40.7109375" customWidth="1"/>
    <col min="14345" max="14345" width="23.28515625" customWidth="1"/>
    <col min="14346" max="14346" width="0" hidden="1" customWidth="1"/>
    <col min="14347" max="14347" width="8.7109375" customWidth="1"/>
    <col min="14348" max="14348" width="4.7109375" customWidth="1"/>
    <col min="14349" max="14350" width="0" hidden="1" customWidth="1"/>
    <col min="14352" max="14352" width="11.7109375" customWidth="1"/>
    <col min="14353" max="14354" width="11.5703125" customWidth="1"/>
    <col min="14355" max="14356" width="0" hidden="1" customWidth="1"/>
    <col min="14357" max="14357" width="14.140625" customWidth="1"/>
    <col min="14358" max="14362" width="0" hidden="1" customWidth="1"/>
    <col min="14364" max="14364" width="14.28515625" customWidth="1"/>
    <col min="14367" max="14367" width="62.7109375" bestFit="1" customWidth="1"/>
    <col min="14597" max="14597" width="13.5703125" bestFit="1" customWidth="1"/>
    <col min="14598" max="14598" width="7.140625" bestFit="1" customWidth="1"/>
    <col min="14600" max="14600" width="40.7109375" customWidth="1"/>
    <col min="14601" max="14601" width="23.28515625" customWidth="1"/>
    <col min="14602" max="14602" width="0" hidden="1" customWidth="1"/>
    <col min="14603" max="14603" width="8.7109375" customWidth="1"/>
    <col min="14604" max="14604" width="4.7109375" customWidth="1"/>
    <col min="14605" max="14606" width="0" hidden="1" customWidth="1"/>
    <col min="14608" max="14608" width="11.7109375" customWidth="1"/>
    <col min="14609" max="14610" width="11.5703125" customWidth="1"/>
    <col min="14611" max="14612" width="0" hidden="1" customWidth="1"/>
    <col min="14613" max="14613" width="14.140625" customWidth="1"/>
    <col min="14614" max="14618" width="0" hidden="1" customWidth="1"/>
    <col min="14620" max="14620" width="14.28515625" customWidth="1"/>
    <col min="14623" max="14623" width="62.7109375" bestFit="1" customWidth="1"/>
    <col min="14853" max="14853" width="13.5703125" bestFit="1" customWidth="1"/>
    <col min="14854" max="14854" width="7.140625" bestFit="1" customWidth="1"/>
    <col min="14856" max="14856" width="40.7109375" customWidth="1"/>
    <col min="14857" max="14857" width="23.28515625" customWidth="1"/>
    <col min="14858" max="14858" width="0" hidden="1" customWidth="1"/>
    <col min="14859" max="14859" width="8.7109375" customWidth="1"/>
    <col min="14860" max="14860" width="4.7109375" customWidth="1"/>
    <col min="14861" max="14862" width="0" hidden="1" customWidth="1"/>
    <col min="14864" max="14864" width="11.7109375" customWidth="1"/>
    <col min="14865" max="14866" width="11.5703125" customWidth="1"/>
    <col min="14867" max="14868" width="0" hidden="1" customWidth="1"/>
    <col min="14869" max="14869" width="14.140625" customWidth="1"/>
    <col min="14870" max="14874" width="0" hidden="1" customWidth="1"/>
    <col min="14876" max="14876" width="14.28515625" customWidth="1"/>
    <col min="14879" max="14879" width="62.7109375" bestFit="1" customWidth="1"/>
    <col min="15109" max="15109" width="13.5703125" bestFit="1" customWidth="1"/>
    <col min="15110" max="15110" width="7.140625" bestFit="1" customWidth="1"/>
    <col min="15112" max="15112" width="40.7109375" customWidth="1"/>
    <col min="15113" max="15113" width="23.28515625" customWidth="1"/>
    <col min="15114" max="15114" width="0" hidden="1" customWidth="1"/>
    <col min="15115" max="15115" width="8.7109375" customWidth="1"/>
    <col min="15116" max="15116" width="4.7109375" customWidth="1"/>
    <col min="15117" max="15118" width="0" hidden="1" customWidth="1"/>
    <col min="15120" max="15120" width="11.7109375" customWidth="1"/>
    <col min="15121" max="15122" width="11.5703125" customWidth="1"/>
    <col min="15123" max="15124" width="0" hidden="1" customWidth="1"/>
    <col min="15125" max="15125" width="14.140625" customWidth="1"/>
    <col min="15126" max="15130" width="0" hidden="1" customWidth="1"/>
    <col min="15132" max="15132" width="14.28515625" customWidth="1"/>
    <col min="15135" max="15135" width="62.7109375" bestFit="1" customWidth="1"/>
    <col min="15365" max="15365" width="13.5703125" bestFit="1" customWidth="1"/>
    <col min="15366" max="15366" width="7.140625" bestFit="1" customWidth="1"/>
    <col min="15368" max="15368" width="40.7109375" customWidth="1"/>
    <col min="15369" max="15369" width="23.28515625" customWidth="1"/>
    <col min="15370" max="15370" width="0" hidden="1" customWidth="1"/>
    <col min="15371" max="15371" width="8.7109375" customWidth="1"/>
    <col min="15372" max="15372" width="4.7109375" customWidth="1"/>
    <col min="15373" max="15374" width="0" hidden="1" customWidth="1"/>
    <col min="15376" max="15376" width="11.7109375" customWidth="1"/>
    <col min="15377" max="15378" width="11.5703125" customWidth="1"/>
    <col min="15379" max="15380" width="0" hidden="1" customWidth="1"/>
    <col min="15381" max="15381" width="14.140625" customWidth="1"/>
    <col min="15382" max="15386" width="0" hidden="1" customWidth="1"/>
    <col min="15388" max="15388" width="14.28515625" customWidth="1"/>
    <col min="15391" max="15391" width="62.7109375" bestFit="1" customWidth="1"/>
    <col min="15621" max="15621" width="13.5703125" bestFit="1" customWidth="1"/>
    <col min="15622" max="15622" width="7.140625" bestFit="1" customWidth="1"/>
    <col min="15624" max="15624" width="40.7109375" customWidth="1"/>
    <col min="15625" max="15625" width="23.28515625" customWidth="1"/>
    <col min="15626" max="15626" width="0" hidden="1" customWidth="1"/>
    <col min="15627" max="15627" width="8.7109375" customWidth="1"/>
    <col min="15628" max="15628" width="4.7109375" customWidth="1"/>
    <col min="15629" max="15630" width="0" hidden="1" customWidth="1"/>
    <col min="15632" max="15632" width="11.7109375" customWidth="1"/>
    <col min="15633" max="15634" width="11.5703125" customWidth="1"/>
    <col min="15635" max="15636" width="0" hidden="1" customWidth="1"/>
    <col min="15637" max="15637" width="14.140625" customWidth="1"/>
    <col min="15638" max="15642" width="0" hidden="1" customWidth="1"/>
    <col min="15644" max="15644" width="14.28515625" customWidth="1"/>
    <col min="15647" max="15647" width="62.7109375" bestFit="1" customWidth="1"/>
    <col min="15877" max="15877" width="13.5703125" bestFit="1" customWidth="1"/>
    <col min="15878" max="15878" width="7.140625" bestFit="1" customWidth="1"/>
    <col min="15880" max="15880" width="40.7109375" customWidth="1"/>
    <col min="15881" max="15881" width="23.28515625" customWidth="1"/>
    <col min="15882" max="15882" width="0" hidden="1" customWidth="1"/>
    <col min="15883" max="15883" width="8.7109375" customWidth="1"/>
    <col min="15884" max="15884" width="4.7109375" customWidth="1"/>
    <col min="15885" max="15886" width="0" hidden="1" customWidth="1"/>
    <col min="15888" max="15888" width="11.7109375" customWidth="1"/>
    <col min="15889" max="15890" width="11.5703125" customWidth="1"/>
    <col min="15891" max="15892" width="0" hidden="1" customWidth="1"/>
    <col min="15893" max="15893" width="14.140625" customWidth="1"/>
    <col min="15894" max="15898" width="0" hidden="1" customWidth="1"/>
    <col min="15900" max="15900" width="14.28515625" customWidth="1"/>
    <col min="15903" max="15903" width="62.7109375" bestFit="1" customWidth="1"/>
    <col min="16133" max="16133" width="13.5703125" bestFit="1" customWidth="1"/>
    <col min="16134" max="16134" width="7.140625" bestFit="1" customWidth="1"/>
    <col min="16136" max="16136" width="40.7109375" customWidth="1"/>
    <col min="16137" max="16137" width="23.28515625" customWidth="1"/>
    <col min="16138" max="16138" width="0" hidden="1" customWidth="1"/>
    <col min="16139" max="16139" width="8.7109375" customWidth="1"/>
    <col min="16140" max="16140" width="4.7109375" customWidth="1"/>
    <col min="16141" max="16142" width="0" hidden="1" customWidth="1"/>
    <col min="16144" max="16144" width="11.7109375" customWidth="1"/>
    <col min="16145" max="16146" width="11.5703125" customWidth="1"/>
    <col min="16147" max="16148" width="0" hidden="1" customWidth="1"/>
    <col min="16149" max="16149" width="14.140625" customWidth="1"/>
    <col min="16150" max="16154" width="0" hidden="1" customWidth="1"/>
    <col min="16156" max="16156" width="14.28515625" customWidth="1"/>
    <col min="16159" max="16159" width="62.7109375" bestFit="1" customWidth="1"/>
  </cols>
  <sheetData>
    <row r="1" spans="1:35" ht="63.75" x14ac:dyDescent="0.25">
      <c r="A1" s="254" t="s">
        <v>1150</v>
      </c>
      <c r="B1" s="254" t="s">
        <v>452</v>
      </c>
      <c r="C1" s="254" t="s">
        <v>453</v>
      </c>
      <c r="D1" s="254" t="s">
        <v>1698</v>
      </c>
      <c r="E1" s="254" t="s">
        <v>1142</v>
      </c>
      <c r="F1" s="255" t="s">
        <v>1143</v>
      </c>
      <c r="G1" s="255" t="s">
        <v>1144</v>
      </c>
      <c r="H1" s="256" t="s">
        <v>1145</v>
      </c>
      <c r="I1" s="254" t="s">
        <v>1146</v>
      </c>
      <c r="J1" s="255" t="s">
        <v>1699</v>
      </c>
      <c r="K1" s="270" t="s">
        <v>1147</v>
      </c>
      <c r="L1" s="271" t="s">
        <v>1148</v>
      </c>
      <c r="M1" s="270" t="s">
        <v>1700</v>
      </c>
      <c r="N1" s="271" t="s">
        <v>471</v>
      </c>
      <c r="O1" s="255" t="s">
        <v>1153</v>
      </c>
      <c r="P1" s="255" t="s">
        <v>1154</v>
      </c>
      <c r="Q1" s="255" t="s">
        <v>1701</v>
      </c>
      <c r="R1" s="255" t="s">
        <v>1156</v>
      </c>
      <c r="S1" s="255" t="s">
        <v>1157</v>
      </c>
      <c r="T1" s="255" t="s">
        <v>1702</v>
      </c>
      <c r="U1" s="255" t="s">
        <v>1703</v>
      </c>
      <c r="V1" s="255" t="s">
        <v>1704</v>
      </c>
      <c r="W1" s="255" t="s">
        <v>1705</v>
      </c>
      <c r="X1" s="255" t="s">
        <v>1706</v>
      </c>
      <c r="Y1" s="255" t="s">
        <v>1707</v>
      </c>
      <c r="Z1" s="255" t="s">
        <v>1708</v>
      </c>
      <c r="AA1" s="255" t="s">
        <v>1709</v>
      </c>
      <c r="AB1" s="255" t="s">
        <v>1710</v>
      </c>
      <c r="AC1" s="255" t="s">
        <v>1158</v>
      </c>
      <c r="AD1" s="255" t="s">
        <v>1711</v>
      </c>
      <c r="AE1" s="255" t="s">
        <v>1159</v>
      </c>
      <c r="AF1" s="256" t="s">
        <v>1160</v>
      </c>
      <c r="AG1" s="268" t="s">
        <v>1152</v>
      </c>
      <c r="AH1" s="287" t="s">
        <v>1712</v>
      </c>
    </row>
    <row r="2" spans="1:35" ht="16.5" x14ac:dyDescent="0.3">
      <c r="A2" s="166">
        <v>45677</v>
      </c>
      <c r="B2" s="166" t="str">
        <f>TEXT(Detalles2025[[#This Row],[Fecha]],"AAAA")</f>
        <v>2025</v>
      </c>
      <c r="C2" s="166" t="str">
        <f>TEXT(Detalles2025[[#This Row],[Fecha]],"MMMM")</f>
        <v>enero</v>
      </c>
      <c r="D2" s="166" t="str">
        <f>TEXT(Detalles2025[[#This Row],[Fecha]],"DDDD")</f>
        <v>lunes</v>
      </c>
      <c r="E2" s="192" t="s">
        <v>909</v>
      </c>
      <c r="F2" s="193">
        <v>1</v>
      </c>
      <c r="G2" s="194">
        <v>4</v>
      </c>
      <c r="H2" s="269" t="str">
        <f>IF(G2=1,Leyenda!$C$3,IF(G2=2,Leyenda!$C$4,IF(G2=3,Leyenda!$C$5,IF(G2=4,Leyenda!$C$6,IF(G2=5,Leyenda!$C$7,IF(G2=6,Leyenda!$C$8,IF(G2=7,Leyenda!$C$9,IF(G2=8,Leyenda!$C$10," "))))))))&amp;IF(G2=9,Leyenda!$C$11,IF(G2=10,Leyenda!$C$12,IF(G2=11,Leyenda!$C$13,IF(G2=12,Leyenda!$C$14," "))))</f>
        <v xml:space="preserve">GASTOS DE ACTIVOS FIJO </v>
      </c>
      <c r="I2" s="196" t="s">
        <v>1713</v>
      </c>
      <c r="K2" s="257">
        <v>202501</v>
      </c>
      <c r="L2" s="191">
        <v>20</v>
      </c>
      <c r="M2" s="191"/>
      <c r="O2" s="197">
        <v>0</v>
      </c>
      <c r="P2" s="197">
        <v>3400</v>
      </c>
      <c r="Q2" s="198">
        <f t="shared" ref="Q2:Q84" si="0">SUM(O2:P2)</f>
        <v>3400</v>
      </c>
      <c r="R2" s="199">
        <v>0</v>
      </c>
      <c r="S2" s="199"/>
      <c r="T2" s="199"/>
      <c r="U2" s="199">
        <v>0</v>
      </c>
      <c r="V2" s="199"/>
      <c r="W2" s="199"/>
      <c r="X2" s="199"/>
      <c r="Y2" s="199"/>
      <c r="Z2" s="199"/>
      <c r="AA2" s="199">
        <v>0</v>
      </c>
      <c r="AB2" s="199">
        <v>0</v>
      </c>
      <c r="AC2" s="199">
        <v>0</v>
      </c>
      <c r="AD2" s="199">
        <f>SUM(Detalles2025[[#This Row],[Monto Facturado]:[Monto Propina Legal]])</f>
        <v>3400</v>
      </c>
      <c r="AE2" s="199" t="s">
        <v>1714</v>
      </c>
      <c r="AF2" s="200" t="str">
        <f>IFERROR(VLOOKUP(E2,Tabla3[],2,0),"No Registrado")</f>
        <v>Strata, S.R.L.</v>
      </c>
      <c r="AG2" s="200" t="s">
        <v>1715</v>
      </c>
      <c r="AH2" s="199" t="s">
        <v>1716</v>
      </c>
    </row>
    <row r="3" spans="1:35" ht="16.5" x14ac:dyDescent="0.3">
      <c r="A3" s="166">
        <v>45675</v>
      </c>
      <c r="B3" s="166" t="str">
        <f>TEXT(Detalles2025[[#This Row],[Fecha]],"AAAA")</f>
        <v>2025</v>
      </c>
      <c r="C3" s="166" t="str">
        <f>TEXT(Detalles2025[[#This Row],[Fecha]],"MMMM")</f>
        <v>enero</v>
      </c>
      <c r="D3" s="166" t="str">
        <f>TEXT(Detalles2025[[#This Row],[Fecha]],"DDDD")</f>
        <v>sábado</v>
      </c>
      <c r="E3" s="192" t="s">
        <v>909</v>
      </c>
      <c r="F3" s="193">
        <v>1</v>
      </c>
      <c r="G3" s="194">
        <v>4</v>
      </c>
      <c r="H3" s="269" t="str">
        <f>IF(G3=1,Leyenda!$C$3,IF(G3=2,Leyenda!$C$4,IF(G3=3,Leyenda!$C$5,IF(G3=4,Leyenda!$C$6,IF(G3=5,Leyenda!$C$7,IF(G3=6,Leyenda!$C$8,IF(G3=7,Leyenda!$C$9,IF(G3=8,Leyenda!$C$10," "))))))))&amp;IF(G3=9,Leyenda!$C$11,IF(G3=10,Leyenda!$C$12,IF(G3=11,Leyenda!$C$13,IF(G3=12,Leyenda!$C$14," "))))</f>
        <v xml:space="preserve">GASTOS DE ACTIVOS FIJO </v>
      </c>
      <c r="I3" s="196" t="s">
        <v>1174</v>
      </c>
      <c r="K3" s="258">
        <f t="shared" ref="K3" si="1">IF($G3=0," ",$K$2)</f>
        <v>202501</v>
      </c>
      <c r="L3" s="191">
        <v>18</v>
      </c>
      <c r="M3" s="191"/>
      <c r="O3" s="197">
        <v>0</v>
      </c>
      <c r="P3" s="197">
        <v>4702</v>
      </c>
      <c r="Q3" s="198">
        <f t="shared" si="0"/>
        <v>4702</v>
      </c>
      <c r="R3" s="199">
        <v>0</v>
      </c>
      <c r="S3" s="199"/>
      <c r="T3" s="199"/>
      <c r="U3" s="199">
        <v>0</v>
      </c>
      <c r="V3" s="199"/>
      <c r="W3" s="199"/>
      <c r="X3" s="199"/>
      <c r="Y3" s="199"/>
      <c r="Z3" s="199"/>
      <c r="AA3" s="199">
        <v>0</v>
      </c>
      <c r="AB3" s="199">
        <v>0</v>
      </c>
      <c r="AC3" s="199">
        <v>0</v>
      </c>
      <c r="AD3" s="199">
        <f>SUM(Detalles2025[[#This Row],[Monto Facturado]:[Monto Propina Legal]])</f>
        <v>4702</v>
      </c>
      <c r="AE3" s="199" t="s">
        <v>1714</v>
      </c>
      <c r="AF3" s="200" t="str">
        <f>IFERROR(VLOOKUP(E3,Tabla3[],2,0),"No Registrado")</f>
        <v>Strata, S.R.L.</v>
      </c>
      <c r="AG3" s="200" t="s">
        <v>1173</v>
      </c>
      <c r="AH3" s="199" t="s">
        <v>1717</v>
      </c>
    </row>
    <row r="4" spans="1:35" ht="16.5" x14ac:dyDescent="0.3">
      <c r="A4" s="166">
        <v>45688</v>
      </c>
      <c r="B4" s="166" t="str">
        <f>TEXT(Detalles2025[[#This Row],[Fecha]],"AAAA")</f>
        <v>2025</v>
      </c>
      <c r="C4" s="166" t="str">
        <f>TEXT(Detalles2025[[#This Row],[Fecha]],"MMMM")</f>
        <v>enero</v>
      </c>
      <c r="D4" s="166" t="str">
        <f>TEXT(Detalles2025[[#This Row],[Fecha]],"DDDD")</f>
        <v>viernes</v>
      </c>
      <c r="E4" s="192" t="s">
        <v>1122</v>
      </c>
      <c r="F4" s="193">
        <v>1</v>
      </c>
      <c r="G4" s="194">
        <v>2</v>
      </c>
      <c r="H4" s="269" t="str">
        <f>IF(G4=1,Leyenda!$C$3,IF(G4=2,Leyenda!$C$4,IF(G4=3,Leyenda!$C$5,IF(G4=4,Leyenda!$C$6,IF(G4=5,Leyenda!$C$7,IF(G4=6,Leyenda!$C$8,IF(G4=7,Leyenda!$C$9,IF(G4=8,Leyenda!$C$10," "))))))))&amp;IF(G4=9,Leyenda!$C$11,IF(G4=10,Leyenda!$C$12,IF(G4=11,Leyenda!$C$13,IF(G4=12,Leyenda!$C$14," "))))</f>
        <v xml:space="preserve">GASTOS POR TRABAJOS, SUMINISTROS Y SERVICIOS </v>
      </c>
      <c r="I4" s="196" t="s">
        <v>1718</v>
      </c>
      <c r="K4" s="258">
        <f>IF($G4=0," ",$K$2)</f>
        <v>202501</v>
      </c>
      <c r="L4" s="191">
        <v>31</v>
      </c>
      <c r="M4" s="191"/>
      <c r="O4" s="197">
        <v>0</v>
      </c>
      <c r="P4" s="197">
        <v>800</v>
      </c>
      <c r="Q4" s="198">
        <f t="shared" si="0"/>
        <v>800</v>
      </c>
      <c r="R4" s="199">
        <v>0</v>
      </c>
      <c r="S4" s="199"/>
      <c r="T4" s="199"/>
      <c r="U4" s="199">
        <v>0</v>
      </c>
      <c r="V4" s="199">
        <v>0</v>
      </c>
      <c r="W4" s="199">
        <v>0</v>
      </c>
      <c r="X4" s="199">
        <v>0</v>
      </c>
      <c r="Y4" s="199">
        <v>0</v>
      </c>
      <c r="Z4" s="199">
        <v>0</v>
      </c>
      <c r="AA4" s="199">
        <v>0</v>
      </c>
      <c r="AB4" s="199">
        <v>0</v>
      </c>
      <c r="AC4" s="199">
        <v>0</v>
      </c>
      <c r="AD4" s="199">
        <f>SUM(Detalles2025[[#This Row],[Monto Facturado]:[Monto Propina Legal]])</f>
        <v>800</v>
      </c>
      <c r="AE4" s="199" t="s">
        <v>1714</v>
      </c>
      <c r="AF4" s="200" t="str">
        <f>IFERROR(VLOOKUP(E4,Tabla3[],2,0),"No Registrado")</f>
        <v>U.S. POLO ASSN</v>
      </c>
      <c r="AG4" s="200" t="s">
        <v>1719</v>
      </c>
      <c r="AH4" s="199" t="s">
        <v>1720</v>
      </c>
    </row>
    <row r="5" spans="1:35" ht="16.5" x14ac:dyDescent="0.3">
      <c r="A5" s="166">
        <v>45664</v>
      </c>
      <c r="B5" s="166" t="str">
        <f>TEXT(Detalles2025[[#This Row],[Fecha]],"AAAA")</f>
        <v>2025</v>
      </c>
      <c r="C5" s="166" t="str">
        <f>TEXT(Detalles2025[[#This Row],[Fecha]],"MMMM")</f>
        <v>enero</v>
      </c>
      <c r="D5" s="166" t="str">
        <f>TEXT(Detalles2025[[#This Row],[Fecha]],"DDDD")</f>
        <v>martes</v>
      </c>
      <c r="E5" s="192" t="s">
        <v>1124</v>
      </c>
      <c r="F5" s="193">
        <v>1</v>
      </c>
      <c r="G5" s="194">
        <v>2</v>
      </c>
      <c r="H5" s="269" t="str">
        <f>IF(G5=1,Leyenda!$C$3,IF(G5=2,Leyenda!$C$4,IF(G5=3,Leyenda!$C$5,IF(G5=4,Leyenda!$C$6,IF(G5=5,Leyenda!$C$7,IF(G5=6,Leyenda!$C$8,IF(G5=7,Leyenda!$C$9,IF(G5=8,Leyenda!$C$10," "))))))))&amp;IF(G5=9,Leyenda!$C$11,IF(G5=10,Leyenda!$C$12,IF(G5=11,Leyenda!$C$13,IF(G5=12,Leyenda!$C$14," "))))</f>
        <v xml:space="preserve">GASTOS POR TRABAJOS, SUMINISTROS Y SERVICIOS </v>
      </c>
      <c r="I5" s="196" t="s">
        <v>1721</v>
      </c>
      <c r="K5" s="258">
        <f t="shared" ref="K5:K49" si="2">IF($G5=0," ",$K$2)</f>
        <v>202501</v>
      </c>
      <c r="L5" s="191">
        <v>7</v>
      </c>
      <c r="M5" s="191"/>
      <c r="O5" s="197">
        <v>0</v>
      </c>
      <c r="P5" s="197">
        <v>634.75</v>
      </c>
      <c r="Q5" s="198">
        <f t="shared" si="0"/>
        <v>634.75</v>
      </c>
      <c r="R5" s="199">
        <v>114.26</v>
      </c>
      <c r="S5" s="199"/>
      <c r="T5" s="199"/>
      <c r="U5" s="199">
        <v>0</v>
      </c>
      <c r="V5" s="199">
        <v>0</v>
      </c>
      <c r="W5" s="199">
        <v>0</v>
      </c>
      <c r="X5" s="199">
        <v>0</v>
      </c>
      <c r="Y5" s="199">
        <v>0</v>
      </c>
      <c r="Z5" s="199">
        <v>0</v>
      </c>
      <c r="AA5" s="199">
        <v>0</v>
      </c>
      <c r="AB5" s="199">
        <v>0</v>
      </c>
      <c r="AC5" s="199">
        <v>0</v>
      </c>
      <c r="AD5" s="199">
        <f>SUM(Detalles2025[[#This Row],[Monto Facturado]:[Monto Propina Legal]])</f>
        <v>749.01</v>
      </c>
      <c r="AE5" s="199" t="s">
        <v>1714</v>
      </c>
      <c r="AF5" s="200" t="str">
        <f>IFERROR(VLOOKUP(E5,Tabla3[],2,0),"No Registrado")</f>
        <v>Little Ceasars Pizza Alma Rosa</v>
      </c>
      <c r="AG5" s="200" t="s">
        <v>1722</v>
      </c>
      <c r="AH5" s="199" t="s">
        <v>1723</v>
      </c>
    </row>
    <row r="6" spans="1:35" ht="16.5" x14ac:dyDescent="0.3">
      <c r="A6" s="166">
        <f t="shared" ref="A6:A14" si="3">DATE(LEFT(K6,4),RIGHT(K6,2),L6)</f>
        <v>45683</v>
      </c>
      <c r="B6" s="166" t="str">
        <f>TEXT(Detalles2025[[#This Row],[Fecha]],"AAAA")</f>
        <v>2025</v>
      </c>
      <c r="C6" s="166" t="str">
        <f>TEXT(Detalles2025[[#This Row],[Fecha]],"MMMM")</f>
        <v>enero</v>
      </c>
      <c r="D6" s="166" t="str">
        <f>TEXT(Detalles2025[[#This Row],[Fecha]],"DDDD")</f>
        <v>domingo</v>
      </c>
      <c r="E6" s="192" t="s">
        <v>1724</v>
      </c>
      <c r="F6" s="193">
        <v>1</v>
      </c>
      <c r="G6" s="194">
        <v>12</v>
      </c>
      <c r="H6" s="269" t="str">
        <f>IF(G6=1,Leyenda!$C$3,IF(G6=2,Leyenda!$C$4,IF(G6=3,Leyenda!$C$5,IF(G6=4,Leyenda!$C$6,IF(G6=5,Leyenda!$C$7,IF(G6=6,Leyenda!$C$8,IF(G6=7,Leyenda!$C$9,IF(G6=8,Leyenda!$C$10," "))))))))&amp;IF(G6=9,Leyenda!$C$11,IF(G6=10,Leyenda!$C$12,IF(G6=11,Leyenda!$C$13,IF(G6=12,Leyenda!$C$14," "))))</f>
        <v xml:space="preserve"> GASTOS MENORES</v>
      </c>
      <c r="I6" s="196">
        <v>0</v>
      </c>
      <c r="K6" s="258">
        <f t="shared" ref="K6:K14" si="4">IF($G6=0," ",$K$3)</f>
        <v>202501</v>
      </c>
      <c r="L6" s="191">
        <v>26</v>
      </c>
      <c r="M6" s="191"/>
      <c r="O6" s="197">
        <v>0</v>
      </c>
      <c r="P6" s="197">
        <v>6000</v>
      </c>
      <c r="Q6" s="198">
        <f t="shared" si="0"/>
        <v>6000</v>
      </c>
      <c r="R6" s="199">
        <v>0</v>
      </c>
      <c r="S6" s="199">
        <v>0</v>
      </c>
      <c r="T6" s="199">
        <v>0</v>
      </c>
      <c r="U6" s="199">
        <v>0</v>
      </c>
      <c r="V6" s="199">
        <v>0</v>
      </c>
      <c r="W6" s="199">
        <v>0</v>
      </c>
      <c r="X6" s="199">
        <v>0</v>
      </c>
      <c r="Y6" s="199">
        <v>0</v>
      </c>
      <c r="Z6" s="199">
        <v>0</v>
      </c>
      <c r="AA6" s="199">
        <v>0</v>
      </c>
      <c r="AB6" s="199">
        <v>0</v>
      </c>
      <c r="AC6" s="199">
        <v>0</v>
      </c>
      <c r="AD6" s="199">
        <f>SUM(Detalles2025[[#This Row],[Monto Facturado]:[Monto Propina Legal]])</f>
        <v>6000</v>
      </c>
      <c r="AE6" s="199" t="s">
        <v>1725</v>
      </c>
      <c r="AF6" s="200" t="str">
        <f>IFERROR(VLOOKUP(E6,Tabla3[],2,0),"No Registrado")</f>
        <v>No Registrado</v>
      </c>
      <c r="AG6" s="200" t="s">
        <v>1726</v>
      </c>
      <c r="AH6" s="199" t="s">
        <v>1727</v>
      </c>
    </row>
    <row r="7" spans="1:35" ht="16.5" x14ac:dyDescent="0.3">
      <c r="A7" s="166">
        <f t="shared" si="3"/>
        <v>45683</v>
      </c>
      <c r="B7" s="166" t="str">
        <f>TEXT(Detalles2025[[#This Row],[Fecha]],"AAAA")</f>
        <v>2025</v>
      </c>
      <c r="C7" s="166" t="str">
        <f>TEXT(Detalles2025[[#This Row],[Fecha]],"MMMM")</f>
        <v>enero</v>
      </c>
      <c r="D7" s="166" t="str">
        <f>TEXT(Detalles2025[[#This Row],[Fecha]],"DDDD")</f>
        <v>domingo</v>
      </c>
      <c r="E7" s="192" t="s">
        <v>1728</v>
      </c>
      <c r="F7" s="193">
        <v>1</v>
      </c>
      <c r="G7" s="194">
        <v>12</v>
      </c>
      <c r="H7" s="269" t="str">
        <f>IF(G7=1,Leyenda!$C$3,IF(G7=2,Leyenda!$C$4,IF(G7=3,Leyenda!$C$5,IF(G7=4,Leyenda!$C$6,IF(G7=5,Leyenda!$C$7,IF(G7=6,Leyenda!$C$8,IF(G7=7,Leyenda!$C$9,IF(G7=8,Leyenda!$C$10," "))))))))&amp;IF(G7=9,Leyenda!$C$11,IF(G7=10,Leyenda!$C$12,IF(G7=11,Leyenda!$C$13,IF(G7=12,Leyenda!$C$14," "))))</f>
        <v xml:space="preserve"> GASTOS MENORES</v>
      </c>
      <c r="I7" s="196">
        <v>0</v>
      </c>
      <c r="K7" s="258">
        <f t="shared" si="4"/>
        <v>202501</v>
      </c>
      <c r="L7" s="191">
        <v>26</v>
      </c>
      <c r="M7" s="191"/>
      <c r="O7" s="197">
        <v>0</v>
      </c>
      <c r="P7" s="197">
        <v>3000</v>
      </c>
      <c r="Q7" s="198">
        <f t="shared" si="0"/>
        <v>3000</v>
      </c>
      <c r="R7" s="199">
        <v>0</v>
      </c>
      <c r="S7" s="199">
        <v>0</v>
      </c>
      <c r="T7" s="199">
        <v>0</v>
      </c>
      <c r="U7" s="199">
        <v>0</v>
      </c>
      <c r="V7" s="199">
        <v>0</v>
      </c>
      <c r="W7" s="199">
        <v>0</v>
      </c>
      <c r="X7" s="199">
        <v>0</v>
      </c>
      <c r="Y7" s="199">
        <v>0</v>
      </c>
      <c r="Z7" s="199">
        <v>0</v>
      </c>
      <c r="AA7" s="199">
        <v>0</v>
      </c>
      <c r="AB7" s="199">
        <v>0</v>
      </c>
      <c r="AC7" s="199">
        <v>0</v>
      </c>
      <c r="AD7" s="199">
        <f>SUM(Detalles2025[[#This Row],[Monto Facturado]:[Monto Propina Legal]])</f>
        <v>3000</v>
      </c>
      <c r="AE7" s="199" t="s">
        <v>1725</v>
      </c>
      <c r="AF7" s="200" t="str">
        <f>IFERROR(VLOOKUP(E7,Tabla3[],2,0),"No Registrado")</f>
        <v>No Registrado</v>
      </c>
      <c r="AG7" s="200" t="s">
        <v>1726</v>
      </c>
      <c r="AH7" s="199" t="s">
        <v>1161</v>
      </c>
    </row>
    <row r="8" spans="1:35" ht="16.5" x14ac:dyDescent="0.3">
      <c r="A8" s="166">
        <f t="shared" si="3"/>
        <v>45683</v>
      </c>
      <c r="B8" s="166" t="str">
        <f>TEXT(Detalles2025[[#This Row],[Fecha]],"AAAA")</f>
        <v>2025</v>
      </c>
      <c r="C8" s="166" t="str">
        <f>TEXT(Detalles2025[[#This Row],[Fecha]],"MMMM")</f>
        <v>enero</v>
      </c>
      <c r="D8" s="166" t="str">
        <f>TEXT(Detalles2025[[#This Row],[Fecha]],"DDDD")</f>
        <v>domingo</v>
      </c>
      <c r="E8" s="192" t="s">
        <v>1729</v>
      </c>
      <c r="F8" s="193">
        <v>1</v>
      </c>
      <c r="G8" s="194">
        <v>12</v>
      </c>
      <c r="H8" s="269" t="str">
        <f>IF(G8=1,Leyenda!$C$3,IF(G8=2,Leyenda!$C$4,IF(G8=3,Leyenda!$C$5,IF(G8=4,Leyenda!$C$6,IF(G8=5,Leyenda!$C$7,IF(G8=6,Leyenda!$C$8,IF(G8=7,Leyenda!$C$9,IF(G8=8,Leyenda!$C$10," "))))))))&amp;IF(G8=9,Leyenda!$C$11,IF(G8=10,Leyenda!$C$12,IF(G8=11,Leyenda!$C$13,IF(G8=12,Leyenda!$C$14," "))))</f>
        <v xml:space="preserve"> GASTOS MENORES</v>
      </c>
      <c r="I8" s="196">
        <v>0</v>
      </c>
      <c r="K8" s="258">
        <f t="shared" si="4"/>
        <v>202501</v>
      </c>
      <c r="L8" s="191">
        <v>26</v>
      </c>
      <c r="M8" s="191"/>
      <c r="O8" s="197">
        <v>0</v>
      </c>
      <c r="P8" s="197">
        <v>1500</v>
      </c>
      <c r="Q8" s="198">
        <f t="shared" si="0"/>
        <v>1500</v>
      </c>
      <c r="R8" s="199">
        <v>0</v>
      </c>
      <c r="S8" s="199">
        <v>0</v>
      </c>
      <c r="T8" s="199">
        <v>0</v>
      </c>
      <c r="U8" s="199">
        <v>0</v>
      </c>
      <c r="V8" s="199">
        <v>0</v>
      </c>
      <c r="W8" s="199">
        <v>0</v>
      </c>
      <c r="X8" s="199">
        <v>0</v>
      </c>
      <c r="Y8" s="199">
        <v>0</v>
      </c>
      <c r="Z8" s="199">
        <v>0</v>
      </c>
      <c r="AA8" s="199">
        <v>0</v>
      </c>
      <c r="AB8" s="199">
        <v>0</v>
      </c>
      <c r="AC8" s="199">
        <v>0</v>
      </c>
      <c r="AD8" s="199">
        <f>SUM(Detalles2025[[#This Row],[Monto Facturado]:[Monto Propina Legal]])</f>
        <v>1500</v>
      </c>
      <c r="AE8" s="199" t="s">
        <v>1730</v>
      </c>
      <c r="AF8" s="200" t="str">
        <f>IFERROR(VLOOKUP(E8,Tabla3[],2,0),"No Registrado")</f>
        <v>No Registrado</v>
      </c>
      <c r="AG8" s="200" t="s">
        <v>1726</v>
      </c>
      <c r="AH8" s="199" t="s">
        <v>1168</v>
      </c>
    </row>
    <row r="9" spans="1:35" ht="16.5" x14ac:dyDescent="0.3">
      <c r="A9" s="166">
        <f t="shared" si="3"/>
        <v>45683</v>
      </c>
      <c r="B9" s="166" t="str">
        <f>TEXT(Detalles2025[[#This Row],[Fecha]],"AAAA")</f>
        <v>2025</v>
      </c>
      <c r="C9" s="166" t="str">
        <f>TEXT(Detalles2025[[#This Row],[Fecha]],"MMMM")</f>
        <v>enero</v>
      </c>
      <c r="D9" s="166" t="str">
        <f>TEXT(Detalles2025[[#This Row],[Fecha]],"DDDD")</f>
        <v>domingo</v>
      </c>
      <c r="E9" s="192" t="s">
        <v>1731</v>
      </c>
      <c r="F9" s="193">
        <v>1</v>
      </c>
      <c r="G9" s="194">
        <v>12</v>
      </c>
      <c r="H9" s="269" t="str">
        <f>IF(G9=1,Leyenda!$C$3,IF(G9=2,Leyenda!$C$4,IF(G9=3,Leyenda!$C$5,IF(G9=4,Leyenda!$C$6,IF(G9=5,Leyenda!$C$7,IF(G9=6,Leyenda!$C$8,IF(G9=7,Leyenda!$C$9,IF(G9=8,Leyenda!$C$10," "))))))))&amp;IF(G9=9,Leyenda!$C$11,IF(G9=10,Leyenda!$C$12,IF(G9=11,Leyenda!$C$13,IF(G9=12,Leyenda!$C$14," "))))</f>
        <v xml:space="preserve"> GASTOS MENORES</v>
      </c>
      <c r="I9" s="196">
        <v>0</v>
      </c>
      <c r="K9" s="258">
        <f t="shared" si="4"/>
        <v>202501</v>
      </c>
      <c r="L9" s="191">
        <v>26</v>
      </c>
      <c r="M9" s="191"/>
      <c r="O9" s="197">
        <v>0</v>
      </c>
      <c r="P9" s="197">
        <v>500</v>
      </c>
      <c r="Q9" s="198">
        <f t="shared" si="0"/>
        <v>500</v>
      </c>
      <c r="R9" s="199">
        <v>0</v>
      </c>
      <c r="S9" s="199">
        <v>0</v>
      </c>
      <c r="T9" s="199">
        <v>0</v>
      </c>
      <c r="U9" s="199">
        <v>0</v>
      </c>
      <c r="V9" s="199">
        <v>0</v>
      </c>
      <c r="W9" s="199">
        <v>0</v>
      </c>
      <c r="X9" s="199">
        <v>0</v>
      </c>
      <c r="Y9" s="199">
        <v>0</v>
      </c>
      <c r="Z9" s="199">
        <v>0</v>
      </c>
      <c r="AA9" s="199">
        <v>0</v>
      </c>
      <c r="AB9" s="199">
        <v>0</v>
      </c>
      <c r="AC9" s="199">
        <v>0</v>
      </c>
      <c r="AD9" s="199">
        <f>SUM(Detalles2025[[#This Row],[Monto Facturado]:[Monto Propina Legal]])</f>
        <v>500</v>
      </c>
      <c r="AE9" s="199" t="s">
        <v>1730</v>
      </c>
      <c r="AF9" s="200" t="str">
        <f>IFERROR(VLOOKUP(E9,Tabla3[],2,0),"No Registrado")</f>
        <v>No Registrado</v>
      </c>
      <c r="AG9" s="200" t="s">
        <v>1726</v>
      </c>
      <c r="AH9" s="199" t="s">
        <v>1732</v>
      </c>
    </row>
    <row r="10" spans="1:35" ht="16.5" x14ac:dyDescent="0.3">
      <c r="A10" s="166">
        <f t="shared" si="3"/>
        <v>45683</v>
      </c>
      <c r="B10" s="166" t="str">
        <f>TEXT(Detalles2025[[#This Row],[Fecha]],"AAAA")</f>
        <v>2025</v>
      </c>
      <c r="C10" s="166" t="str">
        <f>TEXT(Detalles2025[[#This Row],[Fecha]],"MMMM")</f>
        <v>enero</v>
      </c>
      <c r="D10" s="166" t="str">
        <f>TEXT(Detalles2025[[#This Row],[Fecha]],"DDDD")</f>
        <v>domingo</v>
      </c>
      <c r="E10" s="192" t="s">
        <v>1733</v>
      </c>
      <c r="F10" s="193">
        <v>1</v>
      </c>
      <c r="G10" s="194">
        <v>12</v>
      </c>
      <c r="H10" s="269" t="str">
        <f>IF(G10=1,Leyenda!$C$3,IF(G10=2,Leyenda!$C$4,IF(G10=3,Leyenda!$C$5,IF(G10=4,Leyenda!$C$6,IF(G10=5,Leyenda!$C$7,IF(G10=6,Leyenda!$C$8,IF(G10=7,Leyenda!$C$9,IF(G10=8,Leyenda!$C$10," "))))))))&amp;IF(G10=9,Leyenda!$C$11,IF(G10=10,Leyenda!$C$12,IF(G10=11,Leyenda!$C$13,IF(G10=12,Leyenda!$C$14," "))))</f>
        <v xml:space="preserve"> GASTOS MENORES</v>
      </c>
      <c r="I10" s="196">
        <v>0</v>
      </c>
      <c r="K10" s="258">
        <f t="shared" si="4"/>
        <v>202501</v>
      </c>
      <c r="L10" s="191">
        <v>26</v>
      </c>
      <c r="M10" s="191"/>
      <c r="O10" s="197">
        <v>0</v>
      </c>
      <c r="P10" s="197">
        <v>500</v>
      </c>
      <c r="Q10" s="198">
        <f t="shared" si="0"/>
        <v>500</v>
      </c>
      <c r="R10" s="199">
        <v>0</v>
      </c>
      <c r="S10" s="199">
        <v>0</v>
      </c>
      <c r="T10" s="199">
        <v>0</v>
      </c>
      <c r="U10" s="199">
        <v>0</v>
      </c>
      <c r="V10" s="199">
        <v>0</v>
      </c>
      <c r="W10" s="199">
        <v>0</v>
      </c>
      <c r="X10" s="199">
        <v>0</v>
      </c>
      <c r="Y10" s="199">
        <v>0</v>
      </c>
      <c r="Z10" s="199">
        <v>0</v>
      </c>
      <c r="AA10" s="199">
        <v>0</v>
      </c>
      <c r="AB10" s="199">
        <v>0</v>
      </c>
      <c r="AC10" s="199">
        <v>0</v>
      </c>
      <c r="AD10" s="199">
        <f>SUM(Detalles2025[[#This Row],[Monto Facturado]:[Monto Propina Legal]])</f>
        <v>500</v>
      </c>
      <c r="AE10" s="199" t="s">
        <v>1730</v>
      </c>
      <c r="AF10" s="200" t="str">
        <f>IFERROR(VLOOKUP(E10,Tabla3[],2,0),"No Registrado")</f>
        <v>No Registrado</v>
      </c>
      <c r="AG10" s="200" t="s">
        <v>1726</v>
      </c>
      <c r="AH10" s="199" t="s">
        <v>1165</v>
      </c>
    </row>
    <row r="11" spans="1:35" ht="16.5" x14ac:dyDescent="0.3">
      <c r="A11" s="166">
        <f t="shared" si="3"/>
        <v>45673</v>
      </c>
      <c r="B11" s="166" t="str">
        <f>TEXT(Detalles2025[[#This Row],[Fecha]],"AAAA")</f>
        <v>2025</v>
      </c>
      <c r="C11" s="166" t="str">
        <f>TEXT(Detalles2025[[#This Row],[Fecha]],"MMMM")</f>
        <v>enero</v>
      </c>
      <c r="D11" s="166" t="str">
        <f>TEXT(Detalles2025[[#This Row],[Fecha]],"DDDD")</f>
        <v>jueves</v>
      </c>
      <c r="E11" s="192" t="s">
        <v>492</v>
      </c>
      <c r="F11" s="193">
        <v>1</v>
      </c>
      <c r="G11" s="194">
        <v>7</v>
      </c>
      <c r="H11" s="269" t="str">
        <f>IF(G11=1,Leyenda!$C$3,IF(G11=2,Leyenda!$C$4,IF(G11=3,Leyenda!$C$5,IF(G11=4,Leyenda!$C$6,IF(G11=5,Leyenda!$C$7,IF(G11=6,Leyenda!$C$8,IF(G11=7,Leyenda!$C$9,IF(G11=8,Leyenda!$C$10," "))))))))&amp;IF(G11=9,Leyenda!$C$11,IF(G11=10,Leyenda!$C$12,IF(G11=11,Leyenda!$C$13,IF(G11=12,Leyenda!$C$14," "))))</f>
        <v xml:space="preserve">GASTOS FINANCIEROS </v>
      </c>
      <c r="I11" s="196" t="s">
        <v>1697</v>
      </c>
      <c r="K11" s="258">
        <f t="shared" si="4"/>
        <v>202501</v>
      </c>
      <c r="L11" s="191">
        <v>16</v>
      </c>
      <c r="M11" s="191"/>
      <c r="O11" s="280">
        <v>0</v>
      </c>
      <c r="P11" s="76">
        <v>48000</v>
      </c>
      <c r="Q11" s="198">
        <f t="shared" si="0"/>
        <v>48000</v>
      </c>
      <c r="R11" s="199">
        <v>0</v>
      </c>
      <c r="S11" s="199"/>
      <c r="T11" s="199"/>
      <c r="U11" s="199">
        <v>0</v>
      </c>
      <c r="V11" s="199"/>
      <c r="W11" s="199"/>
      <c r="X11" s="199"/>
      <c r="Y11" s="199"/>
      <c r="Z11" s="199"/>
      <c r="AA11" s="199">
        <v>0</v>
      </c>
      <c r="AB11" s="199">
        <v>0</v>
      </c>
      <c r="AC11" s="199">
        <v>0</v>
      </c>
      <c r="AD11" s="199">
        <f>SUM(Detalles2025[[#This Row],[Monto Facturado]:[Monto Propina Legal]])</f>
        <v>48000</v>
      </c>
      <c r="AE11" s="199" t="s">
        <v>1725</v>
      </c>
      <c r="AF11" s="200" t="str">
        <f>IFERROR(VLOOKUP(E11,Tabla3[],2,0),"No Registrado")</f>
        <v>Banco Dominicano del Progreso, S. A.//Banco Multiple</v>
      </c>
      <c r="AG11" s="200" t="s">
        <v>1734</v>
      </c>
      <c r="AH11" s="199" t="s">
        <v>1735</v>
      </c>
    </row>
    <row r="12" spans="1:35" ht="16.5" x14ac:dyDescent="0.3">
      <c r="A12" s="166">
        <f t="shared" si="3"/>
        <v>45681</v>
      </c>
      <c r="B12" s="166" t="str">
        <f>TEXT(Detalles2025[[#This Row],[Fecha]],"AAAA")</f>
        <v>2025</v>
      </c>
      <c r="C12" s="166" t="str">
        <f>TEXT(Detalles2025[[#This Row],[Fecha]],"MMMM")</f>
        <v>enero</v>
      </c>
      <c r="D12" s="166" t="str">
        <f>TEXT(Detalles2025[[#This Row],[Fecha]],"DDDD")</f>
        <v>viernes</v>
      </c>
      <c r="E12" s="192" t="s">
        <v>1736</v>
      </c>
      <c r="F12" s="193">
        <v>1</v>
      </c>
      <c r="G12" s="194">
        <v>7</v>
      </c>
      <c r="H12" s="269" t="str">
        <f>IF(G12=1,Leyenda!$C$3,IF(G12=2,Leyenda!$C$4,IF(G12=3,Leyenda!$C$5,IF(G12=4,Leyenda!$C$6,IF(G12=5,Leyenda!$C$7,IF(G12=6,Leyenda!$C$8,IF(G12=7,Leyenda!$C$9,IF(G12=8,Leyenda!$C$10," "))))))))&amp;IF(G12=9,Leyenda!$C$11,IF(G12=10,Leyenda!$C$12,IF(G12=11,Leyenda!$C$13,IF(G12=12,Leyenda!$C$14," "))))</f>
        <v xml:space="preserve">GASTOS FINANCIEROS </v>
      </c>
      <c r="I12" s="196">
        <v>0</v>
      </c>
      <c r="K12" s="258">
        <f t="shared" si="4"/>
        <v>202501</v>
      </c>
      <c r="L12" s="191">
        <v>24</v>
      </c>
      <c r="M12" s="191"/>
      <c r="O12" s="280">
        <v>0</v>
      </c>
      <c r="P12" s="76">
        <v>23443.75</v>
      </c>
      <c r="Q12" s="198">
        <f t="shared" si="0"/>
        <v>23443.75</v>
      </c>
      <c r="R12" s="199">
        <v>0</v>
      </c>
      <c r="S12" s="199"/>
      <c r="T12" s="199"/>
      <c r="U12" s="199">
        <v>0</v>
      </c>
      <c r="V12" s="199"/>
      <c r="W12" s="199"/>
      <c r="X12" s="199"/>
      <c r="Y12" s="199"/>
      <c r="Z12" s="199"/>
      <c r="AA12" s="199">
        <v>0</v>
      </c>
      <c r="AB12" s="199">
        <v>0</v>
      </c>
      <c r="AC12" s="199">
        <v>0</v>
      </c>
      <c r="AD12" s="199">
        <f>SUM(Detalles2025[[#This Row],[Monto Facturado]:[Monto Propina Legal]])</f>
        <v>23443.75</v>
      </c>
      <c r="AE12" s="199" t="s">
        <v>1725</v>
      </c>
      <c r="AF12" s="200" t="str">
        <f>IFERROR(VLOOKUP(E12,Tabla3[],2,0),"No Registrado")</f>
        <v>No Registrado</v>
      </c>
      <c r="AG12" s="200" t="s">
        <v>1737</v>
      </c>
      <c r="AH12" s="199" t="s">
        <v>1735</v>
      </c>
    </row>
    <row r="13" spans="1:35" ht="16.5" x14ac:dyDescent="0.3">
      <c r="A13" s="166">
        <f t="shared" si="3"/>
        <v>45658</v>
      </c>
      <c r="B13" s="166" t="str">
        <f>TEXT(Detalles2025[[#This Row],[Fecha]],"AAAA")</f>
        <v>2025</v>
      </c>
      <c r="C13" s="166" t="str">
        <f>TEXT(Detalles2025[[#This Row],[Fecha]],"MMMM")</f>
        <v>enero</v>
      </c>
      <c r="D13" s="166" t="str">
        <f>TEXT(Detalles2025[[#This Row],[Fecha]],"DDDD")</f>
        <v>miércoles</v>
      </c>
      <c r="E13" s="192" t="s">
        <v>1738</v>
      </c>
      <c r="F13" s="193">
        <v>1</v>
      </c>
      <c r="G13" s="194">
        <v>7</v>
      </c>
      <c r="H13" s="269" t="str">
        <f>IF(G13=1,Leyenda!$C$3,IF(G13=2,Leyenda!$C$4,IF(G13=3,Leyenda!$C$5,IF(G13=4,Leyenda!$C$6,IF(G13=5,Leyenda!$C$7,IF(G13=6,Leyenda!$C$8,IF(G13=7,Leyenda!$C$9,IF(G13=8,Leyenda!$C$10," "))))))))&amp;IF(G13=9,Leyenda!$C$11,IF(G13=10,Leyenda!$C$12,IF(G13=11,Leyenda!$C$13,IF(G13=12,Leyenda!$C$14," "))))</f>
        <v xml:space="preserve">GASTOS FINANCIEROS </v>
      </c>
      <c r="I13" s="196">
        <v>0</v>
      </c>
      <c r="K13" s="258">
        <f t="shared" si="4"/>
        <v>202501</v>
      </c>
      <c r="L13" s="191">
        <v>1</v>
      </c>
      <c r="M13" s="191"/>
      <c r="O13" s="280">
        <v>0</v>
      </c>
      <c r="P13" s="76">
        <v>25404.27</v>
      </c>
      <c r="Q13" s="198">
        <f t="shared" si="0"/>
        <v>25404.27</v>
      </c>
      <c r="R13" s="199">
        <v>0</v>
      </c>
      <c r="S13" s="199"/>
      <c r="T13" s="199"/>
      <c r="U13" s="199">
        <v>0</v>
      </c>
      <c r="V13" s="199"/>
      <c r="W13" s="199"/>
      <c r="X13" s="199"/>
      <c r="Y13" s="199"/>
      <c r="Z13" s="199"/>
      <c r="AA13" s="199">
        <v>0</v>
      </c>
      <c r="AB13" s="199">
        <v>0</v>
      </c>
      <c r="AC13" s="199">
        <v>0</v>
      </c>
      <c r="AD13" s="199">
        <f>SUM(Detalles2025[[#This Row],[Monto Facturado]:[Monto Propina Legal]])</f>
        <v>25404.27</v>
      </c>
      <c r="AE13" s="199" t="s">
        <v>1725</v>
      </c>
      <c r="AF13" s="200" t="str">
        <f>IFERROR(VLOOKUP(E13,Tabla3[],2,0),"No Registrado")</f>
        <v>No Registrado</v>
      </c>
      <c r="AG13" s="200" t="s">
        <v>1739</v>
      </c>
      <c r="AH13" s="199" t="s">
        <v>1735</v>
      </c>
    </row>
    <row r="14" spans="1:35" ht="16.5" x14ac:dyDescent="0.3">
      <c r="A14" s="166">
        <f t="shared" si="3"/>
        <v>45661</v>
      </c>
      <c r="B14" s="166" t="str">
        <f>TEXT(Detalles2025[[#This Row],[Fecha]],"AAAA")</f>
        <v>2025</v>
      </c>
      <c r="C14" s="166" t="str">
        <f>TEXT(Detalles2025[[#This Row],[Fecha]],"MMMM")</f>
        <v>enero</v>
      </c>
      <c r="D14" s="166" t="str">
        <f>TEXT(Detalles2025[[#This Row],[Fecha]],"DDDD")</f>
        <v>sábado</v>
      </c>
      <c r="E14" s="192" t="s">
        <v>1740</v>
      </c>
      <c r="F14" s="193">
        <v>1</v>
      </c>
      <c r="G14" s="194">
        <v>7</v>
      </c>
      <c r="H14" s="269" t="str">
        <f>IF(G14=1,Leyenda!$C$3,IF(G14=2,Leyenda!$C$4,IF(G14=3,Leyenda!$C$5,IF(G14=4,Leyenda!$C$6,IF(G14=5,Leyenda!$C$7,IF(G14=6,Leyenda!$C$8,IF(G14=7,Leyenda!$C$9,IF(G14=8,Leyenda!$C$10," "))))))))&amp;IF(G14=9,Leyenda!$C$11,IF(G14=10,Leyenda!$C$12,IF(G14=11,Leyenda!$C$13,IF(G14=12,Leyenda!$C$14," "))))</f>
        <v xml:space="preserve">GASTOS FINANCIEROS </v>
      </c>
      <c r="I14" s="196">
        <v>0</v>
      </c>
      <c r="K14" s="258">
        <f t="shared" si="4"/>
        <v>202501</v>
      </c>
      <c r="L14" s="191">
        <v>4</v>
      </c>
      <c r="M14" s="191"/>
      <c r="O14" s="280">
        <v>0</v>
      </c>
      <c r="P14" s="76">
        <v>15208.33</v>
      </c>
      <c r="Q14" s="198">
        <f t="shared" si="0"/>
        <v>15208.33</v>
      </c>
      <c r="R14" s="199">
        <v>0</v>
      </c>
      <c r="S14" s="199"/>
      <c r="T14" s="199"/>
      <c r="U14" s="199">
        <v>0</v>
      </c>
      <c r="V14" s="199"/>
      <c r="W14" s="199"/>
      <c r="X14" s="199"/>
      <c r="Y14" s="199"/>
      <c r="Z14" s="199"/>
      <c r="AA14" s="199">
        <v>0</v>
      </c>
      <c r="AB14" s="199">
        <v>0</v>
      </c>
      <c r="AC14" s="199">
        <v>0</v>
      </c>
      <c r="AD14" s="199">
        <f>SUM(Detalles2025[[#This Row],[Monto Facturado]:[Monto Propina Legal]])</f>
        <v>15208.33</v>
      </c>
      <c r="AE14" s="199" t="s">
        <v>1725</v>
      </c>
      <c r="AF14" s="200" t="str">
        <f>IFERROR(VLOOKUP(E14,Tabla3[],2,0),"No Registrado")</f>
        <v>No Registrado</v>
      </c>
      <c r="AG14" s="200" t="s">
        <v>1737</v>
      </c>
      <c r="AH14" s="199" t="s">
        <v>1735</v>
      </c>
      <c r="AI14" s="76"/>
    </row>
    <row r="15" spans="1:35" ht="16.5" x14ac:dyDescent="0.3">
      <c r="A15" s="166">
        <v>45665</v>
      </c>
      <c r="B15" s="166" t="str">
        <f>TEXT(Detalles2025[[#This Row],[Fecha]],"AAAA")</f>
        <v>2025</v>
      </c>
      <c r="C15" s="166" t="str">
        <f>TEXT(Detalles2025[[#This Row],[Fecha]],"MMMM")</f>
        <v>enero</v>
      </c>
      <c r="D15" s="166" t="str">
        <f>TEXT(Detalles2025[[#This Row],[Fecha]],"DDDD")</f>
        <v>miércoles</v>
      </c>
      <c r="E15" s="192" t="s">
        <v>1126</v>
      </c>
      <c r="F15" s="193">
        <v>2</v>
      </c>
      <c r="G15" s="194">
        <v>2</v>
      </c>
      <c r="H15" s="269" t="str">
        <f>IF(G15=1,Leyenda!$C$3,IF(G15=2,Leyenda!$C$4,IF(G15=3,Leyenda!$C$5,IF(G15=4,Leyenda!$C$6,IF(G15=5,Leyenda!$C$7,IF(G15=6,Leyenda!$C$8,IF(G15=7,Leyenda!$C$9,IF(G15=8,Leyenda!$C$10," "))))))))&amp;IF(G15=9,Leyenda!$C$11,IF(G15=10,Leyenda!$C$12,IF(G15=11,Leyenda!$C$13,IF(G15=12,Leyenda!$C$14," "))))</f>
        <v xml:space="preserve">GASTOS POR TRABAJOS, SUMINISTROS Y SERVICIOS </v>
      </c>
      <c r="I15" s="196" t="s">
        <v>1741</v>
      </c>
      <c r="K15" s="258">
        <v>202501</v>
      </c>
      <c r="L15" s="191">
        <v>8</v>
      </c>
      <c r="M15" s="191"/>
      <c r="O15" s="197">
        <v>0</v>
      </c>
      <c r="P15" s="197">
        <v>885.59</v>
      </c>
      <c r="Q15" s="198">
        <f t="shared" si="0"/>
        <v>885.59</v>
      </c>
      <c r="R15" s="199">
        <v>159.41</v>
      </c>
      <c r="S15" s="199"/>
      <c r="T15" s="199"/>
      <c r="U15" s="199">
        <v>0</v>
      </c>
      <c r="V15" s="199">
        <v>0</v>
      </c>
      <c r="W15" s="199">
        <v>0</v>
      </c>
      <c r="X15" s="199">
        <v>0</v>
      </c>
      <c r="Y15" s="199">
        <v>0</v>
      </c>
      <c r="Z15" s="199">
        <v>0</v>
      </c>
      <c r="AA15" s="199">
        <v>0</v>
      </c>
      <c r="AB15" s="199">
        <v>0</v>
      </c>
      <c r="AC15" s="199">
        <v>0</v>
      </c>
      <c r="AD15" s="199">
        <f>SUM(Detalles2025[[#This Row],[Monto Facturado]:[Monto Propina Legal]])</f>
        <v>1045</v>
      </c>
      <c r="AE15" s="199" t="s">
        <v>1714</v>
      </c>
      <c r="AF15" s="200" t="str">
        <f>IFERROR(VLOOKUP(E15,Tabla3[],2,0),"No Registrado")</f>
        <v>Floremch Importaciones SRL</v>
      </c>
      <c r="AG15" s="200" t="s">
        <v>1719</v>
      </c>
      <c r="AH15" s="199" t="s">
        <v>1720</v>
      </c>
    </row>
    <row r="16" spans="1:35" ht="16.5" x14ac:dyDescent="0.3">
      <c r="A16" s="166">
        <v>45663</v>
      </c>
      <c r="B16" s="166" t="str">
        <f>TEXT(Detalles2025[[#This Row],[Fecha]],"AAAA")</f>
        <v>2025</v>
      </c>
      <c r="C16" s="166" t="str">
        <f>TEXT(Detalles2025[[#This Row],[Fecha]],"MMMM")</f>
        <v>enero</v>
      </c>
      <c r="D16" s="166" t="str">
        <f>TEXT(Detalles2025[[#This Row],[Fecha]],"DDDD")</f>
        <v>lunes</v>
      </c>
      <c r="E16" s="192" t="s">
        <v>533</v>
      </c>
      <c r="F16" s="193">
        <v>1</v>
      </c>
      <c r="G16" s="194">
        <v>2</v>
      </c>
      <c r="H16" s="269" t="str">
        <f>IF(G16=1,Leyenda!$C$3,IF(G16=2,Leyenda!$C$4,IF(G16=3,Leyenda!$C$5,IF(G16=4,Leyenda!$C$6,IF(G16=5,Leyenda!$C$7,IF(G16=6,Leyenda!$C$8,IF(G16=7,Leyenda!$C$9,IF(G16=8,Leyenda!$C$10," "))))))))&amp;IF(G16=9,Leyenda!$C$11,IF(G16=10,Leyenda!$C$12,IF(G16=11,Leyenda!$C$13,IF(G16=12,Leyenda!$C$14," "))))</f>
        <v xml:space="preserve">GASTOS POR TRABAJOS, SUMINISTROS Y SERVICIOS </v>
      </c>
      <c r="I16" s="196" t="s">
        <v>1742</v>
      </c>
      <c r="K16" s="258">
        <f t="shared" si="2"/>
        <v>202501</v>
      </c>
      <c r="L16" s="191">
        <v>6</v>
      </c>
      <c r="M16" s="191"/>
      <c r="O16" s="197">
        <v>0</v>
      </c>
      <c r="P16" s="197">
        <v>1216</v>
      </c>
      <c r="Q16" s="198">
        <f t="shared" si="0"/>
        <v>1216</v>
      </c>
      <c r="R16" s="199">
        <v>0</v>
      </c>
      <c r="S16" s="199"/>
      <c r="T16" s="199"/>
      <c r="U16" s="199">
        <v>0</v>
      </c>
      <c r="V16" s="199">
        <v>0</v>
      </c>
      <c r="W16" s="199">
        <v>0</v>
      </c>
      <c r="X16" s="199">
        <v>0</v>
      </c>
      <c r="Y16" s="199">
        <v>0</v>
      </c>
      <c r="Z16" s="199">
        <v>0</v>
      </c>
      <c r="AA16" s="199">
        <v>0</v>
      </c>
      <c r="AB16" s="199">
        <v>0</v>
      </c>
      <c r="AC16" s="199">
        <v>0</v>
      </c>
      <c r="AD16" s="199">
        <f>SUM(Detalles2025[[#This Row],[Monto Facturado]:[Monto Propina Legal]])</f>
        <v>1216</v>
      </c>
      <c r="AE16" s="199" t="s">
        <v>1714</v>
      </c>
      <c r="AF16" s="200" t="str">
        <f>IFERROR(VLOOKUP(E16,Tabla3[],2,0),"No Registrado")</f>
        <v>Farmacía Medicar GBC, A. H.</v>
      </c>
      <c r="AG16" s="200" t="s">
        <v>1743</v>
      </c>
      <c r="AH16" s="199" t="s">
        <v>1744</v>
      </c>
      <c r="AI16" s="76"/>
    </row>
    <row r="17" spans="1:36" ht="16.5" x14ac:dyDescent="0.3">
      <c r="A17" s="166">
        <v>45663</v>
      </c>
      <c r="B17" s="166" t="str">
        <f>TEXT(Detalles2025[[#This Row],[Fecha]],"AAAA")</f>
        <v>2025</v>
      </c>
      <c r="C17" s="166" t="str">
        <f>TEXT(Detalles2025[[#This Row],[Fecha]],"MMMM")</f>
        <v>enero</v>
      </c>
      <c r="D17" s="166" t="str">
        <f>TEXT(Detalles2025[[#This Row],[Fecha]],"DDDD")</f>
        <v>lunes</v>
      </c>
      <c r="E17" s="192" t="s">
        <v>1128</v>
      </c>
      <c r="F17" s="193">
        <v>1</v>
      </c>
      <c r="G17" s="194">
        <v>2</v>
      </c>
      <c r="H17" s="269" t="str">
        <f>IF(G17=1,Leyenda!$C$3,IF(G17=2,Leyenda!$C$4,IF(G17=3,Leyenda!$C$5,IF(G17=4,Leyenda!$C$6,IF(G17=5,Leyenda!$C$7,IF(G17=6,Leyenda!$C$8,IF(G17=7,Leyenda!$C$9,IF(G17=8,Leyenda!$C$10," "))))))))&amp;IF(G17=9,Leyenda!$C$11,IF(G17=10,Leyenda!$C$12,IF(G17=11,Leyenda!$C$13,IF(G17=12,Leyenda!$C$14," "))))</f>
        <v xml:space="preserve">GASTOS POR TRABAJOS, SUMINISTROS Y SERVICIOS </v>
      </c>
      <c r="I17" s="196" t="s">
        <v>1745</v>
      </c>
      <c r="K17" s="258">
        <f t="shared" si="2"/>
        <v>202501</v>
      </c>
      <c r="L17" s="191">
        <v>6</v>
      </c>
      <c r="M17" s="191"/>
      <c r="O17" s="197">
        <v>0</v>
      </c>
      <c r="P17" s="197">
        <f>699.98-106.78</f>
        <v>593.20000000000005</v>
      </c>
      <c r="Q17" s="198">
        <f t="shared" si="0"/>
        <v>593.20000000000005</v>
      </c>
      <c r="R17" s="199">
        <v>106.78</v>
      </c>
      <c r="S17" s="199"/>
      <c r="T17" s="199"/>
      <c r="U17" s="199">
        <v>0</v>
      </c>
      <c r="V17" s="199">
        <v>0</v>
      </c>
      <c r="W17" s="199">
        <v>0</v>
      </c>
      <c r="X17" s="199">
        <v>0</v>
      </c>
      <c r="Y17" s="199">
        <v>0</v>
      </c>
      <c r="Z17" s="199">
        <v>0</v>
      </c>
      <c r="AA17" s="199">
        <v>0</v>
      </c>
      <c r="AB17" s="199">
        <v>0</v>
      </c>
      <c r="AC17" s="199">
        <v>0</v>
      </c>
      <c r="AD17" s="199">
        <f>SUM(Detalles2025[[#This Row],[Monto Facturado]:[Monto Propina Legal]])</f>
        <v>699.98</v>
      </c>
      <c r="AE17" s="199" t="s">
        <v>1714</v>
      </c>
      <c r="AF17" s="200" t="str">
        <f>IFERROR(VLOOKUP(E17,Tabla3[],2,0),"No Registrado")</f>
        <v>Abastek Marketing SRL</v>
      </c>
      <c r="AG17" s="200" t="s">
        <v>1719</v>
      </c>
      <c r="AH17" s="199" t="s">
        <v>1720</v>
      </c>
    </row>
    <row r="18" spans="1:36" ht="16.5" x14ac:dyDescent="0.3">
      <c r="A18" s="166">
        <v>45679</v>
      </c>
      <c r="B18" s="166" t="str">
        <f>TEXT(Detalles2025[[#This Row],[Fecha]],"AAAA")</f>
        <v>2025</v>
      </c>
      <c r="C18" s="166" t="str">
        <f>TEXT(Detalles2025[[#This Row],[Fecha]],"MMMM")</f>
        <v>enero</v>
      </c>
      <c r="D18" s="166" t="str">
        <f>TEXT(Detalles2025[[#This Row],[Fecha]],"DDDD")</f>
        <v>miércoles</v>
      </c>
      <c r="E18" s="192" t="s">
        <v>1130</v>
      </c>
      <c r="F18" s="193">
        <v>1</v>
      </c>
      <c r="G18" s="194">
        <v>2</v>
      </c>
      <c r="H18" s="269" t="str">
        <f>IF(G18=1,Leyenda!$C$3,IF(G18=2,Leyenda!$C$4,IF(G18=3,Leyenda!$C$5,IF(G18=4,Leyenda!$C$6,IF(G18=5,Leyenda!$C$7,IF(G18=6,Leyenda!$C$8,IF(G18=7,Leyenda!$C$9,IF(G18=8,Leyenda!$C$10," "))))))))&amp;IF(G18=9,Leyenda!$C$11,IF(G18=10,Leyenda!$C$12,IF(G18=11,Leyenda!$C$13,IF(G18=12,Leyenda!$C$14," "))))</f>
        <v xml:space="preserve">GASTOS POR TRABAJOS, SUMINISTROS Y SERVICIOS </v>
      </c>
      <c r="I18" s="196" t="s">
        <v>1746</v>
      </c>
      <c r="K18" s="258">
        <f t="shared" si="2"/>
        <v>202501</v>
      </c>
      <c r="L18" s="191">
        <v>22</v>
      </c>
      <c r="M18" s="191"/>
      <c r="O18" s="197">
        <v>0</v>
      </c>
      <c r="P18" s="197">
        <v>751.52</v>
      </c>
      <c r="Q18" s="198">
        <f t="shared" si="0"/>
        <v>751.52</v>
      </c>
      <c r="R18" s="199">
        <v>0</v>
      </c>
      <c r="S18" s="199"/>
      <c r="T18" s="199"/>
      <c r="U18" s="199">
        <v>0</v>
      </c>
      <c r="V18" s="199">
        <v>0</v>
      </c>
      <c r="W18" s="199">
        <v>0</v>
      </c>
      <c r="X18" s="199">
        <v>0</v>
      </c>
      <c r="Y18" s="199">
        <v>0</v>
      </c>
      <c r="Z18" s="199">
        <v>0</v>
      </c>
      <c r="AA18" s="199">
        <v>0</v>
      </c>
      <c r="AB18" s="199">
        <v>0</v>
      </c>
      <c r="AC18" s="199">
        <v>0</v>
      </c>
      <c r="AD18" s="199">
        <f>SUM(Detalles2025[[#This Row],[Monto Facturado]:[Monto Propina Legal]])</f>
        <v>751.52</v>
      </c>
      <c r="AE18" s="199" t="s">
        <v>1714</v>
      </c>
      <c r="AF18" s="200" t="str">
        <f>IFERROR(VLOOKUP(E18,Tabla3[],2,0),"No Registrado")</f>
        <v>Farmacia VIP Mendo SRL</v>
      </c>
      <c r="AG18" s="200" t="s">
        <v>1743</v>
      </c>
      <c r="AH18" s="199" t="s">
        <v>1744</v>
      </c>
      <c r="AI18" s="76"/>
      <c r="AJ18" s="76"/>
    </row>
    <row r="19" spans="1:36" ht="16.5" x14ac:dyDescent="0.3">
      <c r="A19" s="166">
        <v>45687</v>
      </c>
      <c r="B19" s="166" t="str">
        <f>TEXT(Detalles2025[[#This Row],[Fecha]],"AAAA")</f>
        <v>2025</v>
      </c>
      <c r="C19" s="166" t="str">
        <f>TEXT(Detalles2025[[#This Row],[Fecha]],"MMMM")</f>
        <v>enero</v>
      </c>
      <c r="D19" s="166" t="str">
        <f>TEXT(Detalles2025[[#This Row],[Fecha]],"DDDD")</f>
        <v>jueves</v>
      </c>
      <c r="E19" s="192" t="s">
        <v>1132</v>
      </c>
      <c r="F19" s="193">
        <v>1</v>
      </c>
      <c r="G19" s="194">
        <v>2</v>
      </c>
      <c r="H19" s="269" t="str">
        <f>IF(G19=1,Leyenda!$C$3,IF(G19=2,Leyenda!$C$4,IF(G19=3,Leyenda!$C$5,IF(G19=4,Leyenda!$C$6,IF(G19=5,Leyenda!$C$7,IF(G19=6,Leyenda!$C$8,IF(G19=7,Leyenda!$C$9,IF(G19=8,Leyenda!$C$10," "))))))))&amp;IF(G19=9,Leyenda!$C$11,IF(G19=10,Leyenda!$C$12,IF(G19=11,Leyenda!$C$13,IF(G19=12,Leyenda!$C$14," "))))</f>
        <v xml:space="preserve">GASTOS POR TRABAJOS, SUMINISTROS Y SERVICIOS </v>
      </c>
      <c r="I19" s="196" t="s">
        <v>1747</v>
      </c>
      <c r="K19" s="258">
        <f t="shared" si="2"/>
        <v>202501</v>
      </c>
      <c r="L19" s="191">
        <v>30</v>
      </c>
      <c r="M19" s="191"/>
      <c r="O19" s="197">
        <v>0</v>
      </c>
      <c r="P19" s="197">
        <v>933.47</v>
      </c>
      <c r="Q19" s="198">
        <f t="shared" si="0"/>
        <v>933.47</v>
      </c>
      <c r="R19" s="199">
        <v>136.52000000000001</v>
      </c>
      <c r="S19" s="199"/>
      <c r="T19" s="199"/>
      <c r="U19" s="199">
        <v>0</v>
      </c>
      <c r="V19" s="199">
        <v>0</v>
      </c>
      <c r="W19" s="199">
        <v>0</v>
      </c>
      <c r="X19" s="199">
        <v>0</v>
      </c>
      <c r="Y19" s="199">
        <v>0</v>
      </c>
      <c r="Z19" s="199">
        <v>0</v>
      </c>
      <c r="AA19" s="199">
        <v>0</v>
      </c>
      <c r="AB19" s="199">
        <v>0</v>
      </c>
      <c r="AC19" s="199">
        <v>0</v>
      </c>
      <c r="AD19" s="199">
        <f>SUM(Detalles2025[[#This Row],[Monto Facturado]:[Monto Propina Legal]])</f>
        <v>1069.99</v>
      </c>
      <c r="AE19" s="199" t="s">
        <v>1714</v>
      </c>
      <c r="AF19" s="200" t="str">
        <f>IFERROR(VLOOKUP(E19,Tabla3[],2,0),"No Registrado")</f>
        <v>Grupo VARNET</v>
      </c>
      <c r="AG19" s="200" t="s">
        <v>1719</v>
      </c>
      <c r="AH19" s="199" t="s">
        <v>1720</v>
      </c>
    </row>
    <row r="20" spans="1:36" ht="16.5" x14ac:dyDescent="0.3">
      <c r="A20" s="166">
        <v>45666</v>
      </c>
      <c r="B20" s="166" t="str">
        <f>TEXT(Detalles2025[[#This Row],[Fecha]],"AAAA")</f>
        <v>2025</v>
      </c>
      <c r="C20" s="166" t="str">
        <f>TEXT(Detalles2025[[#This Row],[Fecha]],"MMMM")</f>
        <v>enero</v>
      </c>
      <c r="D20" s="166" t="str">
        <f>TEXT(Detalles2025[[#This Row],[Fecha]],"DDDD")</f>
        <v>jueves</v>
      </c>
      <c r="E20" s="259" t="s">
        <v>1118</v>
      </c>
      <c r="F20" s="193">
        <v>1</v>
      </c>
      <c r="G20" s="194">
        <v>4</v>
      </c>
      <c r="H20" s="269" t="str">
        <f>IF(G20=1,Leyenda!$C$3,IF(G20=2,Leyenda!$C$4,IF(G20=3,Leyenda!$C$5,IF(G20=4,Leyenda!$C$6,IF(G20=5,Leyenda!$C$7,IF(G20=6,Leyenda!$C$8,IF(G20=7,Leyenda!$C$9,IF(G20=8,Leyenda!$C$10," "))))))))&amp;IF(G20=9,Leyenda!$C$11,IF(G20=10,Leyenda!$C$12,IF(G20=11,Leyenda!$C$13,IF(G20=12,Leyenda!$C$14," "))))</f>
        <v xml:space="preserve">GASTOS DE ACTIVOS FIJO </v>
      </c>
      <c r="I20" s="196" t="s">
        <v>1748</v>
      </c>
      <c r="K20" s="258">
        <f t="shared" si="2"/>
        <v>202501</v>
      </c>
      <c r="L20" s="191">
        <v>9</v>
      </c>
      <c r="M20" s="191"/>
      <c r="O20" s="197">
        <v>0</v>
      </c>
      <c r="P20" s="197">
        <f>3870-590.34</f>
        <v>3279.66</v>
      </c>
      <c r="Q20" s="198">
        <f t="shared" si="0"/>
        <v>3279.66</v>
      </c>
      <c r="R20" s="199">
        <v>590.34</v>
      </c>
      <c r="S20" s="199"/>
      <c r="T20" s="199"/>
      <c r="U20" s="199">
        <v>0</v>
      </c>
      <c r="V20" s="199">
        <v>0</v>
      </c>
      <c r="W20" s="199">
        <v>0</v>
      </c>
      <c r="X20" s="199">
        <v>0</v>
      </c>
      <c r="Y20" s="199">
        <v>0</v>
      </c>
      <c r="Z20" s="199">
        <v>0</v>
      </c>
      <c r="AA20" s="199">
        <v>0</v>
      </c>
      <c r="AB20" s="199">
        <v>0</v>
      </c>
      <c r="AC20" s="199">
        <v>0</v>
      </c>
      <c r="AD20" s="199">
        <f>SUM(Detalles2025[[#This Row],[Monto Facturado]:[Monto Propina Legal]])</f>
        <v>3870</v>
      </c>
      <c r="AE20" s="199" t="s">
        <v>1714</v>
      </c>
      <c r="AF20" s="200" t="str">
        <f>IFERROR(VLOOKUP(E20,Tabla3[],2,0),"No Registrado")</f>
        <v>INDY PLAZA</v>
      </c>
      <c r="AG20" s="200" t="s">
        <v>1749</v>
      </c>
      <c r="AH20" s="199" t="s">
        <v>1716</v>
      </c>
      <c r="AI20" s="76"/>
    </row>
    <row r="21" spans="1:36" ht="16.5" x14ac:dyDescent="0.3">
      <c r="A21" s="166">
        <v>45684</v>
      </c>
      <c r="B21" s="166" t="str">
        <f>TEXT(Detalles2025[[#This Row],[Fecha]],"AAAA")</f>
        <v>2025</v>
      </c>
      <c r="C21" s="166" t="str">
        <f>TEXT(Detalles2025[[#This Row],[Fecha]],"MMMM")</f>
        <v>enero</v>
      </c>
      <c r="D21" s="166" t="str">
        <f>TEXT(Detalles2025[[#This Row],[Fecha]],"DDDD")</f>
        <v>lunes</v>
      </c>
      <c r="E21" s="192" t="s">
        <v>511</v>
      </c>
      <c r="F21" s="193">
        <v>1</v>
      </c>
      <c r="G21" s="194">
        <v>2</v>
      </c>
      <c r="H21" s="269" t="str">
        <f>IF(G21=1,Leyenda!$C$3,IF(G21=2,Leyenda!$C$4,IF(G21=3,Leyenda!$C$5,IF(G21=4,Leyenda!$C$6,IF(G21=5,Leyenda!$C$7,IF(G21=6,Leyenda!$C$8,IF(G21=7,Leyenda!$C$9,IF(G21=8,Leyenda!$C$10," "))))))))&amp;IF(G21=9,Leyenda!$C$11,IF(G21=10,Leyenda!$C$12,IF(G21=11,Leyenda!$C$13,IF(G21=12,Leyenda!$C$14," "))))</f>
        <v xml:space="preserve">GASTOS POR TRABAJOS, SUMINISTROS Y SERVICIOS </v>
      </c>
      <c r="I21" s="196" t="s">
        <v>1750</v>
      </c>
      <c r="K21" s="258">
        <f t="shared" si="2"/>
        <v>202501</v>
      </c>
      <c r="L21" s="191">
        <v>27</v>
      </c>
      <c r="M21" s="191"/>
      <c r="O21" s="197">
        <v>0</v>
      </c>
      <c r="P21" s="197">
        <f>1950-195.94</f>
        <v>1754.06</v>
      </c>
      <c r="Q21" s="198">
        <f t="shared" si="0"/>
        <v>1754.06</v>
      </c>
      <c r="R21" s="199">
        <v>195.94</v>
      </c>
      <c r="S21" s="199"/>
      <c r="T21" s="199"/>
      <c r="U21" s="199">
        <v>0</v>
      </c>
      <c r="V21" s="199">
        <v>0</v>
      </c>
      <c r="W21" s="199">
        <v>0</v>
      </c>
      <c r="X21" s="199">
        <v>0</v>
      </c>
      <c r="Y21" s="199">
        <v>0</v>
      </c>
      <c r="Z21" s="199">
        <v>0</v>
      </c>
      <c r="AA21" s="199">
        <v>0</v>
      </c>
      <c r="AB21" s="199">
        <v>0</v>
      </c>
      <c r="AC21" s="199">
        <v>0</v>
      </c>
      <c r="AD21" s="199">
        <f>SUM(Detalles2025[[#This Row],[Monto Facturado]:[Monto Propina Legal]])</f>
        <v>1950</v>
      </c>
      <c r="AE21" s="199" t="s">
        <v>1714</v>
      </c>
      <c r="AF21" s="200" t="str">
        <f>IFERROR(VLOOKUP(E21,Tabla3[],2,0),"No Registrado")</f>
        <v>Bravo, S.A.//Supermercados Bravo</v>
      </c>
      <c r="AG21" s="200" t="s">
        <v>1751</v>
      </c>
      <c r="AH21" s="199" t="s">
        <v>1720</v>
      </c>
    </row>
    <row r="22" spans="1:36" ht="16.5" x14ac:dyDescent="0.3">
      <c r="A22" s="166">
        <v>45681</v>
      </c>
      <c r="B22" s="166" t="str">
        <f>TEXT(Detalles2025[[#This Row],[Fecha]],"AAAA")</f>
        <v>2025</v>
      </c>
      <c r="C22" s="166" t="str">
        <f>TEXT(Detalles2025[[#This Row],[Fecha]],"MMMM")</f>
        <v>enero</v>
      </c>
      <c r="D22" s="166" t="str">
        <f>TEXT(Detalles2025[[#This Row],[Fecha]],"DDDD")</f>
        <v>viernes</v>
      </c>
      <c r="E22" s="192" t="s">
        <v>925</v>
      </c>
      <c r="F22" s="193">
        <v>1</v>
      </c>
      <c r="G22" s="194">
        <v>2</v>
      </c>
      <c r="H22" s="269" t="str">
        <f>IF(G22=1,Leyenda!$C$3,IF(G22=2,Leyenda!$C$4,IF(G22=3,Leyenda!$C$5,IF(G22=4,Leyenda!$C$6,IF(G22=5,Leyenda!$C$7,IF(G22=6,Leyenda!$C$8,IF(G22=7,Leyenda!$C$9,IF(G22=8,Leyenda!$C$10," "))))))))&amp;IF(G22=9,Leyenda!$C$11,IF(G22=10,Leyenda!$C$12,IF(G22=11,Leyenda!$C$13,IF(G22=12,Leyenda!$C$14," "))))</f>
        <v xml:space="preserve">GASTOS POR TRABAJOS, SUMINISTROS Y SERVICIOS </v>
      </c>
      <c r="I22" s="196" t="s">
        <v>1752</v>
      </c>
      <c r="K22" s="258">
        <f t="shared" si="2"/>
        <v>202501</v>
      </c>
      <c r="L22" s="191">
        <v>24</v>
      </c>
      <c r="M22" s="191"/>
      <c r="O22" s="197">
        <v>0</v>
      </c>
      <c r="P22" s="197">
        <v>2109.41</v>
      </c>
      <c r="Q22" s="198">
        <f t="shared" si="0"/>
        <v>2109.41</v>
      </c>
      <c r="R22" s="199">
        <v>379.69</v>
      </c>
      <c r="S22" s="199"/>
      <c r="T22" s="199"/>
      <c r="U22" s="199">
        <v>0</v>
      </c>
      <c r="V22" s="199">
        <v>0</v>
      </c>
      <c r="W22" s="199">
        <v>0</v>
      </c>
      <c r="X22" s="199">
        <v>0</v>
      </c>
      <c r="Y22" s="199">
        <v>0</v>
      </c>
      <c r="Z22" s="199">
        <v>0</v>
      </c>
      <c r="AA22" s="199">
        <v>0</v>
      </c>
      <c r="AB22" s="199">
        <v>0</v>
      </c>
      <c r="AC22" s="199">
        <v>210.94</v>
      </c>
      <c r="AD22" s="199">
        <f>SUM(Detalles2025[[#This Row],[Monto Facturado]:[Monto Propina Legal]])</f>
        <v>2700.04</v>
      </c>
      <c r="AE22" s="199" t="s">
        <v>1714</v>
      </c>
      <c r="AF22" s="200" t="str">
        <f>IFERROR(VLOOKUP(E22,Tabla3[],2,0),"No Registrado")</f>
        <v>Jade Teriyaki, S.A.</v>
      </c>
      <c r="AG22" s="200" t="s">
        <v>1722</v>
      </c>
      <c r="AH22" s="199" t="s">
        <v>1723</v>
      </c>
    </row>
    <row r="23" spans="1:36" ht="16.5" x14ac:dyDescent="0.3">
      <c r="A23" s="166">
        <v>45684</v>
      </c>
      <c r="B23" s="166" t="str">
        <f>TEXT(Detalles2025[[#This Row],[Fecha]],"AAAA")</f>
        <v>2025</v>
      </c>
      <c r="C23" s="166" t="str">
        <f>TEXT(Detalles2025[[#This Row],[Fecha]],"MMMM")</f>
        <v>enero</v>
      </c>
      <c r="D23" s="166" t="str">
        <f>TEXT(Detalles2025[[#This Row],[Fecha]],"DDDD")</f>
        <v>lunes</v>
      </c>
      <c r="E23" s="192" t="s">
        <v>517</v>
      </c>
      <c r="F23" s="193">
        <v>1</v>
      </c>
      <c r="G23" s="194">
        <v>2</v>
      </c>
      <c r="H23" s="269" t="str">
        <f>IF(G23=1,Leyenda!$C$3,IF(G23=2,Leyenda!$C$4,IF(G23=3,Leyenda!$C$5,IF(G23=4,Leyenda!$C$6,IF(G23=5,Leyenda!$C$7,IF(G23=6,Leyenda!$C$8,IF(G23=7,Leyenda!$C$9,IF(G23=8,Leyenda!$C$10," "))))))))&amp;IF(G23=9,Leyenda!$C$11,IF(G23=10,Leyenda!$C$12,IF(G23=11,Leyenda!$C$13,IF(G23=12,Leyenda!$C$14," "))))</f>
        <v xml:space="preserve">GASTOS POR TRABAJOS, SUMINISTROS Y SERVICIOS </v>
      </c>
      <c r="I23" s="196" t="s">
        <v>1753</v>
      </c>
      <c r="K23" s="258">
        <f t="shared" si="2"/>
        <v>202501</v>
      </c>
      <c r="L23" s="191">
        <v>27</v>
      </c>
      <c r="M23" s="191"/>
      <c r="O23" s="197">
        <v>0</v>
      </c>
      <c r="P23" s="197">
        <f>6415.26+1470</f>
        <v>7885.26</v>
      </c>
      <c r="Q23" s="198">
        <f t="shared" si="0"/>
        <v>7885.26</v>
      </c>
      <c r="R23" s="199">
        <v>1154.74</v>
      </c>
      <c r="S23" s="199"/>
      <c r="T23" s="199"/>
      <c r="U23" s="199">
        <v>0</v>
      </c>
      <c r="V23" s="199">
        <v>0</v>
      </c>
      <c r="W23" s="199">
        <v>0</v>
      </c>
      <c r="X23" s="199">
        <v>0</v>
      </c>
      <c r="Y23" s="199">
        <v>0</v>
      </c>
      <c r="Z23" s="199">
        <v>0</v>
      </c>
      <c r="AA23" s="199">
        <v>0</v>
      </c>
      <c r="AB23" s="199">
        <v>0</v>
      </c>
      <c r="AC23" s="199">
        <v>0</v>
      </c>
      <c r="AD23" s="199">
        <f>SUM(Detalles2025[[#This Row],[Monto Facturado]:[Monto Propina Legal]])</f>
        <v>9040</v>
      </c>
      <c r="AE23" s="199" t="s">
        <v>1714</v>
      </c>
      <c r="AF23" s="200" t="str">
        <f>IFERROR(VLOOKUP(E23,Tabla3[],2,0),"No Registrado")</f>
        <v>Pricesmart Dominicana S. A.</v>
      </c>
      <c r="AG23" s="200" t="s">
        <v>1751</v>
      </c>
      <c r="AH23" s="199" t="s">
        <v>1720</v>
      </c>
      <c r="AI23" s="76"/>
    </row>
    <row r="24" spans="1:36" ht="16.5" x14ac:dyDescent="0.3">
      <c r="A24" s="166">
        <v>45686</v>
      </c>
      <c r="B24" s="166" t="str">
        <f>TEXT(Detalles2025[[#This Row],[Fecha]],"AAAA")</f>
        <v>2025</v>
      </c>
      <c r="C24" s="166" t="str">
        <f>TEXT(Detalles2025[[#This Row],[Fecha]],"MMMM")</f>
        <v>enero</v>
      </c>
      <c r="D24" s="166" t="str">
        <f>TEXT(Detalles2025[[#This Row],[Fecha]],"DDDD")</f>
        <v>miércoles</v>
      </c>
      <c r="E24" s="192" t="s">
        <v>504</v>
      </c>
      <c r="F24" s="193">
        <v>1</v>
      </c>
      <c r="G24" s="194">
        <v>2</v>
      </c>
      <c r="H24" s="269" t="str">
        <f>IF(G24=1,Leyenda!$C$3,IF(G24=2,Leyenda!$C$4,IF(G24=3,Leyenda!$C$5,IF(G24=4,Leyenda!$C$6,IF(G24=5,Leyenda!$C$7,IF(G24=6,Leyenda!$C$8,IF(G24=7,Leyenda!$C$9,IF(G24=8,Leyenda!$C$10," "))))))))&amp;IF(G24=9,Leyenda!$C$11,IF(G24=10,Leyenda!$C$12,IF(G24=11,Leyenda!$C$13,IF(G24=12,Leyenda!$C$14," "))))</f>
        <v xml:space="preserve">GASTOS POR TRABAJOS, SUMINISTROS Y SERVICIOS </v>
      </c>
      <c r="I24" s="196" t="s">
        <v>1754</v>
      </c>
      <c r="K24" s="258">
        <f t="shared" si="2"/>
        <v>202501</v>
      </c>
      <c r="L24" s="191">
        <v>29</v>
      </c>
      <c r="M24" s="191"/>
      <c r="O24" s="197">
        <v>0</v>
      </c>
      <c r="P24" s="197">
        <f>2415.61-50.21</f>
        <v>2365.4</v>
      </c>
      <c r="Q24" s="198">
        <f t="shared" si="0"/>
        <v>2365.4</v>
      </c>
      <c r="R24" s="199">
        <v>50.21</v>
      </c>
      <c r="S24" s="199"/>
      <c r="T24" s="199"/>
      <c r="U24" s="199">
        <v>0</v>
      </c>
      <c r="V24" s="199">
        <v>0</v>
      </c>
      <c r="W24" s="199">
        <v>0</v>
      </c>
      <c r="X24" s="199">
        <v>0</v>
      </c>
      <c r="Y24" s="199">
        <v>0</v>
      </c>
      <c r="Z24" s="199">
        <v>0</v>
      </c>
      <c r="AA24" s="199">
        <v>0</v>
      </c>
      <c r="AB24" s="199">
        <v>0</v>
      </c>
      <c r="AC24" s="199">
        <v>0</v>
      </c>
      <c r="AD24" s="199">
        <f>SUM(Detalles2025[[#This Row],[Monto Facturado]:[Monto Propina Legal]])</f>
        <v>2415.61</v>
      </c>
      <c r="AE24" s="199" t="s">
        <v>1714</v>
      </c>
      <c r="AF24" s="200" t="str">
        <f>IFERROR(VLOOKUP(E24,Tabla3[],2,0),"No Registrado")</f>
        <v>Centro Cuesta Nacional S.A.S.//Supermercados Nacional//Casa Cuesta//Ferretería Cuesta//JUMBO//Bebemundo</v>
      </c>
      <c r="AG24" s="200" t="s">
        <v>1755</v>
      </c>
      <c r="AH24" s="199" t="s">
        <v>1161</v>
      </c>
    </row>
    <row r="25" spans="1:36" ht="16.5" x14ac:dyDescent="0.3">
      <c r="A25" s="166">
        <v>45666</v>
      </c>
      <c r="B25" s="166" t="str">
        <f>TEXT(Detalles2025[[#This Row],[Fecha]],"AAAA")</f>
        <v>2025</v>
      </c>
      <c r="C25" s="166" t="str">
        <f>TEXT(Detalles2025[[#This Row],[Fecha]],"MMMM")</f>
        <v>enero</v>
      </c>
      <c r="D25" s="166" t="str">
        <f>TEXT(Detalles2025[[#This Row],[Fecha]],"DDDD")</f>
        <v>jueves</v>
      </c>
      <c r="E25" s="259" t="s">
        <v>511</v>
      </c>
      <c r="F25" s="193">
        <v>1</v>
      </c>
      <c r="G25" s="194">
        <v>2</v>
      </c>
      <c r="H25" s="269" t="str">
        <f>IF(G25=1,Leyenda!$C$3,IF(G25=2,Leyenda!$C$4,IF(G25=3,Leyenda!$C$5,IF(G25=4,Leyenda!$C$6,IF(G25=5,Leyenda!$C$7,IF(G25=6,Leyenda!$C$8,IF(G25=7,Leyenda!$C$9,IF(G25=8,Leyenda!$C$10," "))))))))&amp;IF(G25=9,Leyenda!$C$11,IF(G25=10,Leyenda!$C$12,IF(G25=11,Leyenda!$C$13,IF(G25=12,Leyenda!$C$14," "))))</f>
        <v xml:space="preserve">GASTOS POR TRABAJOS, SUMINISTROS Y SERVICIOS </v>
      </c>
      <c r="I25" s="196" t="s">
        <v>1756</v>
      </c>
      <c r="K25" s="258">
        <f t="shared" si="2"/>
        <v>202501</v>
      </c>
      <c r="L25" s="191">
        <v>9</v>
      </c>
      <c r="M25" s="191"/>
      <c r="O25" s="197">
        <v>0</v>
      </c>
      <c r="P25" s="197">
        <f>13556-1177.06</f>
        <v>12378.94</v>
      </c>
      <c r="Q25" s="198">
        <f t="shared" si="0"/>
        <v>12378.94</v>
      </c>
      <c r="R25" s="199">
        <v>1177.06</v>
      </c>
      <c r="S25" s="199"/>
      <c r="T25" s="199"/>
      <c r="U25" s="199">
        <v>0</v>
      </c>
      <c r="V25" s="199">
        <v>0</v>
      </c>
      <c r="W25" s="199">
        <v>0</v>
      </c>
      <c r="X25" s="199">
        <v>0</v>
      </c>
      <c r="Y25" s="199">
        <v>0</v>
      </c>
      <c r="Z25" s="199">
        <v>0</v>
      </c>
      <c r="AA25" s="199">
        <v>0</v>
      </c>
      <c r="AB25" s="199">
        <v>0</v>
      </c>
      <c r="AC25" s="199">
        <v>0</v>
      </c>
      <c r="AD25" s="199">
        <f>SUM(Detalles2025[[#This Row],[Monto Facturado]:[Monto Propina Legal]])</f>
        <v>13556</v>
      </c>
      <c r="AE25" s="199" t="s">
        <v>1714</v>
      </c>
      <c r="AF25" s="200" t="str">
        <f>IFERROR(VLOOKUP(E25,Tabla3[],2,0),"No Registrado")</f>
        <v>Bravo, S.A.//Supermercados Bravo</v>
      </c>
      <c r="AG25" s="200" t="s">
        <v>1751</v>
      </c>
      <c r="AH25" s="199" t="s">
        <v>1720</v>
      </c>
    </row>
    <row r="26" spans="1:36" ht="16.5" x14ac:dyDescent="0.3">
      <c r="A26" s="166">
        <v>45671</v>
      </c>
      <c r="B26" s="166" t="str">
        <f>TEXT(Detalles2025[[#This Row],[Fecha]],"AAAA")</f>
        <v>2025</v>
      </c>
      <c r="C26" s="166" t="str">
        <f>TEXT(Detalles2025[[#This Row],[Fecha]],"MMMM")</f>
        <v>enero</v>
      </c>
      <c r="D26" s="166" t="str">
        <f>TEXT(Detalles2025[[#This Row],[Fecha]],"DDDD")</f>
        <v>martes</v>
      </c>
      <c r="E26" s="259" t="s">
        <v>511</v>
      </c>
      <c r="F26" s="193">
        <v>1</v>
      </c>
      <c r="G26" s="194">
        <v>2</v>
      </c>
      <c r="H26" s="269" t="str">
        <f>IF(G26=1,Leyenda!$C$3,IF(G26=2,Leyenda!$C$4,IF(G26=3,Leyenda!$C$5,IF(G26=4,Leyenda!$C$6,IF(G26=5,Leyenda!$C$7,IF(G26=6,Leyenda!$C$8,IF(G26=7,Leyenda!$C$9,IF(G26=8,Leyenda!$C$10," "))))))))&amp;IF(G26=9,Leyenda!$C$11,IF(G26=10,Leyenda!$C$12,IF(G26=11,Leyenda!$C$13,IF(G26=12,Leyenda!$C$14," "))))</f>
        <v xml:space="preserve">GASTOS POR TRABAJOS, SUMINISTROS Y SERVICIOS </v>
      </c>
      <c r="I26" s="196" t="s">
        <v>1757</v>
      </c>
      <c r="K26" s="258">
        <f t="shared" si="2"/>
        <v>202501</v>
      </c>
      <c r="L26" s="191">
        <v>14</v>
      </c>
      <c r="M26" s="191"/>
      <c r="O26" s="197">
        <v>0</v>
      </c>
      <c r="P26" s="197">
        <f>2104-144.46</f>
        <v>1959.54</v>
      </c>
      <c r="Q26" s="198">
        <f t="shared" si="0"/>
        <v>1959.54</v>
      </c>
      <c r="R26" s="199">
        <v>144.46</v>
      </c>
      <c r="S26" s="199"/>
      <c r="T26" s="199"/>
      <c r="U26" s="199">
        <v>0</v>
      </c>
      <c r="V26" s="199">
        <v>0</v>
      </c>
      <c r="W26" s="199">
        <v>0</v>
      </c>
      <c r="X26" s="199">
        <v>0</v>
      </c>
      <c r="Y26" s="199">
        <v>0</v>
      </c>
      <c r="Z26" s="199">
        <v>0</v>
      </c>
      <c r="AA26" s="199">
        <v>0</v>
      </c>
      <c r="AB26" s="199">
        <v>0</v>
      </c>
      <c r="AC26" s="199">
        <v>0</v>
      </c>
      <c r="AD26" s="199">
        <f>SUM(Detalles2025[[#This Row],[Monto Facturado]:[Monto Propina Legal]])</f>
        <v>2104</v>
      </c>
      <c r="AE26" s="199" t="s">
        <v>1714</v>
      </c>
      <c r="AF26" s="200" t="str">
        <f>IFERROR(VLOOKUP(E26,Tabla3[],2,0),"No Registrado")</f>
        <v>Bravo, S.A.//Supermercados Bravo</v>
      </c>
      <c r="AG26" s="200" t="s">
        <v>1751</v>
      </c>
      <c r="AH26" s="199" t="s">
        <v>1720</v>
      </c>
      <c r="AI26" s="76"/>
    </row>
    <row r="27" spans="1:36" ht="16.5" x14ac:dyDescent="0.3">
      <c r="A27" s="166">
        <v>45660</v>
      </c>
      <c r="B27" s="166" t="str">
        <f>TEXT(Detalles2025[[#This Row],[Fecha]],"AAAA")</f>
        <v>2025</v>
      </c>
      <c r="C27" s="166" t="str">
        <f>TEXT(Detalles2025[[#This Row],[Fecha]],"MMMM")</f>
        <v>enero</v>
      </c>
      <c r="D27" s="166" t="str">
        <f>TEXT(Detalles2025[[#This Row],[Fecha]],"DDDD")</f>
        <v>viernes</v>
      </c>
      <c r="E27" s="259" t="s">
        <v>511</v>
      </c>
      <c r="F27" s="193">
        <v>1</v>
      </c>
      <c r="G27" s="194">
        <v>2</v>
      </c>
      <c r="H27" s="269" t="str">
        <f>IF(G27=1,Leyenda!$C$3,IF(G27=2,Leyenda!$C$4,IF(G27=3,Leyenda!$C$5,IF(G27=4,Leyenda!$C$6,IF(G27=5,Leyenda!$C$7,IF(G27=6,Leyenda!$C$8,IF(G27=7,Leyenda!$C$9,IF(G27=8,Leyenda!$C$10," "))))))))&amp;IF(G27=9,Leyenda!$C$11,IF(G27=10,Leyenda!$C$12,IF(G27=11,Leyenda!$C$13,IF(G27=12,Leyenda!$C$14," "))))</f>
        <v xml:space="preserve">GASTOS POR TRABAJOS, SUMINISTROS Y SERVICIOS </v>
      </c>
      <c r="I27" s="196" t="s">
        <v>1758</v>
      </c>
      <c r="K27" s="258">
        <f t="shared" si="2"/>
        <v>202501</v>
      </c>
      <c r="L27" s="191">
        <v>3</v>
      </c>
      <c r="M27" s="191"/>
      <c r="O27" s="197">
        <v>0</v>
      </c>
      <c r="P27" s="197">
        <f>735-73.23</f>
        <v>661.77</v>
      </c>
      <c r="Q27" s="198">
        <f t="shared" si="0"/>
        <v>661.77</v>
      </c>
      <c r="R27" s="199">
        <v>73.23</v>
      </c>
      <c r="S27" s="199"/>
      <c r="T27" s="199"/>
      <c r="U27" s="199">
        <v>0</v>
      </c>
      <c r="V27" s="199">
        <v>0</v>
      </c>
      <c r="W27" s="199">
        <v>0</v>
      </c>
      <c r="X27" s="199">
        <v>0</v>
      </c>
      <c r="Y27" s="199">
        <v>0</v>
      </c>
      <c r="Z27" s="199">
        <v>0</v>
      </c>
      <c r="AA27" s="199">
        <v>0</v>
      </c>
      <c r="AB27" s="199">
        <v>0</v>
      </c>
      <c r="AC27" s="199">
        <v>0</v>
      </c>
      <c r="AD27" s="199">
        <f>SUM(Detalles2025[[#This Row],[Monto Facturado]:[Monto Propina Legal]])</f>
        <v>735</v>
      </c>
      <c r="AE27" s="199" t="s">
        <v>1714</v>
      </c>
      <c r="AF27" s="200" t="str">
        <f>IFERROR(VLOOKUP(E27,Tabla3[],2,0),"No Registrado")</f>
        <v>Bravo, S.A.//Supermercados Bravo</v>
      </c>
      <c r="AG27" s="200" t="s">
        <v>1751</v>
      </c>
      <c r="AH27" s="199" t="s">
        <v>1720</v>
      </c>
      <c r="AI27" s="76"/>
    </row>
    <row r="28" spans="1:36" ht="16.5" x14ac:dyDescent="0.3">
      <c r="A28" s="166">
        <v>45661</v>
      </c>
      <c r="B28" s="166" t="str">
        <f>TEXT(Detalles2025[[#This Row],[Fecha]],"AAAA")</f>
        <v>2025</v>
      </c>
      <c r="C28" s="166" t="str">
        <f>TEXT(Detalles2025[[#This Row],[Fecha]],"MMMM")</f>
        <v>enero</v>
      </c>
      <c r="D28" s="166" t="str">
        <f>TEXT(Detalles2025[[#This Row],[Fecha]],"DDDD")</f>
        <v>sábado</v>
      </c>
      <c r="E28" s="259" t="s">
        <v>511</v>
      </c>
      <c r="F28" s="193">
        <v>1</v>
      </c>
      <c r="G28" s="194">
        <v>2</v>
      </c>
      <c r="H28" s="269" t="str">
        <f>IF(G28=1,Leyenda!$C$3,IF(G28=2,Leyenda!$C$4,IF(G28=3,Leyenda!$C$5,IF(G28=4,Leyenda!$C$6,IF(G28=5,Leyenda!$C$7,IF(G28=6,Leyenda!$C$8,IF(G28=7,Leyenda!$C$9,IF(G28=8,Leyenda!$C$10," "))))))))&amp;IF(G28=9,Leyenda!$C$11,IF(G28=10,Leyenda!$C$12,IF(G28=11,Leyenda!$C$13,IF(G28=12,Leyenda!$C$14," "))))</f>
        <v xml:space="preserve">GASTOS POR TRABAJOS, SUMINISTROS Y SERVICIOS </v>
      </c>
      <c r="I28" s="196" t="s">
        <v>1759</v>
      </c>
      <c r="K28" s="258">
        <f t="shared" si="2"/>
        <v>202501</v>
      </c>
      <c r="L28" s="191">
        <v>4</v>
      </c>
      <c r="M28" s="191"/>
      <c r="O28" s="197">
        <v>0</v>
      </c>
      <c r="P28" s="197">
        <f>3435-218.55</f>
        <v>3216.45</v>
      </c>
      <c r="Q28" s="198">
        <f t="shared" si="0"/>
        <v>3216.45</v>
      </c>
      <c r="R28" s="199">
        <v>218.55</v>
      </c>
      <c r="S28" s="199"/>
      <c r="T28" s="199"/>
      <c r="U28" s="199">
        <v>0</v>
      </c>
      <c r="V28" s="199">
        <v>0</v>
      </c>
      <c r="W28" s="199">
        <v>0</v>
      </c>
      <c r="X28" s="199">
        <v>0</v>
      </c>
      <c r="Y28" s="199">
        <v>0</v>
      </c>
      <c r="Z28" s="199">
        <v>0</v>
      </c>
      <c r="AA28" s="199">
        <v>0</v>
      </c>
      <c r="AB28" s="199">
        <v>0</v>
      </c>
      <c r="AC28" s="199">
        <v>0</v>
      </c>
      <c r="AD28" s="199">
        <f>SUM(Detalles2025[[#This Row],[Monto Facturado]:[Monto Propina Legal]])</f>
        <v>3435</v>
      </c>
      <c r="AE28" s="199" t="s">
        <v>1714</v>
      </c>
      <c r="AF28" s="200" t="str">
        <f>IFERROR(VLOOKUP(E28,Tabla3[],2,0),"No Registrado")</f>
        <v>Bravo, S.A.//Supermercados Bravo</v>
      </c>
      <c r="AG28" s="200" t="s">
        <v>1751</v>
      </c>
      <c r="AH28" s="199" t="s">
        <v>1720</v>
      </c>
      <c r="AI28" s="76"/>
    </row>
    <row r="29" spans="1:36" ht="16.5" x14ac:dyDescent="0.3">
      <c r="A29" s="166">
        <v>45666</v>
      </c>
      <c r="B29" s="166" t="str">
        <f>TEXT(Detalles2025[[#This Row],[Fecha]],"AAAA")</f>
        <v>2025</v>
      </c>
      <c r="C29" s="166" t="str">
        <f>TEXT(Detalles2025[[#This Row],[Fecha]],"MMMM")</f>
        <v>enero</v>
      </c>
      <c r="D29" s="166" t="str">
        <f>TEXT(Detalles2025[[#This Row],[Fecha]],"DDDD")</f>
        <v>jueves</v>
      </c>
      <c r="E29" s="192" t="s">
        <v>1118</v>
      </c>
      <c r="F29" s="193">
        <v>1</v>
      </c>
      <c r="G29" s="194">
        <v>4</v>
      </c>
      <c r="H29" s="269" t="str">
        <f>IF(G29=1,Leyenda!$C$3,IF(G29=2,Leyenda!$C$4,IF(G29=3,Leyenda!$C$5,IF(G29=4,Leyenda!$C$6,IF(G29=5,Leyenda!$C$7,IF(G29=6,Leyenda!$C$8,IF(G29=7,Leyenda!$C$9,IF(G29=8,Leyenda!$C$10," "))))))))&amp;IF(G29=9,Leyenda!$C$11,IF(G29=10,Leyenda!$C$12,IF(G29=11,Leyenda!$C$13,IF(G29=12,Leyenda!$C$14," "))))</f>
        <v xml:space="preserve">GASTOS DE ACTIVOS FIJO </v>
      </c>
      <c r="I29" s="196" t="s">
        <v>1760</v>
      </c>
      <c r="K29" s="258">
        <f t="shared" si="2"/>
        <v>202501</v>
      </c>
      <c r="L29" s="191">
        <v>9</v>
      </c>
      <c r="M29" s="191"/>
      <c r="O29" s="197">
        <v>0</v>
      </c>
      <c r="P29" s="197">
        <f>5646-861.25</f>
        <v>4784.75</v>
      </c>
      <c r="Q29" s="198">
        <f t="shared" si="0"/>
        <v>4784.75</v>
      </c>
      <c r="R29" s="199">
        <v>861.25</v>
      </c>
      <c r="S29" s="199"/>
      <c r="T29" s="199"/>
      <c r="U29" s="199">
        <v>0</v>
      </c>
      <c r="V29" s="199">
        <v>0</v>
      </c>
      <c r="W29" s="199">
        <v>0</v>
      </c>
      <c r="X29" s="199">
        <v>0</v>
      </c>
      <c r="Y29" s="199">
        <v>0</v>
      </c>
      <c r="Z29" s="199">
        <v>0</v>
      </c>
      <c r="AA29" s="199">
        <v>0</v>
      </c>
      <c r="AB29" s="199">
        <v>0</v>
      </c>
      <c r="AC29" s="199">
        <v>0</v>
      </c>
      <c r="AD29" s="199">
        <f>SUM(Detalles2025[[#This Row],[Monto Facturado]:[Monto Propina Legal]])</f>
        <v>5646</v>
      </c>
      <c r="AE29" s="199" t="s">
        <v>1714</v>
      </c>
      <c r="AF29" s="200" t="str">
        <f>IFERROR(VLOOKUP(E29,Tabla3[],2,0),"No Registrado")</f>
        <v>INDY PLAZA</v>
      </c>
      <c r="AG29" s="200" t="s">
        <v>1761</v>
      </c>
      <c r="AH29" s="199" t="s">
        <v>1717</v>
      </c>
    </row>
    <row r="30" spans="1:36" ht="16.5" x14ac:dyDescent="0.3">
      <c r="A30" s="166">
        <v>45673</v>
      </c>
      <c r="B30" s="166" t="str">
        <f>TEXT(Detalles2025[[#This Row],[Fecha]],"AAAA")</f>
        <v>2025</v>
      </c>
      <c r="C30" s="166" t="str">
        <f>TEXT(Detalles2025[[#This Row],[Fecha]],"MMMM")</f>
        <v>enero</v>
      </c>
      <c r="D30" s="166" t="str">
        <f>TEXT(Detalles2025[[#This Row],[Fecha]],"DDDD")</f>
        <v>jueves</v>
      </c>
      <c r="E30" s="192" t="s">
        <v>1120</v>
      </c>
      <c r="F30" s="193">
        <v>1</v>
      </c>
      <c r="G30" s="194">
        <v>2</v>
      </c>
      <c r="H30" s="269" t="str">
        <f>IF(G30=1,Leyenda!$C$3,IF(G30=2,Leyenda!$C$4,IF(G30=3,Leyenda!$C$5,IF(G30=4,Leyenda!$C$6,IF(G30=5,Leyenda!$C$7,IF(G30=6,Leyenda!$C$8,IF(G30=7,Leyenda!$C$9,IF(G30=8,Leyenda!$C$10," "))))))))&amp;IF(G30=9,Leyenda!$C$11,IF(G30=10,Leyenda!$C$12,IF(G30=11,Leyenda!$C$13,IF(G30=12,Leyenda!$C$14," "))))</f>
        <v xml:space="preserve">GASTOS POR TRABAJOS, SUMINISTROS Y SERVICIOS </v>
      </c>
      <c r="I30" s="196" t="s">
        <v>1762</v>
      </c>
      <c r="K30" s="258">
        <f t="shared" si="2"/>
        <v>202501</v>
      </c>
      <c r="L30" s="191">
        <v>16</v>
      </c>
      <c r="M30" s="191"/>
      <c r="O30" s="197">
        <v>0</v>
      </c>
      <c r="P30" s="197">
        <v>9060</v>
      </c>
      <c r="Q30" s="198">
        <f t="shared" si="0"/>
        <v>9060</v>
      </c>
      <c r="R30" s="199">
        <v>1630.8</v>
      </c>
      <c r="S30" s="199"/>
      <c r="T30" s="199"/>
      <c r="U30" s="199">
        <v>0</v>
      </c>
      <c r="V30" s="199">
        <v>0</v>
      </c>
      <c r="W30" s="199">
        <v>0</v>
      </c>
      <c r="X30" s="199">
        <v>0</v>
      </c>
      <c r="Y30" s="199">
        <v>0</v>
      </c>
      <c r="Z30" s="199">
        <v>0</v>
      </c>
      <c r="AA30" s="199">
        <v>0</v>
      </c>
      <c r="AB30" s="199">
        <v>0</v>
      </c>
      <c r="AC30" s="199">
        <v>906</v>
      </c>
      <c r="AD30" s="199">
        <f>SUM(Detalles2025[[#This Row],[Monto Facturado]:[Monto Propina Legal]])</f>
        <v>11596.8</v>
      </c>
      <c r="AE30" s="199" t="s">
        <v>1714</v>
      </c>
      <c r="AF30" s="200" t="str">
        <f>IFERROR(VLOOKUP(E30,Tabla3[],2,0),"No Registrado")</f>
        <v>MARYSOF IS GOOD SRL</v>
      </c>
      <c r="AG30" s="200" t="s">
        <v>1763</v>
      </c>
      <c r="AH30" s="199" t="s">
        <v>1723</v>
      </c>
    </row>
    <row r="31" spans="1:36" ht="16.5" x14ac:dyDescent="0.3">
      <c r="A31" s="166">
        <v>45676</v>
      </c>
      <c r="B31" s="166" t="str">
        <f>TEXT(Detalles2025[[#This Row],[Fecha]],"AAAA")</f>
        <v>2025</v>
      </c>
      <c r="C31" s="166" t="str">
        <f>TEXT(Detalles2025[[#This Row],[Fecha]],"MMMM")</f>
        <v>enero</v>
      </c>
      <c r="D31" s="166" t="str">
        <f>TEXT(Detalles2025[[#This Row],[Fecha]],"DDDD")</f>
        <v>domingo</v>
      </c>
      <c r="E31" s="192" t="s">
        <v>551</v>
      </c>
      <c r="F31" s="193">
        <v>1</v>
      </c>
      <c r="G31" s="194">
        <v>2</v>
      </c>
      <c r="H31" s="269" t="str">
        <f>IF(G31=1,Leyenda!$C$3,IF(G31=2,Leyenda!$C$4,IF(G31=3,Leyenda!$C$5,IF(G31=4,Leyenda!$C$6,IF(G31=5,Leyenda!$C$7,IF(G31=6,Leyenda!$C$8,IF(G31=7,Leyenda!$C$9,IF(G31=8,Leyenda!$C$10," "))))))))&amp;IF(G31=9,Leyenda!$C$11,IF(G31=10,Leyenda!$C$12,IF(G31=11,Leyenda!$C$13,IF(G31=12,Leyenda!$C$14," "))))</f>
        <v xml:space="preserve">GASTOS POR TRABAJOS, SUMINISTROS Y SERVICIOS </v>
      </c>
      <c r="I31" s="196" t="s">
        <v>1764</v>
      </c>
      <c r="K31" s="258">
        <f t="shared" si="2"/>
        <v>202501</v>
      </c>
      <c r="L31" s="191">
        <v>19</v>
      </c>
      <c r="M31" s="191"/>
      <c r="O31" s="197">
        <v>0</v>
      </c>
      <c r="P31" s="197">
        <v>7933.59</v>
      </c>
      <c r="Q31" s="198">
        <f t="shared" si="0"/>
        <v>7933.59</v>
      </c>
      <c r="R31" s="199">
        <v>1392.41</v>
      </c>
      <c r="S31" s="199"/>
      <c r="T31" s="199"/>
      <c r="U31" s="199">
        <v>0</v>
      </c>
      <c r="V31" s="199">
        <v>0</v>
      </c>
      <c r="W31" s="199">
        <v>0</v>
      </c>
      <c r="X31" s="199">
        <v>0</v>
      </c>
      <c r="Y31" s="199">
        <v>0</v>
      </c>
      <c r="Z31" s="199">
        <v>0</v>
      </c>
      <c r="AA31" s="199">
        <v>0</v>
      </c>
      <c r="AB31" s="199">
        <v>0</v>
      </c>
      <c r="AC31" s="199">
        <v>0</v>
      </c>
      <c r="AD31" s="199">
        <f>SUM(Detalles2025[[#This Row],[Monto Facturado]:[Monto Propina Legal]])</f>
        <v>9326</v>
      </c>
      <c r="AE31" s="199" t="s">
        <v>1714</v>
      </c>
      <c r="AF31" s="200" t="str">
        <f>IFERROR(VLOOKUP(E31,Tabla3[],2,0),"No Registrado")</f>
        <v>Almacenes Unidos, S.A.S.</v>
      </c>
      <c r="AG31" s="200" t="s">
        <v>1719</v>
      </c>
      <c r="AH31" s="199" t="s">
        <v>1720</v>
      </c>
      <c r="AI31" s="76"/>
    </row>
    <row r="32" spans="1:36" ht="16.5" x14ac:dyDescent="0.3">
      <c r="A32" s="166">
        <v>45678</v>
      </c>
      <c r="B32" s="166" t="str">
        <f>TEXT(Detalles2025[[#This Row],[Fecha]],"AAAA")</f>
        <v>2025</v>
      </c>
      <c r="C32" s="166" t="str">
        <f>TEXT(Detalles2025[[#This Row],[Fecha]],"MMMM")</f>
        <v>enero</v>
      </c>
      <c r="D32" s="166" t="str">
        <f>TEXT(Detalles2025[[#This Row],[Fecha]],"DDDD")</f>
        <v>martes</v>
      </c>
      <c r="E32" s="259" t="s">
        <v>511</v>
      </c>
      <c r="F32" s="193">
        <v>1</v>
      </c>
      <c r="G32" s="194">
        <v>2</v>
      </c>
      <c r="H32" s="269" t="str">
        <f>IF(G32=1,Leyenda!$C$3,IF(G32=2,Leyenda!$C$4,IF(G32=3,Leyenda!$C$5,IF(G32=4,Leyenda!$C$6,IF(G32=5,Leyenda!$C$7,IF(G32=6,Leyenda!$C$8,IF(G32=7,Leyenda!$C$9,IF(G32=8,Leyenda!$C$10," "))))))))&amp;IF(G32=9,Leyenda!$C$11,IF(G32=10,Leyenda!$C$12,IF(G32=11,Leyenda!$C$13,IF(G32=12,Leyenda!$C$14," "))))</f>
        <v xml:space="preserve">GASTOS POR TRABAJOS, SUMINISTROS Y SERVICIOS </v>
      </c>
      <c r="I32" s="196" t="s">
        <v>1765</v>
      </c>
      <c r="K32" s="258">
        <f t="shared" si="2"/>
        <v>202501</v>
      </c>
      <c r="L32" s="191">
        <v>21</v>
      </c>
      <c r="M32" s="191"/>
      <c r="O32" s="197">
        <v>0</v>
      </c>
      <c r="P32" s="197">
        <f>13155-913.56</f>
        <v>12241.44</v>
      </c>
      <c r="Q32" s="198">
        <f t="shared" si="0"/>
        <v>12241.44</v>
      </c>
      <c r="R32" s="199">
        <v>913.56</v>
      </c>
      <c r="S32" s="199"/>
      <c r="T32" s="199"/>
      <c r="U32" s="199">
        <v>0</v>
      </c>
      <c r="V32" s="199">
        <v>0</v>
      </c>
      <c r="W32" s="199">
        <v>0</v>
      </c>
      <c r="X32" s="199">
        <v>0</v>
      </c>
      <c r="Y32" s="199">
        <v>0</v>
      </c>
      <c r="Z32" s="199">
        <v>0</v>
      </c>
      <c r="AA32" s="199">
        <v>0</v>
      </c>
      <c r="AB32" s="199">
        <v>0</v>
      </c>
      <c r="AC32" s="199">
        <v>0</v>
      </c>
      <c r="AD32" s="199">
        <f>SUM(Detalles2025[[#This Row],[Monto Facturado]:[Monto Propina Legal]])</f>
        <v>13155</v>
      </c>
      <c r="AE32" s="199" t="s">
        <v>1714</v>
      </c>
      <c r="AF32" s="200" t="str">
        <f>IFERROR(VLOOKUP(E32,Tabla3[],2,0),"No Registrado")</f>
        <v>Bravo, S.A.//Supermercados Bravo</v>
      </c>
      <c r="AG32" s="200" t="s">
        <v>1751</v>
      </c>
      <c r="AH32" s="199" t="s">
        <v>1720</v>
      </c>
    </row>
    <row r="33" spans="1:35" ht="16.5" x14ac:dyDescent="0.3">
      <c r="A33" s="166">
        <v>45660</v>
      </c>
      <c r="B33" s="166" t="str">
        <f>TEXT(Detalles2025[[#This Row],[Fecha]],"AAAA")</f>
        <v>2025</v>
      </c>
      <c r="C33" s="166" t="str">
        <f>TEXT(Detalles2025[[#This Row],[Fecha]],"MMMM")</f>
        <v>enero</v>
      </c>
      <c r="D33" s="166" t="str">
        <f>TEXT(Detalles2025[[#This Row],[Fecha]],"DDDD")</f>
        <v>viernes</v>
      </c>
      <c r="E33" s="192" t="s">
        <v>1114</v>
      </c>
      <c r="F33" s="193">
        <v>1</v>
      </c>
      <c r="G33" s="194">
        <v>2</v>
      </c>
      <c r="H33" s="269" t="str">
        <f>IF(G33=1,Leyenda!$C$3,IF(G33=2,Leyenda!$C$4,IF(G33=3,Leyenda!$C$5,IF(G33=4,Leyenda!$C$6,IF(G33=5,Leyenda!$C$7,IF(G33=6,Leyenda!$C$8,IF(G33=7,Leyenda!$C$9,IF(G33=8,Leyenda!$C$10," "))))))))&amp;IF(G33=9,Leyenda!$C$11,IF(G33=10,Leyenda!$C$12,IF(G33=11,Leyenda!$C$13,IF(G33=12,Leyenda!$C$14," "))))</f>
        <v xml:space="preserve">GASTOS POR TRABAJOS, SUMINISTROS Y SERVICIOS </v>
      </c>
      <c r="I33" s="196" t="s">
        <v>1766</v>
      </c>
      <c r="K33" s="258">
        <f t="shared" si="2"/>
        <v>202501</v>
      </c>
      <c r="L33" s="191">
        <v>3</v>
      </c>
      <c r="M33" s="191"/>
      <c r="O33" s="197">
        <v>3195</v>
      </c>
      <c r="P33" s="76">
        <v>0</v>
      </c>
      <c r="Q33" s="198">
        <f>SUM(O33:O33)</f>
        <v>3195</v>
      </c>
      <c r="R33" s="199">
        <v>0</v>
      </c>
      <c r="S33" s="199"/>
      <c r="T33" s="199"/>
      <c r="U33" s="199">
        <v>0</v>
      </c>
      <c r="V33" s="199">
        <v>0</v>
      </c>
      <c r="W33" s="199">
        <v>0</v>
      </c>
      <c r="X33" s="199">
        <v>0</v>
      </c>
      <c r="Y33" s="199">
        <v>0</v>
      </c>
      <c r="Z33" s="199">
        <v>0</v>
      </c>
      <c r="AA33" s="199">
        <v>0</v>
      </c>
      <c r="AB33" s="199">
        <v>0</v>
      </c>
      <c r="AC33" s="199">
        <v>0</v>
      </c>
      <c r="AD33" s="199">
        <f>SUM(Detalles2025[[#This Row],[Monto Facturado]:[Monto Propina Legal]])</f>
        <v>3195</v>
      </c>
      <c r="AE33" s="199" t="s">
        <v>1714</v>
      </c>
      <c r="AF33" s="200" t="str">
        <f>IFERROR(VLOOKUP(E33,Tabla3[],2,0),"No Registrado")</f>
        <v>ACADEMIA EUROPEA</v>
      </c>
      <c r="AG33" s="200" t="s">
        <v>1767</v>
      </c>
      <c r="AH33" s="199" t="s">
        <v>1732</v>
      </c>
      <c r="AI33" s="76"/>
    </row>
    <row r="34" spans="1:35" ht="16.5" x14ac:dyDescent="0.3">
      <c r="A34" s="166">
        <v>45658</v>
      </c>
      <c r="B34" s="166" t="str">
        <f>TEXT(Detalles2025[[#This Row],[Fecha]],"AAAA")</f>
        <v>2025</v>
      </c>
      <c r="C34" s="166" t="str">
        <f>TEXT(Detalles2025[[#This Row],[Fecha]],"MMMM")</f>
        <v>enero</v>
      </c>
      <c r="D34" s="166" t="str">
        <f>TEXT(Detalles2025[[#This Row],[Fecha]],"DDDD")</f>
        <v>miércoles</v>
      </c>
      <c r="E34" s="192" t="s">
        <v>1114</v>
      </c>
      <c r="F34" s="193">
        <v>1</v>
      </c>
      <c r="G34" s="194">
        <v>2</v>
      </c>
      <c r="H34" s="269" t="str">
        <f>IF(G34=1,Leyenda!$C$3,IF(G34=2,Leyenda!$C$4,IF(G34=3,Leyenda!$C$5,IF(G34=4,Leyenda!$C$6,IF(G34=5,Leyenda!$C$7,IF(G34=6,Leyenda!$C$8,IF(G34=7,Leyenda!$C$9,IF(G34=8,Leyenda!$C$10," "))))))))&amp;IF(G34=9,Leyenda!$C$11,IF(G34=10,Leyenda!$C$12,IF(G34=11,Leyenda!$C$13,IF(G34=12,Leyenda!$C$14," "))))</f>
        <v xml:space="preserve">GASTOS POR TRABAJOS, SUMINISTROS Y SERVICIOS </v>
      </c>
      <c r="I34" s="196" t="s">
        <v>1768</v>
      </c>
      <c r="K34" s="258">
        <f t="shared" si="2"/>
        <v>202501</v>
      </c>
      <c r="L34" s="191">
        <v>1</v>
      </c>
      <c r="M34" s="191"/>
      <c r="O34" s="197">
        <v>8672</v>
      </c>
      <c r="P34" s="197">
        <v>0</v>
      </c>
      <c r="Q34" s="198">
        <f>SUM(O34:O34)</f>
        <v>8672</v>
      </c>
      <c r="R34" s="199">
        <v>0</v>
      </c>
      <c r="S34" s="199"/>
      <c r="T34" s="199"/>
      <c r="U34" s="199">
        <v>0</v>
      </c>
      <c r="V34" s="199">
        <v>0</v>
      </c>
      <c r="W34" s="199">
        <v>0</v>
      </c>
      <c r="X34" s="199">
        <v>0</v>
      </c>
      <c r="Y34" s="199">
        <v>0</v>
      </c>
      <c r="Z34" s="199">
        <v>0</v>
      </c>
      <c r="AA34" s="199">
        <v>0</v>
      </c>
      <c r="AB34" s="199">
        <v>0</v>
      </c>
      <c r="AC34" s="199">
        <v>0</v>
      </c>
      <c r="AD34" s="199">
        <f>SUM(Detalles2025[[#This Row],[Monto Facturado]:[Monto Propina Legal]])</f>
        <v>8672</v>
      </c>
      <c r="AE34" s="199" t="s">
        <v>1714</v>
      </c>
      <c r="AF34" s="200" t="str">
        <f>IFERROR(VLOOKUP(E34,Tabla3[],2,0),"No Registrado")</f>
        <v>ACADEMIA EUROPEA</v>
      </c>
      <c r="AG34" s="200" t="s">
        <v>1767</v>
      </c>
      <c r="AH34" s="199" t="s">
        <v>1165</v>
      </c>
      <c r="AI34" s="76"/>
    </row>
    <row r="35" spans="1:35" ht="16.5" x14ac:dyDescent="0.3">
      <c r="A35" s="166">
        <v>45665</v>
      </c>
      <c r="B35" s="166" t="str">
        <f>TEXT(Detalles2025[[#This Row],[Fecha]],"AAAA")</f>
        <v>2025</v>
      </c>
      <c r="C35" s="166" t="str">
        <f>TEXT(Detalles2025[[#This Row],[Fecha]],"MMMM")</f>
        <v>enero</v>
      </c>
      <c r="D35" s="166" t="str">
        <f>TEXT(Detalles2025[[#This Row],[Fecha]],"DDDD")</f>
        <v>miércoles</v>
      </c>
      <c r="E35" s="192" t="s">
        <v>1116</v>
      </c>
      <c r="F35" s="193">
        <v>1</v>
      </c>
      <c r="G35" s="194">
        <v>2</v>
      </c>
      <c r="H35" s="269" t="str">
        <f>IF(G35=1,Leyenda!$C$3,IF(G35=2,Leyenda!$C$4,IF(G35=3,Leyenda!$C$5,IF(G35=4,Leyenda!$C$6,IF(G35=5,Leyenda!$C$7,IF(G35=6,Leyenda!$C$8,IF(G35=7,Leyenda!$C$9,IF(G35=8,Leyenda!$C$10," "))))))))&amp;IF(G35=9,Leyenda!$C$11,IF(G35=10,Leyenda!$C$12,IF(G35=11,Leyenda!$C$13,IF(G35=12,Leyenda!$C$14," "))))</f>
        <v xml:space="preserve">GASTOS POR TRABAJOS, SUMINISTROS Y SERVICIOS </v>
      </c>
      <c r="I35" s="196" t="s">
        <v>1769</v>
      </c>
      <c r="K35" s="258">
        <f t="shared" si="2"/>
        <v>202501</v>
      </c>
      <c r="L35" s="191">
        <v>8</v>
      </c>
      <c r="M35" s="191"/>
      <c r="O35" s="197">
        <v>7600</v>
      </c>
      <c r="P35" s="197">
        <v>0</v>
      </c>
      <c r="Q35" s="198">
        <f>SUM(O35:P35)</f>
        <v>7600</v>
      </c>
      <c r="R35" s="199">
        <v>0</v>
      </c>
      <c r="S35" s="199"/>
      <c r="T35" s="199"/>
      <c r="U35" s="199">
        <v>0</v>
      </c>
      <c r="V35" s="199">
        <v>0</v>
      </c>
      <c r="W35" s="199">
        <v>0</v>
      </c>
      <c r="X35" s="199">
        <v>0</v>
      </c>
      <c r="Y35" s="199">
        <v>0</v>
      </c>
      <c r="Z35" s="199">
        <v>0</v>
      </c>
      <c r="AA35" s="199">
        <v>0</v>
      </c>
      <c r="AB35" s="199">
        <v>0</v>
      </c>
      <c r="AC35" s="199">
        <v>0</v>
      </c>
      <c r="AD35" s="199">
        <f>SUM(Detalles2025[[#This Row],[Monto Facturado]:[Monto Propina Legal]])</f>
        <v>7600</v>
      </c>
      <c r="AE35" s="199" t="s">
        <v>1714</v>
      </c>
      <c r="AF35" s="200" t="str">
        <f>IFERROR(VLOOKUP(E35,Tabla3[],2,0),"No Registrado")</f>
        <v>COLEGIO SANTA ROSA DE LIMA</v>
      </c>
      <c r="AG35" s="200" t="s">
        <v>1770</v>
      </c>
      <c r="AH35" s="199" t="s">
        <v>1161</v>
      </c>
    </row>
    <row r="36" spans="1:35" ht="16.5" x14ac:dyDescent="0.3">
      <c r="A36" s="166">
        <v>45665</v>
      </c>
      <c r="B36" s="166" t="str">
        <f>TEXT(Detalles2025[[#This Row],[Fecha]],"AAAA")</f>
        <v>2025</v>
      </c>
      <c r="C36" s="166" t="str">
        <f>TEXT(Detalles2025[[#This Row],[Fecha]],"MMMM")</f>
        <v>enero</v>
      </c>
      <c r="D36" s="166" t="str">
        <f>TEXT(Detalles2025[[#This Row],[Fecha]],"DDDD")</f>
        <v>miércoles</v>
      </c>
      <c r="E36" s="192" t="s">
        <v>1116</v>
      </c>
      <c r="F36" s="193">
        <v>1</v>
      </c>
      <c r="G36" s="194">
        <v>2</v>
      </c>
      <c r="H36" s="269" t="str">
        <f>IF(G36=1,Leyenda!$C$3,IF(G36=2,Leyenda!$C$4,IF(G36=3,Leyenda!$C$5,IF(G36=4,Leyenda!$C$6,IF(G36=5,Leyenda!$C$7,IF(G36=6,Leyenda!$C$8,IF(G36=7,Leyenda!$C$9,IF(G36=8,Leyenda!$C$10," "))))))))&amp;IF(G36=9,Leyenda!$C$11,IF(G36=10,Leyenda!$C$12,IF(G36=11,Leyenda!$C$13,IF(G36=12,Leyenda!$C$14," "))))</f>
        <v xml:space="preserve">GASTOS POR TRABAJOS, SUMINISTROS Y SERVICIOS </v>
      </c>
      <c r="I36" s="196" t="s">
        <v>1771</v>
      </c>
      <c r="K36" s="258">
        <f t="shared" si="2"/>
        <v>202501</v>
      </c>
      <c r="L36" s="191">
        <v>8</v>
      </c>
      <c r="M36" s="191"/>
      <c r="O36" s="197">
        <v>7300</v>
      </c>
      <c r="P36" s="197">
        <v>0</v>
      </c>
      <c r="Q36" s="198">
        <f t="shared" si="0"/>
        <v>7300</v>
      </c>
      <c r="R36" s="199">
        <v>0</v>
      </c>
      <c r="S36" s="199"/>
      <c r="T36" s="199"/>
      <c r="U36" s="199">
        <v>0</v>
      </c>
      <c r="V36" s="199">
        <v>0</v>
      </c>
      <c r="W36" s="199">
        <v>0</v>
      </c>
      <c r="X36" s="199">
        <v>0</v>
      </c>
      <c r="Y36" s="199">
        <v>0</v>
      </c>
      <c r="Z36" s="199">
        <v>0</v>
      </c>
      <c r="AA36" s="199">
        <v>0</v>
      </c>
      <c r="AB36" s="199">
        <v>0</v>
      </c>
      <c r="AC36" s="199">
        <v>0</v>
      </c>
      <c r="AD36" s="199">
        <f>SUM(Detalles2025[[#This Row],[Monto Facturado]:[Monto Propina Legal]])</f>
        <v>7300</v>
      </c>
      <c r="AE36" s="199" t="s">
        <v>1714</v>
      </c>
      <c r="AF36" s="200" t="str">
        <f>IFERROR(VLOOKUP(E36,Tabla3[],2,0),"No Registrado")</f>
        <v>COLEGIO SANTA ROSA DE LIMA</v>
      </c>
      <c r="AG36" s="200" t="s">
        <v>1770</v>
      </c>
      <c r="AH36" s="199" t="s">
        <v>1168</v>
      </c>
    </row>
    <row r="37" spans="1:35" ht="16.5" x14ac:dyDescent="0.3">
      <c r="A37" s="166">
        <v>45665</v>
      </c>
      <c r="B37" s="166" t="str">
        <f>TEXT(Detalles2025[[#This Row],[Fecha]],"AAAA")</f>
        <v>2025</v>
      </c>
      <c r="C37" s="166" t="str">
        <f>TEXT(Detalles2025[[#This Row],[Fecha]],"MMMM")</f>
        <v>enero</v>
      </c>
      <c r="D37" s="166" t="str">
        <f>TEXT(Detalles2025[[#This Row],[Fecha]],"DDDD")</f>
        <v>miércoles</v>
      </c>
      <c r="E37" s="192" t="s">
        <v>1116</v>
      </c>
      <c r="F37" s="193">
        <v>1</v>
      </c>
      <c r="G37" s="194">
        <v>2</v>
      </c>
      <c r="H37" s="269" t="str">
        <f>IF(G37=1,Leyenda!$C$3,IF(G37=2,Leyenda!$C$4,IF(G37=3,Leyenda!$C$5,IF(G37=4,Leyenda!$C$6,IF(G37=5,Leyenda!$C$7,IF(G37=6,Leyenda!$C$8,IF(G37=7,Leyenda!$C$9,IF(G37=8,Leyenda!$C$10," "))))))))&amp;IF(G37=9,Leyenda!$C$11,IF(G37=10,Leyenda!$C$12,IF(G37=11,Leyenda!$C$13,IF(G37=12,Leyenda!$C$14," "))))</f>
        <v xml:space="preserve">GASTOS POR TRABAJOS, SUMINISTROS Y SERVICIOS </v>
      </c>
      <c r="I37" s="196" t="s">
        <v>1772</v>
      </c>
      <c r="K37" s="258">
        <f t="shared" si="2"/>
        <v>202501</v>
      </c>
      <c r="L37" s="191">
        <v>8</v>
      </c>
      <c r="M37" s="191"/>
      <c r="O37" s="197">
        <v>7300</v>
      </c>
      <c r="P37" s="197">
        <v>0</v>
      </c>
      <c r="Q37" s="198">
        <f t="shared" si="0"/>
        <v>7300</v>
      </c>
      <c r="R37" s="199">
        <v>0</v>
      </c>
      <c r="S37" s="199"/>
      <c r="T37" s="199"/>
      <c r="U37" s="199">
        <v>0</v>
      </c>
      <c r="V37" s="199"/>
      <c r="W37" s="199"/>
      <c r="X37" s="199"/>
      <c r="Y37" s="199"/>
      <c r="Z37" s="199"/>
      <c r="AA37" s="199">
        <v>0</v>
      </c>
      <c r="AB37" s="199">
        <v>0</v>
      </c>
      <c r="AC37" s="199"/>
      <c r="AD37" s="199">
        <f>SUM(Detalles2025[[#This Row],[Monto Facturado]:[Monto Propina Legal]])</f>
        <v>7300</v>
      </c>
      <c r="AE37" s="199" t="s">
        <v>1714</v>
      </c>
      <c r="AF37" s="200" t="str">
        <f>IFERROR(VLOOKUP(E37,Tabla3[],2,0),"No Registrado")</f>
        <v>COLEGIO SANTA ROSA DE LIMA</v>
      </c>
      <c r="AG37" s="200" t="s">
        <v>1770</v>
      </c>
      <c r="AH37" s="199" t="s">
        <v>1732</v>
      </c>
    </row>
    <row r="38" spans="1:35" ht="16.5" x14ac:dyDescent="0.3">
      <c r="A38" s="166">
        <v>45687</v>
      </c>
      <c r="B38" s="166" t="str">
        <f>TEXT(Detalles2025[[#This Row],[Fecha]],"AAAA")</f>
        <v>2025</v>
      </c>
      <c r="C38" s="166" t="str">
        <f>TEXT(Detalles2025[[#This Row],[Fecha]],"MMMM")</f>
        <v>enero</v>
      </c>
      <c r="D38" s="166" t="str">
        <f>TEXT(Detalles2025[[#This Row],[Fecha]],"DDDD")</f>
        <v>jueves</v>
      </c>
      <c r="E38" s="192" t="s">
        <v>1116</v>
      </c>
      <c r="F38" s="193">
        <v>2</v>
      </c>
      <c r="G38" s="194">
        <v>2</v>
      </c>
      <c r="H38" s="269" t="str">
        <f>IF(G38=1,Leyenda!$C$3,IF(G38=2,Leyenda!$C$4,IF(G38=3,Leyenda!$C$5,IF(G38=4,Leyenda!$C$6,IF(G38=5,Leyenda!$C$7,IF(G38=6,Leyenda!$C$8,IF(G38=7,Leyenda!$C$9,IF(G38=8,Leyenda!$C$10," "))))))))&amp;IF(G38=9,Leyenda!$C$11,IF(G38=10,Leyenda!$C$12,IF(G38=11,Leyenda!$C$13,IF(G38=12,Leyenda!$C$14," "))))</f>
        <v xml:space="preserve">GASTOS POR TRABAJOS, SUMINISTROS Y SERVICIOS </v>
      </c>
      <c r="I38" s="202" t="s">
        <v>1773</v>
      </c>
      <c r="J38" s="329"/>
      <c r="K38" s="203">
        <f t="shared" si="2"/>
        <v>202501</v>
      </c>
      <c r="L38" s="203">
        <v>30</v>
      </c>
      <c r="M38" s="204"/>
      <c r="N38" s="204"/>
      <c r="O38" s="197">
        <v>7600</v>
      </c>
      <c r="P38" s="197"/>
      <c r="Q38" s="198">
        <f t="shared" si="0"/>
        <v>7600</v>
      </c>
      <c r="R38" s="199">
        <v>0</v>
      </c>
      <c r="S38" s="199"/>
      <c r="T38" s="199"/>
      <c r="U38" s="199">
        <v>0</v>
      </c>
      <c r="V38" s="199"/>
      <c r="W38" s="199"/>
      <c r="X38" s="199"/>
      <c r="Y38" s="199"/>
      <c r="Z38" s="199"/>
      <c r="AA38" s="199">
        <v>0</v>
      </c>
      <c r="AB38" s="199">
        <v>0</v>
      </c>
      <c r="AC38" s="199">
        <v>0</v>
      </c>
      <c r="AD38" s="199">
        <f>SUM(Detalles2025[[#This Row],[Monto Facturado]:[Monto Propina Legal]])</f>
        <v>7600</v>
      </c>
      <c r="AE38" s="199" t="s">
        <v>1714</v>
      </c>
      <c r="AF38" s="200" t="str">
        <f>IFERROR(VLOOKUP(E38,Tabla3[],2,0),"No Registrado")</f>
        <v>COLEGIO SANTA ROSA DE LIMA</v>
      </c>
      <c r="AG38" s="200" t="s">
        <v>1770</v>
      </c>
      <c r="AH38" s="199" t="s">
        <v>1161</v>
      </c>
    </row>
    <row r="39" spans="1:35" ht="16.5" x14ac:dyDescent="0.3">
      <c r="A39" s="166">
        <v>45687</v>
      </c>
      <c r="B39" s="166" t="str">
        <f>TEXT(Detalles2025[[#This Row],[Fecha]],"AAAA")</f>
        <v>2025</v>
      </c>
      <c r="C39" s="166" t="str">
        <f>TEXT(Detalles2025[[#This Row],[Fecha]],"MMMM")</f>
        <v>enero</v>
      </c>
      <c r="D39" s="166" t="str">
        <f>TEXT(Detalles2025[[#This Row],[Fecha]],"DDDD")</f>
        <v>jueves</v>
      </c>
      <c r="E39" s="192" t="s">
        <v>1116</v>
      </c>
      <c r="F39" s="193">
        <v>1</v>
      </c>
      <c r="G39" s="194">
        <v>2</v>
      </c>
      <c r="H39" s="269" t="str">
        <f>IF(G39=1,Leyenda!$C$3,IF(G39=2,Leyenda!$C$4,IF(G39=3,Leyenda!$C$5,IF(G39=4,Leyenda!$C$6,IF(G39=5,Leyenda!$C$7,IF(G39=6,Leyenda!$C$8,IF(G39=7,Leyenda!$C$9,IF(G39=8,Leyenda!$C$10," "))))))))&amp;IF(G39=9,Leyenda!$C$11,IF(G39=10,Leyenda!$C$12,IF(G39=11,Leyenda!$C$13,IF(G39=12,Leyenda!$C$14," "))))</f>
        <v xml:space="preserve">GASTOS POR TRABAJOS, SUMINISTROS Y SERVICIOS </v>
      </c>
      <c r="I39" s="196" t="s">
        <v>1774</v>
      </c>
      <c r="K39" s="258">
        <f t="shared" si="2"/>
        <v>202501</v>
      </c>
      <c r="L39" s="191">
        <v>30</v>
      </c>
      <c r="M39" s="191"/>
      <c r="O39" s="197">
        <v>7300</v>
      </c>
      <c r="P39" s="197"/>
      <c r="Q39" s="198">
        <f t="shared" si="0"/>
        <v>7300</v>
      </c>
      <c r="R39" s="199">
        <v>0</v>
      </c>
      <c r="S39" s="199"/>
      <c r="T39" s="199"/>
      <c r="U39" s="199"/>
      <c r="V39" s="199"/>
      <c r="W39" s="199"/>
      <c r="X39" s="199"/>
      <c r="Y39" s="199"/>
      <c r="Z39" s="199"/>
      <c r="AA39" s="199">
        <v>0</v>
      </c>
      <c r="AB39" s="199">
        <v>0</v>
      </c>
      <c r="AC39" s="199"/>
      <c r="AD39" s="199">
        <f>SUM(Detalles2025[[#This Row],[Monto Facturado]:[Monto Propina Legal]])</f>
        <v>7300</v>
      </c>
      <c r="AE39" s="199" t="s">
        <v>1714</v>
      </c>
      <c r="AF39" s="200" t="str">
        <f>IFERROR(VLOOKUP(E39,Tabla3[],2,0),"No Registrado")</f>
        <v>COLEGIO SANTA ROSA DE LIMA</v>
      </c>
      <c r="AG39" s="200" t="s">
        <v>1770</v>
      </c>
      <c r="AH39" s="199" t="s">
        <v>1168</v>
      </c>
    </row>
    <row r="40" spans="1:35" ht="16.5" x14ac:dyDescent="0.3">
      <c r="A40" s="166">
        <v>45687</v>
      </c>
      <c r="B40" s="166" t="str">
        <f>TEXT(Detalles2025[[#This Row],[Fecha]],"AAAA")</f>
        <v>2025</v>
      </c>
      <c r="C40" s="166" t="str">
        <f>TEXT(Detalles2025[[#This Row],[Fecha]],"MMMM")</f>
        <v>enero</v>
      </c>
      <c r="D40" s="166" t="str">
        <f>TEXT(Detalles2025[[#This Row],[Fecha]],"DDDD")</f>
        <v>jueves</v>
      </c>
      <c r="E40" s="192" t="s">
        <v>1116</v>
      </c>
      <c r="F40" s="193">
        <v>1</v>
      </c>
      <c r="G40" s="194">
        <v>2</v>
      </c>
      <c r="H40" s="269" t="str">
        <f>IF(G40=1,Leyenda!$C$3,IF(G40=2,Leyenda!$C$4,IF(G40=3,Leyenda!$C$5,IF(G40=4,Leyenda!$C$6,IF(G40=5,Leyenda!$C$7,IF(G40=6,Leyenda!$C$8,IF(G40=7,Leyenda!$C$9,IF(G40=8,Leyenda!$C$10," "))))))))&amp;IF(G40=9,Leyenda!$C$11,IF(G40=10,Leyenda!$C$12,IF(G40=11,Leyenda!$C$13,IF(G40=12,Leyenda!$C$14," "))))</f>
        <v xml:space="preserve">GASTOS POR TRABAJOS, SUMINISTROS Y SERVICIOS </v>
      </c>
      <c r="I40" s="196" t="s">
        <v>1775</v>
      </c>
      <c r="K40" s="258">
        <f t="shared" si="2"/>
        <v>202501</v>
      </c>
      <c r="L40" s="191">
        <v>30</v>
      </c>
      <c r="M40" s="191"/>
      <c r="O40" s="197">
        <v>7300</v>
      </c>
      <c r="P40" s="197"/>
      <c r="Q40" s="198">
        <f t="shared" si="0"/>
        <v>7300</v>
      </c>
      <c r="R40" s="199">
        <v>0</v>
      </c>
      <c r="S40" s="199"/>
      <c r="T40" s="199"/>
      <c r="U40" s="199"/>
      <c r="V40" s="199"/>
      <c r="W40" s="199"/>
      <c r="X40" s="199"/>
      <c r="Y40" s="199"/>
      <c r="Z40" s="199"/>
      <c r="AA40" s="199">
        <v>0</v>
      </c>
      <c r="AB40" s="199">
        <v>0</v>
      </c>
      <c r="AC40" s="199"/>
      <c r="AD40" s="199">
        <f>SUM(Detalles2025[[#This Row],[Monto Facturado]:[Monto Propina Legal]])</f>
        <v>7300</v>
      </c>
      <c r="AE40" s="199" t="s">
        <v>1714</v>
      </c>
      <c r="AF40" s="200" t="str">
        <f>IFERROR(VLOOKUP(E40,Tabla3[],2,0),"No Registrado")</f>
        <v>COLEGIO SANTA ROSA DE LIMA</v>
      </c>
      <c r="AG40" s="200" t="s">
        <v>1770</v>
      </c>
      <c r="AH40" s="199" t="s">
        <v>1732</v>
      </c>
    </row>
    <row r="41" spans="1:35" ht="16.5" x14ac:dyDescent="0.3">
      <c r="A41" s="166">
        <v>45687</v>
      </c>
      <c r="B41" s="166" t="s">
        <v>376</v>
      </c>
      <c r="C41" s="166" t="s">
        <v>1776</v>
      </c>
      <c r="D41" s="166" t="s">
        <v>1777</v>
      </c>
      <c r="E41" s="192" t="s">
        <v>1116</v>
      </c>
      <c r="F41" s="193">
        <v>1</v>
      </c>
      <c r="G41" s="194">
        <v>2</v>
      </c>
      <c r="H41" s="269" t="s">
        <v>1778</v>
      </c>
      <c r="I41" s="196" t="s">
        <v>1775</v>
      </c>
      <c r="J41" s="258">
        <v>202501</v>
      </c>
      <c r="K41" s="258">
        <f t="shared" si="2"/>
        <v>202501</v>
      </c>
      <c r="L41" s="191">
        <v>30</v>
      </c>
      <c r="M41" s="197"/>
      <c r="N41" s="198">
        <v>7300</v>
      </c>
      <c r="O41" s="199">
        <v>0</v>
      </c>
      <c r="P41" s="199">
        <v>0</v>
      </c>
      <c r="Q41" s="198">
        <v>0</v>
      </c>
      <c r="R41" s="199">
        <v>0</v>
      </c>
      <c r="S41" s="199"/>
      <c r="T41" s="199">
        <v>7300</v>
      </c>
      <c r="U41" s="199">
        <v>0</v>
      </c>
      <c r="V41" s="200" t="s">
        <v>1117</v>
      </c>
      <c r="W41" s="200" t="s">
        <v>1770</v>
      </c>
      <c r="X41" s="199" t="s">
        <v>1732</v>
      </c>
      <c r="Y41" s="199"/>
      <c r="Z41" s="199"/>
      <c r="AA41" s="199">
        <v>0</v>
      </c>
      <c r="AB41" s="199">
        <v>0</v>
      </c>
      <c r="AC41" s="199">
        <v>0</v>
      </c>
      <c r="AD41" s="199">
        <v>0</v>
      </c>
      <c r="AE41" s="199" t="s">
        <v>1714</v>
      </c>
      <c r="AF41" s="200" t="str">
        <f>IFERROR(VLOOKUP(E41,Tabla3[],2,0),"No Registrado")</f>
        <v>COLEGIO SANTA ROSA DE LIMA</v>
      </c>
      <c r="AG41" s="200" t="s">
        <v>1770</v>
      </c>
      <c r="AH41" s="199" t="s">
        <v>1165</v>
      </c>
    </row>
    <row r="42" spans="1:35" ht="16.5" x14ac:dyDescent="0.3">
      <c r="A42" s="166">
        <v>45688</v>
      </c>
      <c r="B42" s="166" t="str">
        <f>TEXT(Detalles2025[[#This Row],[Fecha]],"AAAA")</f>
        <v>2025</v>
      </c>
      <c r="C42" s="166" t="str">
        <f>TEXT(Detalles2025[[#This Row],[Fecha]],"MMMM")</f>
        <v>enero</v>
      </c>
      <c r="D42" s="166" t="str">
        <f>TEXT(Detalles2025[[#This Row],[Fecha]],"DDDD")</f>
        <v>viernes</v>
      </c>
      <c r="E42" s="192" t="s">
        <v>1114</v>
      </c>
      <c r="F42" s="193">
        <v>1</v>
      </c>
      <c r="G42" s="194">
        <v>2</v>
      </c>
      <c r="H42" s="269" t="str">
        <f>IF(G42=1,Leyenda!$C$3,IF(G42=2,Leyenda!$C$4,IF(G42=3,Leyenda!$C$5,IF(G42=4,Leyenda!$C$6,IF(G42=5,Leyenda!$C$7,IF(G42=6,Leyenda!$C$8,IF(G42=7,Leyenda!$C$9,IF(G42=8,Leyenda!$C$10," "))))))))&amp;IF(G42=9,Leyenda!$C$11,IF(G42=10,Leyenda!$C$12,IF(G42=11,Leyenda!$C$13,IF(G42=12,Leyenda!$C$14," "))))</f>
        <v xml:space="preserve">GASTOS POR TRABAJOS, SUMINISTROS Y SERVICIOS </v>
      </c>
      <c r="I42" s="196" t="s">
        <v>1779</v>
      </c>
      <c r="K42" s="258">
        <f t="shared" si="2"/>
        <v>202501</v>
      </c>
      <c r="L42" s="191">
        <v>31</v>
      </c>
      <c r="M42" s="191"/>
      <c r="O42" s="197">
        <v>5801</v>
      </c>
      <c r="P42" s="197"/>
      <c r="Q42" s="198">
        <f t="shared" si="0"/>
        <v>5801</v>
      </c>
      <c r="R42" s="199">
        <v>0</v>
      </c>
      <c r="S42" s="199"/>
      <c r="T42" s="199"/>
      <c r="U42" s="199"/>
      <c r="V42" s="199"/>
      <c r="W42" s="199"/>
      <c r="X42" s="199"/>
      <c r="Y42" s="199"/>
      <c r="Z42" s="199"/>
      <c r="AA42" s="199">
        <v>0</v>
      </c>
      <c r="AB42" s="199">
        <v>0</v>
      </c>
      <c r="AC42" s="199"/>
      <c r="AD42" s="199">
        <f>SUM(Detalles2025[[#This Row],[Monto Facturado]:[Monto Propina Legal]])</f>
        <v>5801</v>
      </c>
      <c r="AE42" s="199" t="s">
        <v>1714</v>
      </c>
      <c r="AF42" s="200" t="str">
        <f>IFERROR(VLOOKUP(E42,Tabla3[],2,0),"No Registrado")</f>
        <v>ACADEMIA EUROPEA</v>
      </c>
      <c r="AG42" s="200" t="s">
        <v>1780</v>
      </c>
      <c r="AH42" s="199" t="s">
        <v>1168</v>
      </c>
    </row>
    <row r="43" spans="1:35" ht="16.5" x14ac:dyDescent="0.3">
      <c r="A43" s="166">
        <v>45681</v>
      </c>
      <c r="B43" s="166" t="str">
        <f>TEXT(Detalles2025[[#This Row],[Fecha]],"AAAA")</f>
        <v>2025</v>
      </c>
      <c r="C43" s="166" t="str">
        <f>TEXT(Detalles2025[[#This Row],[Fecha]],"MMMM")</f>
        <v>enero</v>
      </c>
      <c r="D43" s="166" t="str">
        <f>TEXT(Detalles2025[[#This Row],[Fecha]],"DDDD")</f>
        <v>viernes</v>
      </c>
      <c r="E43" s="192" t="s">
        <v>1114</v>
      </c>
      <c r="F43" s="193">
        <v>1</v>
      </c>
      <c r="G43" s="194">
        <v>2</v>
      </c>
      <c r="H43" s="269" t="str">
        <f>IF(G43=1,Leyenda!$C$3,IF(G43=2,Leyenda!$C$4,IF(G43=3,Leyenda!$C$5,IF(G43=4,Leyenda!$C$6,IF(G43=5,Leyenda!$C$7,IF(G43=6,Leyenda!$C$8,IF(G43=7,Leyenda!$C$9,IF(G43=8,Leyenda!$C$10," "))))))))&amp;IF(G43=9,Leyenda!$C$11,IF(G43=10,Leyenda!$C$12,IF(G43=11,Leyenda!$C$13,IF(G43=12,Leyenda!$C$14," "))))</f>
        <v xml:space="preserve">GASTOS POR TRABAJOS, SUMINISTROS Y SERVICIOS </v>
      </c>
      <c r="I43" s="196" t="s">
        <v>1781</v>
      </c>
      <c r="K43" s="258">
        <f t="shared" si="2"/>
        <v>202501</v>
      </c>
      <c r="L43" s="191">
        <v>24</v>
      </c>
      <c r="M43" s="191"/>
      <c r="O43" s="197">
        <v>3190</v>
      </c>
      <c r="P43" s="205"/>
      <c r="Q43" s="198">
        <f t="shared" si="0"/>
        <v>3190</v>
      </c>
      <c r="R43" s="199">
        <v>0</v>
      </c>
      <c r="S43" s="199"/>
      <c r="T43" s="199"/>
      <c r="U43" s="199"/>
      <c r="V43" s="199"/>
      <c r="W43" s="199"/>
      <c r="X43" s="199"/>
      <c r="Y43" s="199"/>
      <c r="Z43" s="199"/>
      <c r="AA43" s="199">
        <v>0</v>
      </c>
      <c r="AB43" s="199">
        <v>0</v>
      </c>
      <c r="AC43" s="199"/>
      <c r="AD43" s="199">
        <f>SUM(Detalles2025[[#This Row],[Monto Facturado]:[Monto Propina Legal]])</f>
        <v>3190</v>
      </c>
      <c r="AE43" s="199" t="s">
        <v>1714</v>
      </c>
      <c r="AF43" s="200" t="str">
        <f>IFERROR(VLOOKUP(E43,Tabla3[],2,0),"No Registrado")</f>
        <v>ACADEMIA EUROPEA</v>
      </c>
      <c r="AG43" s="200" t="s">
        <v>1767</v>
      </c>
      <c r="AH43" s="199" t="s">
        <v>1165</v>
      </c>
    </row>
    <row r="44" spans="1:35" ht="16.5" x14ac:dyDescent="0.3">
      <c r="A44" s="166">
        <v>45664</v>
      </c>
      <c r="B44" s="166" t="str">
        <f>TEXT(Detalles2025[[#This Row],[Fecha]],"AAAA")</f>
        <v>2025</v>
      </c>
      <c r="C44" s="166" t="str">
        <f>TEXT(Detalles2025[[#This Row],[Fecha]],"MMMM")</f>
        <v>enero</v>
      </c>
      <c r="D44" s="166" t="str">
        <f>TEXT(Detalles2025[[#This Row],[Fecha]],"DDDD")</f>
        <v>martes</v>
      </c>
      <c r="E44" s="192" t="s">
        <v>495</v>
      </c>
      <c r="F44" s="193">
        <v>1</v>
      </c>
      <c r="G44" s="194">
        <v>2</v>
      </c>
      <c r="H44" s="269" t="str">
        <f>IF(G44=1,Leyenda!$C$3,IF(G44=2,Leyenda!$C$4,IF(G44=3,Leyenda!$C$5,IF(G44=4,Leyenda!$C$6,IF(G44=5,Leyenda!$C$7,IF(G44=6,Leyenda!$C$8,IF(G44=7,Leyenda!$C$9,IF(G44=8,Leyenda!$C$10," "))))))))&amp;IF(G44=9,Leyenda!$C$11,IF(G44=10,Leyenda!$C$12,IF(G44=11,Leyenda!$C$13,IF(G44=12,Leyenda!$C$14," "))))</f>
        <v xml:space="preserve">GASTOS POR TRABAJOS, SUMINISTROS Y SERVICIOS </v>
      </c>
      <c r="I44" s="196" t="s">
        <v>1782</v>
      </c>
      <c r="K44" s="258">
        <f t="shared" si="2"/>
        <v>202501</v>
      </c>
      <c r="L44" s="191">
        <v>7</v>
      </c>
      <c r="M44" s="191"/>
      <c r="O44" s="197">
        <v>1153.08</v>
      </c>
      <c r="P44" s="205"/>
      <c r="Q44" s="198">
        <f t="shared" si="0"/>
        <v>1153.08</v>
      </c>
      <c r="R44" s="199">
        <v>207.55</v>
      </c>
      <c r="S44" s="199"/>
      <c r="T44" s="199"/>
      <c r="U44" s="199"/>
      <c r="V44" s="199"/>
      <c r="W44" s="199"/>
      <c r="X44" s="199"/>
      <c r="Y44" s="199"/>
      <c r="Z44" s="199"/>
      <c r="AA44" s="199">
        <v>115.31</v>
      </c>
      <c r="AB44" s="199">
        <v>23.06</v>
      </c>
      <c r="AC44" s="199"/>
      <c r="AD44" s="199">
        <f>SUM(Detalles2025[[#This Row],[Monto Facturado]:[Monto Propina Legal]])</f>
        <v>1498.9999999999998</v>
      </c>
      <c r="AE44" s="199" t="s">
        <v>1714</v>
      </c>
      <c r="AF44" s="200" t="str">
        <f>IFERROR(VLOOKUP(E44,Tabla3[],2,0),"No Registrado")</f>
        <v>CLARO//CODETEL</v>
      </c>
      <c r="AG44" s="200" t="s">
        <v>1783</v>
      </c>
      <c r="AH44" s="199" t="s">
        <v>1720</v>
      </c>
    </row>
    <row r="45" spans="1:35" ht="16.5" x14ac:dyDescent="0.3">
      <c r="A45" s="166">
        <v>45664</v>
      </c>
      <c r="B45" s="166" t="str">
        <f>TEXT(Detalles2025[[#This Row],[Fecha]],"AAAA")</f>
        <v>2025</v>
      </c>
      <c r="C45" s="166" t="str">
        <f>TEXT(Detalles2025[[#This Row],[Fecha]],"MMMM")</f>
        <v>enero</v>
      </c>
      <c r="D45" s="166" t="str">
        <f>TEXT(Detalles2025[[#This Row],[Fecha]],"DDDD")</f>
        <v>martes</v>
      </c>
      <c r="E45" s="192" t="s">
        <v>495</v>
      </c>
      <c r="F45" s="193">
        <v>1</v>
      </c>
      <c r="G45" s="194">
        <v>2</v>
      </c>
      <c r="H45" s="269" t="str">
        <f>IF(G45=1,Leyenda!$C$3,IF(G45=2,Leyenda!$C$4,IF(G45=3,Leyenda!$C$5,IF(G45=4,Leyenda!$C$6,IF(G45=5,Leyenda!$C$7,IF(G45=6,Leyenda!$C$8,IF(G45=7,Leyenda!$C$9,IF(G45=8,Leyenda!$C$10," "))))))))&amp;IF(G45=9,Leyenda!$C$11,IF(G45=10,Leyenda!$C$12,IF(G45=11,Leyenda!$C$13,IF(G45=12,Leyenda!$C$14," "))))</f>
        <v xml:space="preserve">GASTOS POR TRABAJOS, SUMINISTROS Y SERVICIOS </v>
      </c>
      <c r="I45" s="196" t="s">
        <v>1784</v>
      </c>
      <c r="K45" s="258">
        <f t="shared" si="2"/>
        <v>202501</v>
      </c>
      <c r="L45" s="191">
        <v>7</v>
      </c>
      <c r="M45" s="191"/>
      <c r="O45" s="197">
        <v>2407.69</v>
      </c>
      <c r="P45" s="205"/>
      <c r="Q45" s="198">
        <f t="shared" si="0"/>
        <v>2407.69</v>
      </c>
      <c r="R45" s="199">
        <v>433.39</v>
      </c>
      <c r="S45" s="199"/>
      <c r="T45" s="199"/>
      <c r="U45" s="199"/>
      <c r="V45" s="199"/>
      <c r="W45" s="199"/>
      <c r="X45" s="199"/>
      <c r="Y45" s="199"/>
      <c r="Z45" s="199"/>
      <c r="AA45" s="199">
        <v>240.77</v>
      </c>
      <c r="AB45" s="199">
        <v>48.15</v>
      </c>
      <c r="AC45" s="199"/>
      <c r="AD45" s="199">
        <f>SUM(Detalles2025[[#This Row],[Monto Facturado]:[Monto Propina Legal]])</f>
        <v>3130</v>
      </c>
      <c r="AE45" s="199" t="s">
        <v>1714</v>
      </c>
      <c r="AF45" s="200" t="str">
        <f>IFERROR(VLOOKUP(E45,Tabla3[],2,0),"No Registrado")</f>
        <v>CLARO//CODETEL</v>
      </c>
      <c r="AG45" s="200" t="s">
        <v>1785</v>
      </c>
      <c r="AH45" s="199" t="s">
        <v>1170</v>
      </c>
    </row>
    <row r="46" spans="1:35" ht="16.5" x14ac:dyDescent="0.3">
      <c r="A46" s="166">
        <v>45677</v>
      </c>
      <c r="B46" s="166" t="str">
        <f>TEXT(Detalles2025[[#This Row],[Fecha]],"AAAA")</f>
        <v>2025</v>
      </c>
      <c r="C46" s="166" t="str">
        <f>TEXT(Detalles2025[[#This Row],[Fecha]],"MMMM")</f>
        <v>enero</v>
      </c>
      <c r="D46" s="166" t="str">
        <f>TEXT(Detalles2025[[#This Row],[Fecha]],"DDDD")</f>
        <v>lunes</v>
      </c>
      <c r="E46" s="192" t="s">
        <v>1112</v>
      </c>
      <c r="F46" s="193">
        <v>1</v>
      </c>
      <c r="G46" s="194">
        <v>2</v>
      </c>
      <c r="H46" s="269" t="str">
        <f>IF(G46=1,Leyenda!$C$3,IF(G46=2,Leyenda!$C$4,IF(G46=3,Leyenda!$C$5,IF(G46=4,Leyenda!$C$6,IF(G46=5,Leyenda!$C$7,IF(G46=6,Leyenda!$C$8,IF(G46=7,Leyenda!$C$9,IF(G46=8,Leyenda!$C$10," "))))))))&amp;IF(G46=9,Leyenda!$C$11,IF(G46=10,Leyenda!$C$12,IF(G46=11,Leyenda!$C$13,IF(G46=12,Leyenda!$C$14," "))))</f>
        <v xml:space="preserve">GASTOS POR TRABAJOS, SUMINISTROS Y SERVICIOS </v>
      </c>
      <c r="I46" s="196" t="s">
        <v>1786</v>
      </c>
      <c r="K46" s="258">
        <f t="shared" si="2"/>
        <v>202501</v>
      </c>
      <c r="L46" s="191">
        <v>20</v>
      </c>
      <c r="M46" s="191"/>
      <c r="O46" s="197">
        <v>3849.79</v>
      </c>
      <c r="P46" s="205"/>
      <c r="Q46" s="198">
        <f t="shared" si="0"/>
        <v>3849.79</v>
      </c>
      <c r="R46" s="199"/>
      <c r="S46" s="199"/>
      <c r="T46" s="199"/>
      <c r="U46" s="199"/>
      <c r="V46" s="199"/>
      <c r="W46" s="199"/>
      <c r="X46" s="199"/>
      <c r="Y46" s="199"/>
      <c r="Z46" s="199"/>
      <c r="AA46" s="199"/>
      <c r="AB46" s="199"/>
      <c r="AC46" s="199"/>
      <c r="AD46" s="199">
        <f>SUM(Detalles2025[[#This Row],[Monto Facturado]:[Monto Propina Legal]])</f>
        <v>3849.79</v>
      </c>
      <c r="AE46" s="199" t="s">
        <v>1714</v>
      </c>
      <c r="AF46" s="200" t="str">
        <f>IFERROR(VLOOKUP(E46,Tabla3[],2,0),"No Registrado")</f>
        <v>EDEESTE</v>
      </c>
      <c r="AG46" s="200" t="s">
        <v>1787</v>
      </c>
      <c r="AH46" s="199" t="s">
        <v>1720</v>
      </c>
    </row>
    <row r="47" spans="1:35" ht="16.5" x14ac:dyDescent="0.3">
      <c r="A47" s="166">
        <v>45684</v>
      </c>
      <c r="B47" s="166" t="str">
        <f>TEXT(Detalles2025[[#This Row],[Fecha]],"AAAA")</f>
        <v>2025</v>
      </c>
      <c r="C47" s="166" t="str">
        <f>TEXT(Detalles2025[[#This Row],[Fecha]],"MMMM")</f>
        <v>enero</v>
      </c>
      <c r="D47" s="166" t="str">
        <f>TEXT(Detalles2025[[#This Row],[Fecha]],"DDDD")</f>
        <v>lunes</v>
      </c>
      <c r="E47" s="192" t="s">
        <v>1788</v>
      </c>
      <c r="F47" s="193">
        <v>1</v>
      </c>
      <c r="G47" s="194">
        <v>12</v>
      </c>
      <c r="H47" s="269" t="str">
        <f>IF(G47=1,Leyenda!$C$3,IF(G47=2,Leyenda!$C$4,IF(G47=3,Leyenda!$C$5,IF(G47=4,Leyenda!$C$6,IF(G47=5,Leyenda!$C$7,IF(G47=6,Leyenda!$C$8,IF(G47=7,Leyenda!$C$9,IF(G47=8,Leyenda!$C$10," "))))))))&amp;IF(G47=9,Leyenda!$C$11,IF(G47=10,Leyenda!$C$12,IF(G47=11,Leyenda!$C$13,IF(G47=12,Leyenda!$C$14," "))))</f>
        <v xml:space="preserve"> GASTOS MENORES</v>
      </c>
      <c r="I47" s="276">
        <v>0</v>
      </c>
      <c r="K47" s="258">
        <f t="shared" si="2"/>
        <v>202501</v>
      </c>
      <c r="L47" s="191">
        <v>27</v>
      </c>
      <c r="M47" s="191"/>
      <c r="O47" s="197">
        <v>0</v>
      </c>
      <c r="P47" s="205">
        <v>2000</v>
      </c>
      <c r="Q47" s="198">
        <f t="shared" si="0"/>
        <v>2000</v>
      </c>
      <c r="R47" s="199"/>
      <c r="S47" s="199"/>
      <c r="T47" s="199"/>
      <c r="U47" s="199"/>
      <c r="V47" s="199"/>
      <c r="W47" s="199"/>
      <c r="X47" s="199"/>
      <c r="Y47" s="199"/>
      <c r="Z47" s="199"/>
      <c r="AA47" s="199"/>
      <c r="AB47" s="199"/>
      <c r="AC47" s="199"/>
      <c r="AD47" s="199">
        <f>SUM(Detalles2025[[#This Row],[Monto Facturado]:[Monto Propina Legal]])</f>
        <v>2000</v>
      </c>
      <c r="AE47" s="199" t="s">
        <v>1725</v>
      </c>
      <c r="AF47" s="200" t="str">
        <f>IFERROR(VLOOKUP(E47,Tabla3[],2,0),"No Registrado")</f>
        <v>No Registrado</v>
      </c>
      <c r="AG47" s="200" t="s">
        <v>1789</v>
      </c>
      <c r="AH47" s="199" t="s">
        <v>1165</v>
      </c>
      <c r="AI47" s="76"/>
    </row>
    <row r="48" spans="1:35" ht="16.5" x14ac:dyDescent="0.3">
      <c r="A48" s="166">
        <v>45684</v>
      </c>
      <c r="B48" s="166" t="str">
        <f>TEXT(Detalles2025[[#This Row],[Fecha]],"AAAA")</f>
        <v>2025</v>
      </c>
      <c r="C48" s="166" t="str">
        <f>TEXT(Detalles2025[[#This Row],[Fecha]],"MMMM")</f>
        <v>enero</v>
      </c>
      <c r="D48" s="166" t="str">
        <f>TEXT(Detalles2025[[#This Row],[Fecha]],"DDDD")</f>
        <v>lunes</v>
      </c>
      <c r="E48" s="192" t="s">
        <v>1788</v>
      </c>
      <c r="F48" s="193">
        <v>1</v>
      </c>
      <c r="G48" s="194">
        <v>12</v>
      </c>
      <c r="H48" s="269" t="str">
        <f>IF(G48=1,Leyenda!$C$3,IF(G48=2,Leyenda!$C$4,IF(G48=3,Leyenda!$C$5,IF(G48=4,Leyenda!$C$6,IF(G48=5,Leyenda!$C$7,IF(G48=6,Leyenda!$C$8,IF(G48=7,Leyenda!$C$9,IF(G48=8,Leyenda!$C$10," "))))))))&amp;IF(G48=9,Leyenda!$C$11,IF(G48=10,Leyenda!$C$12,IF(G48=11,Leyenda!$C$13,IF(G48=12,Leyenda!$C$14," "))))</f>
        <v xml:space="preserve"> GASTOS MENORES</v>
      </c>
      <c r="I48" s="276">
        <v>0</v>
      </c>
      <c r="K48" s="258">
        <f t="shared" si="2"/>
        <v>202501</v>
      </c>
      <c r="L48" s="191">
        <v>27</v>
      </c>
      <c r="M48" s="191"/>
      <c r="O48" s="197">
        <v>0</v>
      </c>
      <c r="P48" s="205">
        <v>2000</v>
      </c>
      <c r="Q48" s="198">
        <f t="shared" si="0"/>
        <v>2000</v>
      </c>
      <c r="R48" s="199"/>
      <c r="S48" s="199"/>
      <c r="T48" s="199"/>
      <c r="U48" s="199"/>
      <c r="V48" s="199"/>
      <c r="W48" s="199"/>
      <c r="X48" s="199"/>
      <c r="Y48" s="199"/>
      <c r="Z48" s="199"/>
      <c r="AA48" s="199"/>
      <c r="AB48" s="199"/>
      <c r="AC48" s="199"/>
      <c r="AD48" s="199">
        <f>SUM(Detalles2025[[#This Row],[Monto Facturado]:[Monto Propina Legal]])</f>
        <v>2000</v>
      </c>
      <c r="AE48" s="199" t="s">
        <v>1725</v>
      </c>
      <c r="AF48" s="200" t="str">
        <f>IFERROR(VLOOKUP(E48,Tabla3[],2,0),"No Registrado")</f>
        <v>No Registrado</v>
      </c>
      <c r="AG48" s="200" t="s">
        <v>1789</v>
      </c>
      <c r="AH48" s="199" t="s">
        <v>1168</v>
      </c>
    </row>
    <row r="49" spans="1:35" ht="16.5" x14ac:dyDescent="0.3">
      <c r="A49" s="166">
        <v>45677</v>
      </c>
      <c r="B49" s="166" t="str">
        <f>TEXT(Detalles2025[[#This Row],[Fecha]],"AAAA")</f>
        <v>2025</v>
      </c>
      <c r="C49" s="166" t="str">
        <f>TEXT(Detalles2025[[#This Row],[Fecha]],"MMMM")</f>
        <v>enero</v>
      </c>
      <c r="D49" s="166" t="str">
        <f>TEXT(Detalles2025[[#This Row],[Fecha]],"DDDD")</f>
        <v>lunes</v>
      </c>
      <c r="E49" s="192" t="s">
        <v>511</v>
      </c>
      <c r="F49" s="193">
        <v>1</v>
      </c>
      <c r="G49" s="194">
        <v>12</v>
      </c>
      <c r="H49" s="269" t="str">
        <f>IF(G49=1,Leyenda!$C$3,IF(G49=2,Leyenda!$C$4,IF(G49=3,Leyenda!$C$5,IF(G49=4,Leyenda!$C$6,IF(G49=5,Leyenda!$C$7,IF(G49=6,Leyenda!$C$8,IF(G49=7,Leyenda!$C$9,IF(G49=8,Leyenda!$C$10," "))))))))&amp;IF(G49=9,Leyenda!$C$11,IF(G49=10,Leyenda!$C$12,IF(G49=11,Leyenda!$C$13,IF(G49=12,Leyenda!$C$14," "))))</f>
        <v xml:space="preserve"> GASTOS MENORES</v>
      </c>
      <c r="I49" s="276">
        <v>0</v>
      </c>
      <c r="K49" s="258">
        <f t="shared" si="2"/>
        <v>202501</v>
      </c>
      <c r="L49" s="191">
        <v>20</v>
      </c>
      <c r="M49" s="191"/>
      <c r="O49" s="197">
        <v>0</v>
      </c>
      <c r="P49" s="205">
        <v>1390</v>
      </c>
      <c r="Q49" s="198">
        <f t="shared" si="0"/>
        <v>1390</v>
      </c>
      <c r="R49" s="199">
        <v>0</v>
      </c>
      <c r="S49" s="199"/>
      <c r="T49" s="199"/>
      <c r="U49" s="199">
        <v>0</v>
      </c>
      <c r="V49" s="199"/>
      <c r="W49" s="199"/>
      <c r="X49" s="199"/>
      <c r="Y49" s="199"/>
      <c r="Z49" s="199"/>
      <c r="AA49" s="199">
        <v>0</v>
      </c>
      <c r="AB49" s="199">
        <v>0</v>
      </c>
      <c r="AC49" s="199">
        <v>0</v>
      </c>
      <c r="AD49" s="199">
        <f>SUM(Detalles2025[[#This Row],[Monto Facturado]:[Monto Propina Legal]])</f>
        <v>1390</v>
      </c>
      <c r="AE49" s="199" t="s">
        <v>1714</v>
      </c>
      <c r="AF49" s="200" t="str">
        <f>IFERROR(VLOOKUP(E49,Tabla3[],2,0),"No Registrado")</f>
        <v>Bravo, S.A.//Supermercados Bravo</v>
      </c>
      <c r="AG49" s="200" t="s">
        <v>1790</v>
      </c>
      <c r="AH49" s="199" t="s">
        <v>1161</v>
      </c>
      <c r="AI49" s="201"/>
    </row>
    <row r="50" spans="1:35" ht="16.5" x14ac:dyDescent="0.3">
      <c r="A50" s="166">
        <v>45674</v>
      </c>
      <c r="B50" s="166" t="str">
        <f>TEXT(Detalles2025[[#This Row],[Fecha]],"AAAA")</f>
        <v>2025</v>
      </c>
      <c r="C50" s="166" t="str">
        <f>TEXT(Detalles2025[[#This Row],[Fecha]],"MMMM")</f>
        <v>enero</v>
      </c>
      <c r="D50" s="166" t="str">
        <f>TEXT(Detalles2025[[#This Row],[Fecha]],"DDDD")</f>
        <v>viernes</v>
      </c>
      <c r="E50" s="192">
        <v>430078549</v>
      </c>
      <c r="F50" s="193">
        <v>2</v>
      </c>
      <c r="G50" s="194">
        <v>12</v>
      </c>
      <c r="H50" s="285" t="str">
        <f>IF(G50=1,Leyenda!$C$3,IF(G50=2,Leyenda!$C$4,IF(G50=3,Leyenda!$C$5,IF(G50=4,Leyenda!$C$6,IF(G50=5,Leyenda!$C$7,IF(G50=6,Leyenda!$C$8,IF(G50=7,Leyenda!$C$9,IF(G50=8,Leyenda!$C$10," "))))))))&amp;IF(G50=9,Leyenda!$C$11,IF(G50=10,Leyenda!$C$12,IF(G50=11,Leyenda!$C$13,IF(G50=12,Leyenda!$C$14," "))))</f>
        <v xml:space="preserve"> GASTOS MENORES</v>
      </c>
      <c r="I50" s="276">
        <v>0</v>
      </c>
      <c r="K50" s="258">
        <f>IF($G50=0," ",$K$3)</f>
        <v>202501</v>
      </c>
      <c r="L50" s="191">
        <v>17</v>
      </c>
      <c r="M50" s="191"/>
      <c r="O50" s="197">
        <v>0</v>
      </c>
      <c r="P50" s="205">
        <v>1000</v>
      </c>
      <c r="Q50" s="198">
        <f t="shared" si="0"/>
        <v>1000</v>
      </c>
      <c r="R50" s="199">
        <v>0</v>
      </c>
      <c r="S50" s="199"/>
      <c r="T50" s="199"/>
      <c r="U50" s="199">
        <v>0</v>
      </c>
      <c r="V50" s="199"/>
      <c r="W50" s="199"/>
      <c r="X50" s="199"/>
      <c r="Y50" s="199"/>
      <c r="Z50" s="199"/>
      <c r="AA50" s="199">
        <v>0</v>
      </c>
      <c r="AB50" s="199">
        <v>0</v>
      </c>
      <c r="AC50" s="199">
        <v>0</v>
      </c>
      <c r="AD50" s="199">
        <f>SUM(Detalles2025[[#This Row],[Monto Facturado]:[Monto Propina Legal]])</f>
        <v>1000</v>
      </c>
      <c r="AE50" s="199" t="s">
        <v>1714</v>
      </c>
      <c r="AF50" s="200" t="str">
        <f>IFERROR(VLOOKUP(E50,Tabla3[],2,0),"No Registrado")</f>
        <v>Fundacion Cristiana de Consolacion y Ayuda</v>
      </c>
      <c r="AG50" s="200" t="s">
        <v>1791</v>
      </c>
      <c r="AH50" s="199" t="s">
        <v>1161</v>
      </c>
    </row>
    <row r="51" spans="1:35" ht="16.5" x14ac:dyDescent="0.3">
      <c r="A51" s="166">
        <v>45677</v>
      </c>
      <c r="B51" s="166" t="str">
        <f>TEXT(Detalles2025[[#This Row],[Fecha]],"AAAA")</f>
        <v>2025</v>
      </c>
      <c r="C51" s="166" t="str">
        <f>TEXT(Detalles2025[[#This Row],[Fecha]],"MMMM")</f>
        <v>enero</v>
      </c>
      <c r="D51" s="166" t="str">
        <f>TEXT(Detalles2025[[#This Row],[Fecha]],"DDDD")</f>
        <v>lunes</v>
      </c>
      <c r="E51" s="192" t="s">
        <v>1792</v>
      </c>
      <c r="F51" s="193">
        <v>1</v>
      </c>
      <c r="G51" s="194">
        <v>12</v>
      </c>
      <c r="H51" s="272" t="str">
        <f>IF(G51=1,Leyenda!$C$3,IF(G51=2,Leyenda!$C$4,IF(G51=3,Leyenda!$C$5,IF(G51=4,Leyenda!$C$6,IF(G51=5,Leyenda!$C$7,IF(G51=6,Leyenda!$C$8,IF(G51=7,Leyenda!$C$9,IF(G51=8,Leyenda!$C$10," "))))))))&amp;IF(G51=9,Leyenda!$C$11,IF(G51=10,Leyenda!$C$12,IF(G51=11,Leyenda!$C$13,IF(G51=12,Leyenda!$C$14," "))))</f>
        <v xml:space="preserve"> GASTOS MENORES</v>
      </c>
      <c r="I51" s="277">
        <v>0</v>
      </c>
      <c r="K51" s="258">
        <f>IF($G51=0," ",$K$2)</f>
        <v>202501</v>
      </c>
      <c r="L51" s="191">
        <v>20</v>
      </c>
      <c r="M51" s="191"/>
      <c r="O51" s="273">
        <v>1364</v>
      </c>
      <c r="P51" s="274">
        <v>0</v>
      </c>
      <c r="Q51" s="198">
        <f t="shared" si="0"/>
        <v>1364</v>
      </c>
      <c r="R51" s="275">
        <v>0</v>
      </c>
      <c r="S51" s="275"/>
      <c r="T51" s="275"/>
      <c r="U51" s="275">
        <v>0</v>
      </c>
      <c r="V51" s="275"/>
      <c r="W51" s="275"/>
      <c r="X51" s="275"/>
      <c r="Y51" s="275"/>
      <c r="Z51" s="275"/>
      <c r="AA51" s="275">
        <v>0</v>
      </c>
      <c r="AB51" s="275">
        <v>0</v>
      </c>
      <c r="AC51" s="275">
        <v>0</v>
      </c>
      <c r="AD51" s="275">
        <f>SUM(Detalles2025[[#This Row],[Monto Facturado]:[Monto Propina Legal]])</f>
        <v>1364</v>
      </c>
      <c r="AE51" s="275" t="s">
        <v>1714</v>
      </c>
      <c r="AF51" s="200" t="str">
        <f>IFERROR(VLOOKUP(E51,Tabla3[],2,0),"No Registrado")</f>
        <v>No Registrado</v>
      </c>
      <c r="AG51" s="200" t="s">
        <v>1793</v>
      </c>
      <c r="AH51" s="199" t="s">
        <v>1720</v>
      </c>
    </row>
    <row r="52" spans="1:35" ht="16.5" x14ac:dyDescent="0.3">
      <c r="A52" s="166">
        <v>45667</v>
      </c>
      <c r="B52" s="166" t="str">
        <f>TEXT(Detalles2025[[#This Row],[Fecha]],"AAAA")</f>
        <v>2025</v>
      </c>
      <c r="C52" s="166" t="str">
        <f>TEXT(Detalles2025[[#This Row],[Fecha]],"MMMM")</f>
        <v>enero</v>
      </c>
      <c r="D52" s="166" t="str">
        <f>TEXT(Detalles2025[[#This Row],[Fecha]],"DDDD")</f>
        <v>viernes</v>
      </c>
      <c r="E52" s="192" t="s">
        <v>1794</v>
      </c>
      <c r="F52" s="193">
        <v>1</v>
      </c>
      <c r="G52" s="194">
        <v>12</v>
      </c>
      <c r="H52" s="272" t="str">
        <f>IF(G52=1,Leyenda!$C$3,IF(G52=2,Leyenda!$C$4,IF(G52=3,Leyenda!$C$5,IF(G52=4,Leyenda!$C$6,IF(G52=5,Leyenda!$C$7,IF(G52=6,Leyenda!$C$8,IF(G52=7,Leyenda!$C$9,IF(G52=8,Leyenda!$C$10," "))))))))&amp;IF(G52=9,Leyenda!$C$11,IF(G52=10,Leyenda!$C$12,IF(G52=11,Leyenda!$C$13,IF(G52=12,Leyenda!$C$14," "))))</f>
        <v xml:space="preserve"> GASTOS MENORES</v>
      </c>
      <c r="I52" s="277">
        <v>0</v>
      </c>
      <c r="K52" s="258">
        <f>IF($G52=0," ",$K$2)</f>
        <v>202501</v>
      </c>
      <c r="L52" s="191">
        <v>10</v>
      </c>
      <c r="M52" s="191"/>
      <c r="O52" s="273">
        <v>1085.01</v>
      </c>
      <c r="P52" s="274">
        <v>0</v>
      </c>
      <c r="Q52" s="198">
        <f t="shared" si="0"/>
        <v>1085.01</v>
      </c>
      <c r="R52" s="275">
        <v>0</v>
      </c>
      <c r="S52" s="275"/>
      <c r="T52" s="275"/>
      <c r="U52" s="275">
        <v>0</v>
      </c>
      <c r="V52" s="275"/>
      <c r="W52" s="275"/>
      <c r="X52" s="275"/>
      <c r="Y52" s="275"/>
      <c r="Z52" s="275"/>
      <c r="AA52" s="275">
        <v>0</v>
      </c>
      <c r="AB52" s="275">
        <v>0</v>
      </c>
      <c r="AC52" s="275">
        <v>0</v>
      </c>
      <c r="AD52" s="275">
        <f>SUM(Detalles2025[[#This Row],[Monto Facturado]:[Monto Propina Legal]])</f>
        <v>1085.01</v>
      </c>
      <c r="AE52" s="275" t="s">
        <v>1714</v>
      </c>
      <c r="AF52" s="200" t="str">
        <f>IFERROR(VLOOKUP(E52,Tabla3[],2,0),"No Registrado")</f>
        <v>No Registrado</v>
      </c>
      <c r="AG52" s="200" t="s">
        <v>1785</v>
      </c>
      <c r="AH52" s="199" t="s">
        <v>1727</v>
      </c>
    </row>
    <row r="53" spans="1:35" ht="16.5" x14ac:dyDescent="0.3">
      <c r="A53" s="166">
        <v>45667</v>
      </c>
      <c r="B53" s="166" t="str">
        <f>TEXT(Detalles2025[[#This Row],[Fecha]],"AAAA")</f>
        <v>2025</v>
      </c>
      <c r="C53" s="166" t="str">
        <f>TEXT(Detalles2025[[#This Row],[Fecha]],"MMMM")</f>
        <v>enero</v>
      </c>
      <c r="D53" s="166" t="str">
        <f>TEXT(Detalles2025[[#This Row],[Fecha]],"DDDD")</f>
        <v>viernes</v>
      </c>
      <c r="E53" s="192" t="s">
        <v>1795</v>
      </c>
      <c r="F53" s="193">
        <v>1</v>
      </c>
      <c r="G53" s="194">
        <v>12</v>
      </c>
      <c r="H53" s="272" t="str">
        <f>IF(G53=1,Leyenda!$C$3,IF(G53=2,Leyenda!$C$4,IF(G53=3,Leyenda!$C$5,IF(G53=4,Leyenda!$C$6,IF(G53=5,Leyenda!$C$7,IF(G53=6,Leyenda!$C$8,IF(G53=7,Leyenda!$C$9,IF(G53=8,Leyenda!$C$10," "))))))))&amp;IF(G53=9,Leyenda!$C$11,IF(G53=10,Leyenda!$C$12,IF(G53=11,Leyenda!$C$13,IF(G53=12,Leyenda!$C$14," "))))</f>
        <v xml:space="preserve"> GASTOS MENORES</v>
      </c>
      <c r="I53" s="277">
        <v>0</v>
      </c>
      <c r="K53" s="258">
        <f>IF($G53=0," ",$K$2)</f>
        <v>202501</v>
      </c>
      <c r="L53" s="191">
        <v>19</v>
      </c>
      <c r="M53" s="191"/>
      <c r="O53" s="273">
        <v>3720</v>
      </c>
      <c r="P53" s="274">
        <v>0</v>
      </c>
      <c r="Q53" s="198">
        <f t="shared" si="0"/>
        <v>3720</v>
      </c>
      <c r="R53" s="275">
        <v>0</v>
      </c>
      <c r="S53" s="275"/>
      <c r="T53" s="275"/>
      <c r="U53" s="275">
        <v>0</v>
      </c>
      <c r="V53" s="275"/>
      <c r="W53" s="275"/>
      <c r="X53" s="275"/>
      <c r="Y53" s="275"/>
      <c r="Z53" s="275"/>
      <c r="AA53" s="275">
        <v>0</v>
      </c>
      <c r="AB53" s="275">
        <v>0</v>
      </c>
      <c r="AC53" s="275">
        <v>0</v>
      </c>
      <c r="AD53" s="275">
        <f>SUM(Detalles2025[[#This Row],[Monto Facturado]:[Monto Propina Legal]])</f>
        <v>3720</v>
      </c>
      <c r="AE53" s="275" t="s">
        <v>1714</v>
      </c>
      <c r="AF53" s="200" t="str">
        <f>IFERROR(VLOOKUP(E53,Tabla3[],2,0),"No Registrado")</f>
        <v>No Registrado</v>
      </c>
      <c r="AG53" s="200" t="s">
        <v>1796</v>
      </c>
      <c r="AH53" s="199" t="s">
        <v>1170</v>
      </c>
    </row>
    <row r="54" spans="1:35" ht="16.5" x14ac:dyDescent="0.3">
      <c r="A54" s="166">
        <f t="shared" ref="A54:A63" si="5">DATE(LEFT(K54,4),RIGHT(K54,2),L54)</f>
        <v>45692</v>
      </c>
      <c r="B54" s="166" t="str">
        <f>TEXT(Detalles2025[[#This Row],[Fecha]],"AAAA")</f>
        <v>2025</v>
      </c>
      <c r="C54" s="166" t="str">
        <f>TEXT(Detalles2025[[#This Row],[Fecha]],"MMMM")</f>
        <v>febrero</v>
      </c>
      <c r="D54" s="166" t="str">
        <f>TEXT(Detalles2025[[#This Row],[Fecha]],"DDDD")</f>
        <v>martes</v>
      </c>
      <c r="E54" s="192" t="s">
        <v>577</v>
      </c>
      <c r="F54" s="193">
        <v>1</v>
      </c>
      <c r="G54" s="194">
        <v>2</v>
      </c>
      <c r="H54" s="272" t="str">
        <f>IF(G54=1,Leyenda!$C$3,IF(G54=2,Leyenda!$C$4,IF(G54=3,Leyenda!$C$5,IF(G54=4,Leyenda!$C$6,IF(G54=5,Leyenda!$C$7,IF(G54=6,Leyenda!$C$8,IF(G54=7,Leyenda!$C$9,IF(G54=8,Leyenda!$C$10," "))))))))&amp;IF(G54=9,Leyenda!$C$11,IF(G54=10,Leyenda!$C$12,IF(G54=11,Leyenda!$C$13,IF(G54=12,Leyenda!$C$14," "))))</f>
        <v xml:space="preserve">GASTOS POR TRABAJOS, SUMINISTROS Y SERVICIOS </v>
      </c>
      <c r="I54" s="281" t="s">
        <v>1797</v>
      </c>
      <c r="K54" s="258">
        <v>202502</v>
      </c>
      <c r="L54" s="191">
        <v>4</v>
      </c>
      <c r="M54" s="191"/>
      <c r="O54" s="273">
        <v>0</v>
      </c>
      <c r="P54" s="274">
        <v>1458</v>
      </c>
      <c r="Q54" s="198">
        <f t="shared" si="0"/>
        <v>1458</v>
      </c>
      <c r="R54" s="275">
        <v>0</v>
      </c>
      <c r="S54" s="275"/>
      <c r="T54" s="275"/>
      <c r="U54" s="275">
        <v>0</v>
      </c>
      <c r="V54" s="275"/>
      <c r="W54" s="275"/>
      <c r="X54" s="275"/>
      <c r="Y54" s="275"/>
      <c r="Z54" s="275"/>
      <c r="AA54" s="275">
        <v>0</v>
      </c>
      <c r="AB54" s="275">
        <v>0</v>
      </c>
      <c r="AC54" s="275">
        <v>0</v>
      </c>
      <c r="AD54" s="275">
        <f>SUM(Detalles2025[[#This Row],[Monto Facturado]:[Monto Propina Legal]])</f>
        <v>1458</v>
      </c>
      <c r="AE54" s="275" t="s">
        <v>1714</v>
      </c>
      <c r="AF54" s="200" t="str">
        <f>IFERROR(VLOOKUP(E54,Tabla3[],2,0),"No Registrado")</f>
        <v>Isla Dominicana de Petroleo, Corp.</v>
      </c>
      <c r="AG54" s="200" t="s">
        <v>1798</v>
      </c>
      <c r="AH54" s="199" t="s">
        <v>1720</v>
      </c>
    </row>
    <row r="55" spans="1:35" ht="16.5" x14ac:dyDescent="0.3">
      <c r="A55" s="166">
        <f t="shared" si="5"/>
        <v>45693</v>
      </c>
      <c r="B55" s="166" t="str">
        <f>TEXT(Detalles2025[[#This Row],[Fecha]],"AAAA")</f>
        <v>2025</v>
      </c>
      <c r="C55" s="166" t="str">
        <f>TEXT(Detalles2025[[#This Row],[Fecha]],"MMMM")</f>
        <v>febrero</v>
      </c>
      <c r="D55" s="166" t="str">
        <f>TEXT(Detalles2025[[#This Row],[Fecha]],"DDDD")</f>
        <v>miércoles</v>
      </c>
      <c r="E55" s="192" t="s">
        <v>909</v>
      </c>
      <c r="F55" s="193">
        <v>1</v>
      </c>
      <c r="G55" s="194">
        <v>4</v>
      </c>
      <c r="H55" s="272" t="str">
        <f>IF(G55=1,Leyenda!$C$3,IF(G55=2,Leyenda!$C$4,IF(G55=3,Leyenda!$C$5,IF(G55=4,Leyenda!$C$6,IF(G55=5,Leyenda!$C$7,IF(G55=6,Leyenda!$C$8,IF(G55=7,Leyenda!$C$9,IF(G55=8,Leyenda!$C$10," "))))))))&amp;IF(G55=9,Leyenda!$C$11,IF(G55=10,Leyenda!$C$12,IF(G55=11,Leyenda!$C$13,IF(G55=12,Leyenda!$C$14," "))))</f>
        <v xml:space="preserve">GASTOS DE ACTIVOS FIJO </v>
      </c>
      <c r="I55" s="281" t="s">
        <v>1799</v>
      </c>
      <c r="K55" s="258">
        <f t="shared" ref="K55:K92" si="6">IF($G55=0," ",$K$54)</f>
        <v>202502</v>
      </c>
      <c r="L55" s="191">
        <v>5</v>
      </c>
      <c r="M55" s="191"/>
      <c r="O55" s="273">
        <v>0</v>
      </c>
      <c r="P55" s="274">
        <v>3429</v>
      </c>
      <c r="Q55" s="198">
        <f t="shared" si="0"/>
        <v>3429</v>
      </c>
      <c r="R55" s="275">
        <v>0</v>
      </c>
      <c r="S55" s="275"/>
      <c r="T55" s="275"/>
      <c r="U55" s="275">
        <v>0</v>
      </c>
      <c r="V55" s="275"/>
      <c r="W55" s="275"/>
      <c r="X55" s="275"/>
      <c r="Y55" s="275"/>
      <c r="Z55" s="275"/>
      <c r="AA55" s="275">
        <v>0</v>
      </c>
      <c r="AB55" s="275">
        <v>0</v>
      </c>
      <c r="AC55" s="275">
        <v>0</v>
      </c>
      <c r="AD55" s="275">
        <f>SUM(Detalles2025[[#This Row],[Monto Facturado]:[Monto Propina Legal]])</f>
        <v>3429</v>
      </c>
      <c r="AE55" s="275" t="s">
        <v>1714</v>
      </c>
      <c r="AF55" s="200" t="str">
        <f>IFERROR(VLOOKUP(E55,Tabla3[],2,0),"No Registrado")</f>
        <v>Strata, S.R.L.</v>
      </c>
      <c r="AG55" s="200" t="s">
        <v>1715</v>
      </c>
      <c r="AH55" s="199" t="s">
        <v>1716</v>
      </c>
    </row>
    <row r="56" spans="1:35" ht="16.5" x14ac:dyDescent="0.3">
      <c r="A56" s="166">
        <f t="shared" si="5"/>
        <v>45714</v>
      </c>
      <c r="B56" s="166" t="str">
        <f>TEXT(Detalles2025[[#This Row],[Fecha]],"AAAA")</f>
        <v>2025</v>
      </c>
      <c r="C56" s="166" t="str">
        <f>TEXT(Detalles2025[[#This Row],[Fecha]],"MMMM")</f>
        <v>febrero</v>
      </c>
      <c r="D56" s="166" t="str">
        <f>TEXT(Detalles2025[[#This Row],[Fecha]],"DDDD")</f>
        <v>miércoles</v>
      </c>
      <c r="E56" s="192" t="s">
        <v>1724</v>
      </c>
      <c r="F56" s="193">
        <v>1</v>
      </c>
      <c r="G56" s="194">
        <v>12</v>
      </c>
      <c r="H56" s="269" t="str">
        <f>IF(G56=1,Leyenda!$C$3,IF(G56=2,Leyenda!$C$4,IF(G56=3,Leyenda!$C$5,IF(G56=4,Leyenda!$C$6,IF(G56=5,Leyenda!$C$7,IF(G56=6,Leyenda!$C$8,IF(G56=7,Leyenda!$C$9,IF(G56=8,Leyenda!$C$10," "))))))))&amp;IF(G56=9,Leyenda!$C$11,IF(G56=10,Leyenda!$C$12,IF(G56=11,Leyenda!$C$13,IF(G56=12,Leyenda!$C$14," "))))</f>
        <v xml:space="preserve"> GASTOS MENORES</v>
      </c>
      <c r="I56" s="196">
        <v>0</v>
      </c>
      <c r="K56" s="258">
        <f t="shared" si="6"/>
        <v>202502</v>
      </c>
      <c r="L56" s="191">
        <v>26</v>
      </c>
      <c r="M56" s="191"/>
      <c r="O56" s="197">
        <v>0</v>
      </c>
      <c r="P56" s="197">
        <v>6000</v>
      </c>
      <c r="Q56" s="198">
        <f t="shared" ref="Q56:Q60" si="7">SUM(O56:P56)</f>
        <v>6000</v>
      </c>
      <c r="R56" s="199">
        <v>0</v>
      </c>
      <c r="S56" s="199">
        <v>0</v>
      </c>
      <c r="T56" s="199">
        <v>0</v>
      </c>
      <c r="U56" s="199">
        <v>0</v>
      </c>
      <c r="V56" s="199">
        <v>0</v>
      </c>
      <c r="W56" s="199">
        <v>0</v>
      </c>
      <c r="X56" s="199">
        <v>0</v>
      </c>
      <c r="Y56" s="199">
        <v>0</v>
      </c>
      <c r="Z56" s="199">
        <v>0</v>
      </c>
      <c r="AA56" s="199">
        <v>0</v>
      </c>
      <c r="AB56" s="199">
        <v>0</v>
      </c>
      <c r="AC56" s="199">
        <v>0</v>
      </c>
      <c r="AD56" s="199">
        <f>SUM(Detalles2025[[#This Row],[Monto Facturado]:[Monto Propina Legal]])</f>
        <v>6000</v>
      </c>
      <c r="AE56" s="199" t="s">
        <v>1725</v>
      </c>
      <c r="AF56" s="200" t="str">
        <f>IFERROR(VLOOKUP(E56,Tabla3[],2,0),"No Registrado")</f>
        <v>No Registrado</v>
      </c>
      <c r="AG56" s="200" t="s">
        <v>1726</v>
      </c>
      <c r="AH56" s="199" t="s">
        <v>1727</v>
      </c>
    </row>
    <row r="57" spans="1:35" ht="16.5" x14ac:dyDescent="0.3">
      <c r="A57" s="166">
        <f t="shared" si="5"/>
        <v>45714</v>
      </c>
      <c r="B57" s="166" t="str">
        <f>TEXT(Detalles2025[[#This Row],[Fecha]],"AAAA")</f>
        <v>2025</v>
      </c>
      <c r="C57" s="166" t="str">
        <f>TEXT(Detalles2025[[#This Row],[Fecha]],"MMMM")</f>
        <v>febrero</v>
      </c>
      <c r="D57" s="166" t="str">
        <f>TEXT(Detalles2025[[#This Row],[Fecha]],"DDDD")</f>
        <v>miércoles</v>
      </c>
      <c r="E57" s="192" t="s">
        <v>1728</v>
      </c>
      <c r="F57" s="193">
        <v>1</v>
      </c>
      <c r="G57" s="194">
        <v>12</v>
      </c>
      <c r="H57" s="269" t="str">
        <f>IF(G57=1,Leyenda!$C$3,IF(G57=2,Leyenda!$C$4,IF(G57=3,Leyenda!$C$5,IF(G57=4,Leyenda!$C$6,IF(G57=5,Leyenda!$C$7,IF(G57=6,Leyenda!$C$8,IF(G57=7,Leyenda!$C$9,IF(G57=8,Leyenda!$C$10," "))))))))&amp;IF(G57=9,Leyenda!$C$11,IF(G57=10,Leyenda!$C$12,IF(G57=11,Leyenda!$C$13,IF(G57=12,Leyenda!$C$14," "))))</f>
        <v xml:space="preserve"> GASTOS MENORES</v>
      </c>
      <c r="I57" s="196">
        <v>0</v>
      </c>
      <c r="K57" s="258">
        <f t="shared" si="6"/>
        <v>202502</v>
      </c>
      <c r="L57" s="191">
        <v>26</v>
      </c>
      <c r="M57" s="191"/>
      <c r="O57" s="197">
        <v>0</v>
      </c>
      <c r="P57" s="197">
        <v>3000</v>
      </c>
      <c r="Q57" s="198">
        <f t="shared" si="7"/>
        <v>3000</v>
      </c>
      <c r="R57" s="199">
        <v>0</v>
      </c>
      <c r="S57" s="199">
        <v>0</v>
      </c>
      <c r="T57" s="199">
        <v>0</v>
      </c>
      <c r="U57" s="199">
        <v>0</v>
      </c>
      <c r="V57" s="199">
        <v>0</v>
      </c>
      <c r="W57" s="199">
        <v>0</v>
      </c>
      <c r="X57" s="199">
        <v>0</v>
      </c>
      <c r="Y57" s="199">
        <v>0</v>
      </c>
      <c r="Z57" s="199">
        <v>0</v>
      </c>
      <c r="AA57" s="199">
        <v>0</v>
      </c>
      <c r="AB57" s="199">
        <v>0</v>
      </c>
      <c r="AC57" s="199">
        <v>0</v>
      </c>
      <c r="AD57" s="199">
        <f>SUM(Detalles2025[[#This Row],[Monto Facturado]:[Monto Propina Legal]])</f>
        <v>3000</v>
      </c>
      <c r="AE57" s="199" t="s">
        <v>1725</v>
      </c>
      <c r="AF57" s="200" t="str">
        <f>IFERROR(VLOOKUP(E57,Tabla3[],2,0),"No Registrado")</f>
        <v>No Registrado</v>
      </c>
      <c r="AG57" s="200" t="s">
        <v>1726</v>
      </c>
      <c r="AH57" s="199" t="s">
        <v>1161</v>
      </c>
    </row>
    <row r="58" spans="1:35" ht="16.5" x14ac:dyDescent="0.3">
      <c r="A58" s="166">
        <f t="shared" si="5"/>
        <v>45714</v>
      </c>
      <c r="B58" s="166" t="str">
        <f>TEXT(Detalles2025[[#This Row],[Fecha]],"AAAA")</f>
        <v>2025</v>
      </c>
      <c r="C58" s="166" t="str">
        <f>TEXT(Detalles2025[[#This Row],[Fecha]],"MMMM")</f>
        <v>febrero</v>
      </c>
      <c r="D58" s="166" t="str">
        <f>TEXT(Detalles2025[[#This Row],[Fecha]],"DDDD")</f>
        <v>miércoles</v>
      </c>
      <c r="E58" s="192" t="s">
        <v>1729</v>
      </c>
      <c r="F58" s="193">
        <v>1</v>
      </c>
      <c r="G58" s="194">
        <v>12</v>
      </c>
      <c r="H58" s="269" t="str">
        <f>IF(G58=1,Leyenda!$C$3,IF(G58=2,Leyenda!$C$4,IF(G58=3,Leyenda!$C$5,IF(G58=4,Leyenda!$C$6,IF(G58=5,Leyenda!$C$7,IF(G58=6,Leyenda!$C$8,IF(G58=7,Leyenda!$C$9,IF(G58=8,Leyenda!$C$10," "))))))))&amp;IF(G58=9,Leyenda!$C$11,IF(G58=10,Leyenda!$C$12,IF(G58=11,Leyenda!$C$13,IF(G58=12,Leyenda!$C$14," "))))</f>
        <v xml:space="preserve"> GASTOS MENORES</v>
      </c>
      <c r="I58" s="196">
        <v>0</v>
      </c>
      <c r="K58" s="258">
        <f t="shared" si="6"/>
        <v>202502</v>
      </c>
      <c r="L58" s="191">
        <v>26</v>
      </c>
      <c r="M58" s="191"/>
      <c r="O58" s="197">
        <v>0</v>
      </c>
      <c r="P58" s="197">
        <v>1500</v>
      </c>
      <c r="Q58" s="198">
        <f t="shared" si="7"/>
        <v>1500</v>
      </c>
      <c r="R58" s="199">
        <v>0</v>
      </c>
      <c r="S58" s="199">
        <v>0</v>
      </c>
      <c r="T58" s="199">
        <v>0</v>
      </c>
      <c r="U58" s="199">
        <v>0</v>
      </c>
      <c r="V58" s="199">
        <v>0</v>
      </c>
      <c r="W58" s="199">
        <v>0</v>
      </c>
      <c r="X58" s="199">
        <v>0</v>
      </c>
      <c r="Y58" s="199">
        <v>0</v>
      </c>
      <c r="Z58" s="199">
        <v>0</v>
      </c>
      <c r="AA58" s="199">
        <v>0</v>
      </c>
      <c r="AB58" s="199">
        <v>0</v>
      </c>
      <c r="AC58" s="199">
        <v>0</v>
      </c>
      <c r="AD58" s="199">
        <f>SUM(Detalles2025[[#This Row],[Monto Facturado]:[Monto Propina Legal]])</f>
        <v>1500</v>
      </c>
      <c r="AE58" s="199" t="s">
        <v>1730</v>
      </c>
      <c r="AF58" s="200" t="str">
        <f>IFERROR(VLOOKUP(E58,Tabla3[],2,0),"No Registrado")</f>
        <v>No Registrado</v>
      </c>
      <c r="AG58" s="200" t="s">
        <v>1726</v>
      </c>
      <c r="AH58" s="199" t="s">
        <v>1168</v>
      </c>
    </row>
    <row r="59" spans="1:35" ht="16.5" x14ac:dyDescent="0.3">
      <c r="A59" s="166">
        <f t="shared" si="5"/>
        <v>45714</v>
      </c>
      <c r="B59" s="166" t="str">
        <f>TEXT(Detalles2025[[#This Row],[Fecha]],"AAAA")</f>
        <v>2025</v>
      </c>
      <c r="C59" s="166" t="str">
        <f>TEXT(Detalles2025[[#This Row],[Fecha]],"MMMM")</f>
        <v>febrero</v>
      </c>
      <c r="D59" s="166" t="str">
        <f>TEXT(Detalles2025[[#This Row],[Fecha]],"DDDD")</f>
        <v>miércoles</v>
      </c>
      <c r="E59" s="192" t="s">
        <v>1731</v>
      </c>
      <c r="F59" s="193">
        <v>1</v>
      </c>
      <c r="G59" s="194">
        <v>12</v>
      </c>
      <c r="H59" s="269" t="str">
        <f>IF(G59=1,Leyenda!$C$3,IF(G59=2,Leyenda!$C$4,IF(G59=3,Leyenda!$C$5,IF(G59=4,Leyenda!$C$6,IF(G59=5,Leyenda!$C$7,IF(G59=6,Leyenda!$C$8,IF(G59=7,Leyenda!$C$9,IF(G59=8,Leyenda!$C$10," "))))))))&amp;IF(G59=9,Leyenda!$C$11,IF(G59=10,Leyenda!$C$12,IF(G59=11,Leyenda!$C$13,IF(G59=12,Leyenda!$C$14," "))))</f>
        <v xml:space="preserve"> GASTOS MENORES</v>
      </c>
      <c r="I59" s="196">
        <v>0</v>
      </c>
      <c r="K59" s="258">
        <f t="shared" si="6"/>
        <v>202502</v>
      </c>
      <c r="L59" s="191">
        <v>26</v>
      </c>
      <c r="M59" s="191"/>
      <c r="O59" s="197">
        <v>0</v>
      </c>
      <c r="P59" s="197">
        <v>500</v>
      </c>
      <c r="Q59" s="198">
        <f t="shared" si="7"/>
        <v>500</v>
      </c>
      <c r="R59" s="199">
        <v>0</v>
      </c>
      <c r="S59" s="199">
        <v>0</v>
      </c>
      <c r="T59" s="199">
        <v>0</v>
      </c>
      <c r="U59" s="199">
        <v>0</v>
      </c>
      <c r="V59" s="199">
        <v>0</v>
      </c>
      <c r="W59" s="199">
        <v>0</v>
      </c>
      <c r="X59" s="199">
        <v>0</v>
      </c>
      <c r="Y59" s="199">
        <v>0</v>
      </c>
      <c r="Z59" s="199">
        <v>0</v>
      </c>
      <c r="AA59" s="199">
        <v>0</v>
      </c>
      <c r="AB59" s="199">
        <v>0</v>
      </c>
      <c r="AC59" s="199">
        <v>0</v>
      </c>
      <c r="AD59" s="199">
        <f>SUM(Detalles2025[[#This Row],[Monto Facturado]:[Monto Propina Legal]])</f>
        <v>500</v>
      </c>
      <c r="AE59" s="199" t="s">
        <v>1730</v>
      </c>
      <c r="AF59" s="200" t="str">
        <f>IFERROR(VLOOKUP(E59,Tabla3[],2,0),"No Registrado")</f>
        <v>No Registrado</v>
      </c>
      <c r="AG59" s="200" t="s">
        <v>1726</v>
      </c>
      <c r="AH59" s="199" t="s">
        <v>1732</v>
      </c>
    </row>
    <row r="60" spans="1:35" ht="16.5" x14ac:dyDescent="0.3">
      <c r="A60" s="166">
        <f t="shared" si="5"/>
        <v>45714</v>
      </c>
      <c r="B60" s="166" t="str">
        <f>TEXT(Detalles2025[[#This Row],[Fecha]],"AAAA")</f>
        <v>2025</v>
      </c>
      <c r="C60" s="166" t="str">
        <f>TEXT(Detalles2025[[#This Row],[Fecha]],"MMMM")</f>
        <v>febrero</v>
      </c>
      <c r="D60" s="166" t="str">
        <f>TEXT(Detalles2025[[#This Row],[Fecha]],"DDDD")</f>
        <v>miércoles</v>
      </c>
      <c r="E60" s="192" t="s">
        <v>1733</v>
      </c>
      <c r="F60" s="193">
        <v>1</v>
      </c>
      <c r="G60" s="194">
        <v>12</v>
      </c>
      <c r="H60" s="269" t="str">
        <f>IF(G60=1,Leyenda!$C$3,IF(G60=2,Leyenda!$C$4,IF(G60=3,Leyenda!$C$5,IF(G60=4,Leyenda!$C$6,IF(G60=5,Leyenda!$C$7,IF(G60=6,Leyenda!$C$8,IF(G60=7,Leyenda!$C$9,IF(G60=8,Leyenda!$C$10," "))))))))&amp;IF(G60=9,Leyenda!$C$11,IF(G60=10,Leyenda!$C$12,IF(G60=11,Leyenda!$C$13,IF(G60=12,Leyenda!$C$14," "))))</f>
        <v xml:space="preserve"> GASTOS MENORES</v>
      </c>
      <c r="I60" s="196">
        <v>0</v>
      </c>
      <c r="K60" s="258">
        <f t="shared" si="6"/>
        <v>202502</v>
      </c>
      <c r="L60" s="191">
        <v>26</v>
      </c>
      <c r="M60" s="191"/>
      <c r="O60" s="197">
        <v>0</v>
      </c>
      <c r="P60" s="197">
        <v>500</v>
      </c>
      <c r="Q60" s="198">
        <f t="shared" si="7"/>
        <v>500</v>
      </c>
      <c r="R60" s="199">
        <v>0</v>
      </c>
      <c r="S60" s="199">
        <v>0</v>
      </c>
      <c r="T60" s="199">
        <v>0</v>
      </c>
      <c r="U60" s="199">
        <v>0</v>
      </c>
      <c r="V60" s="199">
        <v>0</v>
      </c>
      <c r="W60" s="199">
        <v>0</v>
      </c>
      <c r="X60" s="199">
        <v>0</v>
      </c>
      <c r="Y60" s="199">
        <v>0</v>
      </c>
      <c r="Z60" s="199">
        <v>0</v>
      </c>
      <c r="AA60" s="199">
        <v>0</v>
      </c>
      <c r="AB60" s="199">
        <v>0</v>
      </c>
      <c r="AC60" s="199">
        <v>0</v>
      </c>
      <c r="AD60" s="199">
        <f>SUM(Detalles2025[[#This Row],[Monto Facturado]:[Monto Propina Legal]])</f>
        <v>500</v>
      </c>
      <c r="AE60" s="199" t="s">
        <v>1730</v>
      </c>
      <c r="AF60" s="200" t="str">
        <f>IFERROR(VLOOKUP(E60,Tabla3[],2,0),"No Registrado")</f>
        <v>No Registrado</v>
      </c>
      <c r="AG60" s="200" t="s">
        <v>1726</v>
      </c>
      <c r="AH60" s="199" t="s">
        <v>1165</v>
      </c>
    </row>
    <row r="61" spans="1:35" ht="16.5" x14ac:dyDescent="0.3">
      <c r="A61" s="166">
        <f t="shared" si="5"/>
        <v>45700</v>
      </c>
      <c r="B61" s="166" t="str">
        <f>TEXT(Detalles2025[[#This Row],[Fecha]],"AAAA")</f>
        <v>2025</v>
      </c>
      <c r="C61" s="166" t="str">
        <f>TEXT(Detalles2025[[#This Row],[Fecha]],"MMMM")</f>
        <v>febrero</v>
      </c>
      <c r="D61" s="166" t="str">
        <f>TEXT(Detalles2025[[#This Row],[Fecha]],"DDDD")</f>
        <v>miércoles</v>
      </c>
      <c r="E61" s="192" t="s">
        <v>909</v>
      </c>
      <c r="F61" s="193">
        <v>1</v>
      </c>
      <c r="G61" s="194">
        <v>4</v>
      </c>
      <c r="H61" s="278" t="str">
        <f>IF(G61=1,Leyenda!$C$3,IF(G61=2,Leyenda!$C$4,IF(G61=3,Leyenda!$C$5,IF(G61=4,Leyenda!$C$6,IF(G61=5,Leyenda!$C$7,IF(G61=6,Leyenda!$C$8,IF(G61=7,Leyenda!$C$9,IF(G61=8,Leyenda!$C$10," "))))))))&amp;IF(G61=9,Leyenda!$C$11,IF(G61=10,Leyenda!$C$12,IF(G61=11,Leyenda!$C$13,IF(G61=12,Leyenda!$C$14," "))))</f>
        <v xml:space="preserve">GASTOS DE ACTIVOS FIJO </v>
      </c>
      <c r="I61" s="281" t="s">
        <v>1180</v>
      </c>
      <c r="K61" s="258">
        <f t="shared" si="6"/>
        <v>202502</v>
      </c>
      <c r="L61" s="191">
        <v>12</v>
      </c>
      <c r="M61" s="191"/>
      <c r="O61" s="273">
        <v>0</v>
      </c>
      <c r="P61" s="274">
        <v>4722</v>
      </c>
      <c r="Q61" s="198">
        <f t="shared" si="0"/>
        <v>4722</v>
      </c>
      <c r="R61" s="275">
        <v>0</v>
      </c>
      <c r="S61" s="275"/>
      <c r="T61" s="275"/>
      <c r="U61" s="275">
        <v>0</v>
      </c>
      <c r="V61" s="275"/>
      <c r="W61" s="275"/>
      <c r="X61" s="275"/>
      <c r="Y61" s="275"/>
      <c r="Z61" s="275"/>
      <c r="AA61" s="275">
        <v>0</v>
      </c>
      <c r="AB61" s="275">
        <v>0</v>
      </c>
      <c r="AC61" s="275">
        <v>0</v>
      </c>
      <c r="AD61" s="275">
        <f>SUM(Detalles2025[[#This Row],[Monto Facturado]:[Monto Propina Legal]])</f>
        <v>4722</v>
      </c>
      <c r="AE61" s="275" t="s">
        <v>1714</v>
      </c>
      <c r="AF61" s="200" t="str">
        <f>IFERROR(VLOOKUP(E61,Tabla3[],2,0),"No Registrado")</f>
        <v>Strata, S.R.L.</v>
      </c>
      <c r="AG61" s="200" t="s">
        <v>1173</v>
      </c>
      <c r="AH61" s="199" t="s">
        <v>1717</v>
      </c>
    </row>
    <row r="62" spans="1:35" ht="16.5" x14ac:dyDescent="0.3">
      <c r="A62" s="166">
        <f t="shared" si="5"/>
        <v>45707</v>
      </c>
      <c r="B62" s="166" t="str">
        <f>TEXT(Detalles2025[[#This Row],[Fecha]],"AAAA")</f>
        <v>2025</v>
      </c>
      <c r="C62" s="166" t="str">
        <f>TEXT(Detalles2025[[#This Row],[Fecha]],"MMMM")</f>
        <v>febrero</v>
      </c>
      <c r="D62" s="166" t="str">
        <f>TEXT(Detalles2025[[#This Row],[Fecha]],"DDDD")</f>
        <v>miércoles</v>
      </c>
      <c r="E62" s="192" t="s">
        <v>909</v>
      </c>
      <c r="F62" s="193">
        <v>1</v>
      </c>
      <c r="G62" s="194">
        <v>4</v>
      </c>
      <c r="H62" s="278" t="str">
        <f>IF(G62=1,Leyenda!$C$3,IF(G62=2,Leyenda!$C$4,IF(G62=3,Leyenda!$C$5,IF(G62=4,Leyenda!$C$6,IF(G62=5,Leyenda!$C$7,IF(G62=6,Leyenda!$C$8,IF(G62=7,Leyenda!$C$9,IF(G62=8,Leyenda!$C$10," "))))))))&amp;IF(G62=9,Leyenda!$C$11,IF(G62=10,Leyenda!$C$12,IF(G62=11,Leyenda!$C$13,IF(G62=12,Leyenda!$C$14," "))))</f>
        <v xml:space="preserve">GASTOS DE ACTIVOS FIJO </v>
      </c>
      <c r="I62" s="281" t="s">
        <v>1800</v>
      </c>
      <c r="K62" s="258">
        <f t="shared" si="6"/>
        <v>202502</v>
      </c>
      <c r="L62" s="191">
        <v>19</v>
      </c>
      <c r="M62" s="191"/>
      <c r="O62" s="273">
        <v>0</v>
      </c>
      <c r="P62" s="274">
        <v>3400</v>
      </c>
      <c r="Q62" s="198">
        <f t="shared" si="0"/>
        <v>3400</v>
      </c>
      <c r="R62" s="275">
        <v>0</v>
      </c>
      <c r="S62" s="275"/>
      <c r="T62" s="275"/>
      <c r="U62" s="275">
        <v>0</v>
      </c>
      <c r="V62" s="275"/>
      <c r="W62" s="275"/>
      <c r="X62" s="275"/>
      <c r="Y62" s="275"/>
      <c r="Z62" s="275"/>
      <c r="AA62" s="275">
        <v>0</v>
      </c>
      <c r="AB62" s="275">
        <v>0</v>
      </c>
      <c r="AC62" s="275">
        <v>0</v>
      </c>
      <c r="AD62" s="275">
        <f>SUM(Detalles2025[[#This Row],[Monto Facturado]:[Monto Propina Legal]])</f>
        <v>3400</v>
      </c>
      <c r="AE62" s="275" t="s">
        <v>1714</v>
      </c>
      <c r="AF62" s="200" t="str">
        <f>IFERROR(VLOOKUP(E62,Tabla3[],2,0),"No Registrado")</f>
        <v>Strata, S.R.L.</v>
      </c>
      <c r="AG62" s="200" t="s">
        <v>1715</v>
      </c>
      <c r="AH62" s="199" t="s">
        <v>1716</v>
      </c>
    </row>
    <row r="63" spans="1:35" ht="16.5" x14ac:dyDescent="0.3">
      <c r="A63" s="166">
        <f t="shared" si="5"/>
        <v>45701</v>
      </c>
      <c r="B63" s="166" t="str">
        <f>TEXT(Detalles2025[[#This Row],[Fecha]],"AAAA")</f>
        <v>2025</v>
      </c>
      <c r="C63" s="166" t="str">
        <f>TEXT(Detalles2025[[#This Row],[Fecha]],"MMMM")</f>
        <v>febrero</v>
      </c>
      <c r="D63" s="166" t="str">
        <f>TEXT(Detalles2025[[#This Row],[Fecha]],"DDDD")</f>
        <v>jueves</v>
      </c>
      <c r="E63" s="192" t="s">
        <v>1110</v>
      </c>
      <c r="F63" s="193">
        <v>1</v>
      </c>
      <c r="G63" s="194">
        <v>2</v>
      </c>
      <c r="H63" s="278" t="str">
        <f>IF(G63=1,Leyenda!$C$3,IF(G63=2,Leyenda!$C$4,IF(G63=3,Leyenda!$C$5,IF(G63=4,Leyenda!$C$6,IF(G63=5,Leyenda!$C$7,IF(G63=6,Leyenda!$C$8,IF(G63=7,Leyenda!$C$9,IF(G63=8,Leyenda!$C$10," "))))))))&amp;IF(G63=9,Leyenda!$C$11,IF(G63=10,Leyenda!$C$12,IF(G63=11,Leyenda!$C$13,IF(G63=12,Leyenda!$C$14," "))))</f>
        <v xml:space="preserve">GASTOS POR TRABAJOS, SUMINISTROS Y SERVICIOS </v>
      </c>
      <c r="I63" s="281" t="s">
        <v>1169</v>
      </c>
      <c r="K63" s="258">
        <f t="shared" si="6"/>
        <v>202502</v>
      </c>
      <c r="L63" s="191">
        <v>13</v>
      </c>
      <c r="M63" s="191"/>
      <c r="O63" s="273">
        <v>0</v>
      </c>
      <c r="P63" s="274">
        <v>500</v>
      </c>
      <c r="Q63" s="198">
        <f t="shared" si="0"/>
        <v>500</v>
      </c>
      <c r="R63" s="275">
        <v>90</v>
      </c>
      <c r="S63" s="275"/>
      <c r="T63" s="275"/>
      <c r="U63" s="275">
        <v>0</v>
      </c>
      <c r="V63" s="275"/>
      <c r="W63" s="275"/>
      <c r="X63" s="275"/>
      <c r="Y63" s="275"/>
      <c r="Z63" s="275"/>
      <c r="AA63" s="275">
        <v>0</v>
      </c>
      <c r="AB63" s="275">
        <v>0</v>
      </c>
      <c r="AC63" s="275">
        <v>50</v>
      </c>
      <c r="AD63" s="275">
        <f>SUM(Detalles2025[[#This Row],[Monto Facturado]:[Monto Propina Legal]])</f>
        <v>640</v>
      </c>
      <c r="AE63" s="275" t="s">
        <v>1714</v>
      </c>
      <c r="AF63" s="200" t="str">
        <f>IFERROR(VLOOKUP(E63,Tabla3[],2,0),"No Registrado")</f>
        <v>NOCCIOLA FOOD HALL SRL</v>
      </c>
      <c r="AG63" s="200" t="s">
        <v>1171</v>
      </c>
      <c r="AH63" s="199" t="s">
        <v>1170</v>
      </c>
    </row>
    <row r="64" spans="1:35" ht="16.5" x14ac:dyDescent="0.3">
      <c r="A64" s="166">
        <f t="shared" ref="A64:A91" si="8">DATE(LEFT(K64,4),RIGHT(K64,2),L64)</f>
        <v>45693</v>
      </c>
      <c r="B64" s="166" t="str">
        <f>TEXT(Detalles2025[[#This Row],[Fecha]],"AAAA")</f>
        <v>2025</v>
      </c>
      <c r="C64" s="166" t="str">
        <f>TEXT(Detalles2025[[#This Row],[Fecha]],"MMMM")</f>
        <v>febrero</v>
      </c>
      <c r="D64" s="166" t="str">
        <f>TEXT(Detalles2025[[#This Row],[Fecha]],"DDDD")</f>
        <v>miércoles</v>
      </c>
      <c r="E64" s="192" t="s">
        <v>1124</v>
      </c>
      <c r="F64" s="193">
        <v>1</v>
      </c>
      <c r="G64" s="194">
        <v>2</v>
      </c>
      <c r="H64" s="278" t="str">
        <f>IF(G64=1,Leyenda!$C$3,IF(G64=2,Leyenda!$C$4,IF(G64=3,Leyenda!$C$5,IF(G64=4,Leyenda!$C$6,IF(G64=5,Leyenda!$C$7,IF(G64=6,Leyenda!$C$8,IF(G64=7,Leyenda!$C$9,IF(G64=8,Leyenda!$C$10," "))))))))&amp;IF(G64=9,Leyenda!$C$11,IF(G64=10,Leyenda!$C$12,IF(G64=11,Leyenda!$C$13,IF(G64=12,Leyenda!$C$14," "))))</f>
        <v xml:space="preserve">GASTOS POR TRABAJOS, SUMINISTROS Y SERVICIOS </v>
      </c>
      <c r="I64" s="279" t="s">
        <v>1801</v>
      </c>
      <c r="K64" s="258">
        <f t="shared" si="6"/>
        <v>202502</v>
      </c>
      <c r="L64" s="191">
        <v>5</v>
      </c>
      <c r="M64" s="191"/>
      <c r="O64" s="280">
        <v>0</v>
      </c>
      <c r="P64" s="76">
        <v>593.22</v>
      </c>
      <c r="Q64" s="198">
        <f t="shared" si="0"/>
        <v>593.22</v>
      </c>
      <c r="R64" s="199">
        <v>106.78</v>
      </c>
      <c r="S64" s="199"/>
      <c r="T64" s="199"/>
      <c r="U64" s="199">
        <v>0</v>
      </c>
      <c r="V64" s="199"/>
      <c r="W64" s="199"/>
      <c r="X64" s="199"/>
      <c r="Y64" s="199"/>
      <c r="Z64" s="199"/>
      <c r="AA64" s="199">
        <v>0</v>
      </c>
      <c r="AB64" s="199">
        <v>0</v>
      </c>
      <c r="AC64" s="199">
        <v>0</v>
      </c>
      <c r="AD64" s="199">
        <f>SUM(Detalles2025[[#This Row],[Monto Facturado]:[Monto Propina Legal]])</f>
        <v>700</v>
      </c>
      <c r="AE64" s="283" t="s">
        <v>1714</v>
      </c>
      <c r="AF64" s="200" t="str">
        <f>IFERROR(VLOOKUP(E64,Tabla3[],2,0),"No Registrado")</f>
        <v>Little Ceasars Pizza Alma Rosa</v>
      </c>
      <c r="AG64" s="200" t="s">
        <v>1722</v>
      </c>
      <c r="AH64" s="199" t="s">
        <v>1723</v>
      </c>
    </row>
    <row r="65" spans="1:34" ht="16.5" x14ac:dyDescent="0.3">
      <c r="A65" s="166">
        <f t="shared" si="8"/>
        <v>45704</v>
      </c>
      <c r="B65" s="166" t="str">
        <f>TEXT(Detalles2025[[#This Row],[Fecha]],"AAAA")</f>
        <v>2025</v>
      </c>
      <c r="C65" s="166" t="str">
        <f>TEXT(Detalles2025[[#This Row],[Fecha]],"MMMM")</f>
        <v>febrero</v>
      </c>
      <c r="D65" s="166" t="str">
        <f>TEXT(Detalles2025[[#This Row],[Fecha]],"DDDD")</f>
        <v>domingo</v>
      </c>
      <c r="E65" s="192" t="s">
        <v>1134</v>
      </c>
      <c r="F65" s="193">
        <v>1</v>
      </c>
      <c r="G65" s="194">
        <v>2</v>
      </c>
      <c r="H65" s="278" t="str">
        <f>IF(G65=1,Leyenda!$C$3,IF(G65=2,Leyenda!$C$4,IF(G65=3,Leyenda!$C$5,IF(G65=4,Leyenda!$C$6,IF(G65=5,Leyenda!$C$7,IF(G65=6,Leyenda!$C$8,IF(G65=7,Leyenda!$C$9,IF(G65=8,Leyenda!$C$10," "))))))))&amp;IF(G65=9,Leyenda!$C$11,IF(G65=10,Leyenda!$C$12,IF(G65=11,Leyenda!$C$13,IF(G65=12,Leyenda!$C$14," "))))</f>
        <v xml:space="preserve">GASTOS POR TRABAJOS, SUMINISTROS Y SERVICIOS </v>
      </c>
      <c r="I65" s="279" t="s">
        <v>1802</v>
      </c>
      <c r="K65" s="258">
        <f t="shared" si="6"/>
        <v>202502</v>
      </c>
      <c r="L65" s="191">
        <v>16</v>
      </c>
      <c r="M65" s="191"/>
      <c r="O65" s="280">
        <v>0</v>
      </c>
      <c r="P65" s="76">
        <v>1750</v>
      </c>
      <c r="Q65" s="198">
        <f t="shared" si="0"/>
        <v>1750</v>
      </c>
      <c r="R65" s="199">
        <v>315</v>
      </c>
      <c r="S65" s="199"/>
      <c r="T65" s="199"/>
      <c r="U65" s="199">
        <v>0</v>
      </c>
      <c r="V65" s="199"/>
      <c r="W65" s="199"/>
      <c r="X65" s="199"/>
      <c r="Y65" s="199"/>
      <c r="Z65" s="199"/>
      <c r="AA65" s="199">
        <v>0</v>
      </c>
      <c r="AB65" s="199">
        <v>0</v>
      </c>
      <c r="AC65" s="199">
        <v>0</v>
      </c>
      <c r="AD65" s="199">
        <f>SUM(Detalles2025[[#This Row],[Monto Facturado]:[Monto Propina Legal]])</f>
        <v>2065</v>
      </c>
      <c r="AE65" s="283" t="s">
        <v>1714</v>
      </c>
      <c r="AF65" s="200" t="str">
        <f>IFERROR(VLOOKUP(E65,Tabla3[],2,0),"No Registrado")</f>
        <v>EL CORRIDO TAQUERIA RESTAURANT</v>
      </c>
      <c r="AG65" s="200" t="s">
        <v>1722</v>
      </c>
      <c r="AH65" s="199" t="s">
        <v>1723</v>
      </c>
    </row>
    <row r="66" spans="1:34" ht="16.5" x14ac:dyDescent="0.3">
      <c r="A66" s="166">
        <f t="shared" si="8"/>
        <v>45696</v>
      </c>
      <c r="B66" s="166" t="str">
        <f>TEXT(Detalles2025[[#This Row],[Fecha]],"AAAA")</f>
        <v>2025</v>
      </c>
      <c r="C66" s="166" t="str">
        <f>TEXT(Detalles2025[[#This Row],[Fecha]],"MMMM")</f>
        <v>febrero</v>
      </c>
      <c r="D66" s="166" t="str">
        <f>TEXT(Detalles2025[[#This Row],[Fecha]],"DDDD")</f>
        <v>sábado</v>
      </c>
      <c r="E66" s="192" t="s">
        <v>533</v>
      </c>
      <c r="F66" s="193">
        <v>1</v>
      </c>
      <c r="G66" s="194">
        <v>2</v>
      </c>
      <c r="H66" s="278" t="str">
        <f>IF(G66=1,Leyenda!$C$3,IF(G66=2,Leyenda!$C$4,IF(G66=3,Leyenda!$C$5,IF(G66=4,Leyenda!$C$6,IF(G66=5,Leyenda!$C$7,IF(G66=6,Leyenda!$C$8,IF(G66=7,Leyenda!$C$9,IF(G66=8,Leyenda!$C$10," "))))))))&amp;IF(G66=9,Leyenda!$C$11,IF(G66=10,Leyenda!$C$12,IF(G66=11,Leyenda!$C$13,IF(G66=12,Leyenda!$C$14," "))))</f>
        <v xml:space="preserve">GASTOS POR TRABAJOS, SUMINISTROS Y SERVICIOS </v>
      </c>
      <c r="I66" s="279" t="s">
        <v>1803</v>
      </c>
      <c r="K66" s="258">
        <f t="shared" si="6"/>
        <v>202502</v>
      </c>
      <c r="L66" s="191">
        <v>8</v>
      </c>
      <c r="M66" s="191"/>
      <c r="O66" s="280">
        <v>0</v>
      </c>
      <c r="P66" s="76">
        <v>1600</v>
      </c>
      <c r="Q66" s="198">
        <f t="shared" si="0"/>
        <v>1600</v>
      </c>
      <c r="R66" s="199">
        <v>0</v>
      </c>
      <c r="S66" s="199"/>
      <c r="T66" s="199"/>
      <c r="U66" s="199">
        <v>0</v>
      </c>
      <c r="V66" s="199"/>
      <c r="W66" s="199"/>
      <c r="X66" s="199"/>
      <c r="Y66" s="199"/>
      <c r="Z66" s="199"/>
      <c r="AA66" s="199">
        <v>0</v>
      </c>
      <c r="AB66" s="199">
        <v>0</v>
      </c>
      <c r="AC66" s="199">
        <v>0</v>
      </c>
      <c r="AD66" s="199">
        <f>SUM(Detalles2025[[#This Row],[Monto Facturado]:[Monto Propina Legal]])</f>
        <v>1600</v>
      </c>
      <c r="AE66" s="283" t="s">
        <v>1714</v>
      </c>
      <c r="AF66" s="200" t="str">
        <f>IFERROR(VLOOKUP(E66,Tabla3[],2,0),"No Registrado")</f>
        <v>Farmacía Medicar GBC, A. H.</v>
      </c>
      <c r="AG66" s="200" t="s">
        <v>1744</v>
      </c>
      <c r="AH66" s="199" t="s">
        <v>1744</v>
      </c>
    </row>
    <row r="67" spans="1:34" ht="16.5" x14ac:dyDescent="0.3">
      <c r="A67" s="166">
        <f t="shared" si="8"/>
        <v>45692</v>
      </c>
      <c r="B67" s="166" t="str">
        <f>TEXT(Detalles2025[[#This Row],[Fecha]],"AAAA")</f>
        <v>2025</v>
      </c>
      <c r="C67" s="166" t="str">
        <f>TEXT(Detalles2025[[#This Row],[Fecha]],"MMMM")</f>
        <v>febrero</v>
      </c>
      <c r="D67" s="166" t="str">
        <f>TEXT(Detalles2025[[#This Row],[Fecha]],"DDDD")</f>
        <v>martes</v>
      </c>
      <c r="E67" s="192" t="s">
        <v>1130</v>
      </c>
      <c r="F67" s="193">
        <v>1</v>
      </c>
      <c r="G67" s="194">
        <v>2</v>
      </c>
      <c r="H67" s="278" t="str">
        <f>IF(G67=1,Leyenda!$C$3,IF(G67=2,Leyenda!$C$4,IF(G67=3,Leyenda!$C$5,IF(G67=4,Leyenda!$C$6,IF(G67=5,Leyenda!$C$7,IF(G67=6,Leyenda!$C$8,IF(G67=7,Leyenda!$C$9,IF(G67=8,Leyenda!$C$10," "))))))))&amp;IF(G67=9,Leyenda!$C$11,IF(G67=10,Leyenda!$C$12,IF(G67=11,Leyenda!$C$13,IF(G67=12,Leyenda!$C$14," "))))</f>
        <v xml:space="preserve">GASTOS POR TRABAJOS, SUMINISTROS Y SERVICIOS </v>
      </c>
      <c r="I67" s="279" t="s">
        <v>1804</v>
      </c>
      <c r="K67" s="258">
        <f t="shared" si="6"/>
        <v>202502</v>
      </c>
      <c r="L67" s="191">
        <v>4</v>
      </c>
      <c r="M67" s="191"/>
      <c r="O67" s="280">
        <v>0</v>
      </c>
      <c r="P67" s="76">
        <v>373</v>
      </c>
      <c r="Q67" s="198">
        <f t="shared" si="0"/>
        <v>373</v>
      </c>
      <c r="R67" s="199">
        <v>0</v>
      </c>
      <c r="S67" s="199"/>
      <c r="T67" s="199"/>
      <c r="U67" s="199">
        <v>0</v>
      </c>
      <c r="V67" s="199"/>
      <c r="W67" s="199"/>
      <c r="X67" s="199"/>
      <c r="Y67" s="199"/>
      <c r="Z67" s="199"/>
      <c r="AA67" s="199">
        <v>0</v>
      </c>
      <c r="AB67" s="199">
        <v>0</v>
      </c>
      <c r="AC67" s="199">
        <v>0</v>
      </c>
      <c r="AD67" s="199">
        <f>SUM(Detalles2025[[#This Row],[Monto Facturado]:[Monto Propina Legal]])</f>
        <v>373</v>
      </c>
      <c r="AE67" s="199" t="s">
        <v>1714</v>
      </c>
      <c r="AF67" s="200" t="str">
        <f>IFERROR(VLOOKUP(E67,Tabla3[],2,0),"No Registrado")</f>
        <v>Farmacia VIP Mendo SRL</v>
      </c>
      <c r="AG67" s="200" t="s">
        <v>1743</v>
      </c>
      <c r="AH67" s="199" t="s">
        <v>1744</v>
      </c>
    </row>
    <row r="68" spans="1:34" ht="16.5" x14ac:dyDescent="0.3">
      <c r="A68" s="166">
        <f>DATE(LEFT(K68,4),RIGHT(K68,2),L68)</f>
        <v>45704</v>
      </c>
      <c r="B68" s="166" t="str">
        <f>TEXT(Detalles2025[[#This Row],[Fecha]],"AAAA")</f>
        <v>2025</v>
      </c>
      <c r="C68" s="166" t="str">
        <f>TEXT(Detalles2025[[#This Row],[Fecha]],"MMMM")</f>
        <v>febrero</v>
      </c>
      <c r="D68" s="166" t="str">
        <f>TEXT(Detalles2025[[#This Row],[Fecha]],"DDDD")</f>
        <v>domingo</v>
      </c>
      <c r="E68" s="192" t="s">
        <v>492</v>
      </c>
      <c r="F68" s="193">
        <v>1</v>
      </c>
      <c r="G68" s="194">
        <v>7</v>
      </c>
      <c r="H68" s="269" t="str">
        <f>IF(G68=1,Leyenda!$C$3,IF(G68=2,Leyenda!$C$4,IF(G68=3,Leyenda!$C$5,IF(G68=4,Leyenda!$C$6,IF(G68=5,Leyenda!$C$7,IF(G68=6,Leyenda!$C$8,IF(G68=7,Leyenda!$C$9,IF(G68=8,Leyenda!$C$10," "))))))))&amp;IF(G68=9,Leyenda!$C$11,IF(G68=10,Leyenda!$C$12,IF(G68=11,Leyenda!$C$13,IF(G68=12,Leyenda!$C$14," "))))</f>
        <v xml:space="preserve">GASTOS FINANCIEROS </v>
      </c>
      <c r="I68" s="196" t="s">
        <v>1697</v>
      </c>
      <c r="K68" s="258">
        <f t="shared" si="6"/>
        <v>202502</v>
      </c>
      <c r="L68" s="191">
        <v>16</v>
      </c>
      <c r="M68" s="191"/>
      <c r="O68" s="280">
        <v>0</v>
      </c>
      <c r="P68" s="76">
        <v>48000</v>
      </c>
      <c r="Q68" s="198">
        <f t="shared" ref="Q68:Q69" si="9">SUM(O68:P68)</f>
        <v>48000</v>
      </c>
      <c r="R68" s="199">
        <v>0</v>
      </c>
      <c r="S68" s="199"/>
      <c r="T68" s="199"/>
      <c r="U68" s="199">
        <v>0</v>
      </c>
      <c r="V68" s="199"/>
      <c r="W68" s="199"/>
      <c r="X68" s="199"/>
      <c r="Y68" s="199"/>
      <c r="Z68" s="199"/>
      <c r="AA68" s="199">
        <v>0</v>
      </c>
      <c r="AB68" s="199">
        <v>0</v>
      </c>
      <c r="AC68" s="199">
        <v>0</v>
      </c>
      <c r="AD68" s="199">
        <f>SUM(Detalles2025[[#This Row],[Monto Facturado]:[Monto Propina Legal]])</f>
        <v>48000</v>
      </c>
      <c r="AE68" s="199" t="s">
        <v>1725</v>
      </c>
      <c r="AF68" s="200" t="str">
        <f>IFERROR(VLOOKUP(E68,Tabla3[],2,0),"No Registrado")</f>
        <v>Banco Dominicano del Progreso, S. A.//Banco Multiple</v>
      </c>
      <c r="AG68" s="200" t="s">
        <v>1734</v>
      </c>
      <c r="AH68" s="199" t="s">
        <v>1735</v>
      </c>
    </row>
    <row r="69" spans="1:34" ht="16.5" x14ac:dyDescent="0.3">
      <c r="A69" s="166">
        <f>DATE(LEFT(K69,4),RIGHT(K69,2),L69)</f>
        <v>45689</v>
      </c>
      <c r="B69" s="166" t="str">
        <f>TEXT(Detalles2025[[#This Row],[Fecha]],"AAAA")</f>
        <v>2025</v>
      </c>
      <c r="C69" s="166" t="str">
        <f>TEXT(Detalles2025[[#This Row],[Fecha]],"MMMM")</f>
        <v>febrero</v>
      </c>
      <c r="D69" s="166" t="str">
        <f>TEXT(Detalles2025[[#This Row],[Fecha]],"DDDD")</f>
        <v>sábado</v>
      </c>
      <c r="E69" s="192" t="s">
        <v>1738</v>
      </c>
      <c r="F69" s="193">
        <v>1</v>
      </c>
      <c r="G69" s="194">
        <v>7</v>
      </c>
      <c r="H69" s="269" t="str">
        <f>IF(G69=1,Leyenda!$C$3,IF(G69=2,Leyenda!$C$4,IF(G69=3,Leyenda!$C$5,IF(G69=4,Leyenda!$C$6,IF(G69=5,Leyenda!$C$7,IF(G69=6,Leyenda!$C$8,IF(G69=7,Leyenda!$C$9,IF(G69=8,Leyenda!$C$10," "))))))))&amp;IF(G69=9,Leyenda!$C$11,IF(G69=10,Leyenda!$C$12,IF(G69=11,Leyenda!$C$13,IF(G69=12,Leyenda!$C$14," "))))</f>
        <v xml:space="preserve">GASTOS FINANCIEROS </v>
      </c>
      <c r="I69" s="196"/>
      <c r="K69" s="258">
        <f t="shared" si="6"/>
        <v>202502</v>
      </c>
      <c r="L69" s="191">
        <v>1</v>
      </c>
      <c r="M69" s="191"/>
      <c r="O69" s="280">
        <v>0</v>
      </c>
      <c r="P69" s="76">
        <v>25404.27</v>
      </c>
      <c r="Q69" s="198">
        <f t="shared" si="9"/>
        <v>25404.27</v>
      </c>
      <c r="R69" s="199">
        <v>0</v>
      </c>
      <c r="S69" s="199"/>
      <c r="T69" s="199"/>
      <c r="U69" s="199">
        <v>0</v>
      </c>
      <c r="V69" s="199"/>
      <c r="W69" s="199"/>
      <c r="X69" s="199"/>
      <c r="Y69" s="199"/>
      <c r="Z69" s="199"/>
      <c r="AA69" s="199">
        <v>0</v>
      </c>
      <c r="AB69" s="199">
        <v>0</v>
      </c>
      <c r="AC69" s="199">
        <v>0</v>
      </c>
      <c r="AD69" s="199">
        <f>SUM(Detalles2025[[#This Row],[Monto Facturado]:[Monto Propina Legal]])</f>
        <v>25404.27</v>
      </c>
      <c r="AE69" s="199" t="s">
        <v>1725</v>
      </c>
      <c r="AF69" s="200" t="str">
        <f>IFERROR(VLOOKUP(E69,Tabla3[],2,0),"No Registrado")</f>
        <v>No Registrado</v>
      </c>
      <c r="AG69" s="200" t="s">
        <v>1739</v>
      </c>
      <c r="AH69" s="199" t="s">
        <v>1735</v>
      </c>
    </row>
    <row r="70" spans="1:34" ht="16.5" x14ac:dyDescent="0.3">
      <c r="A70" s="166">
        <f t="shared" si="8"/>
        <v>45696</v>
      </c>
      <c r="B70" s="166" t="str">
        <f>TEXT(Detalles2025[[#This Row],[Fecha]],"AAAA")</f>
        <v>2025</v>
      </c>
      <c r="C70" s="166" t="str">
        <f>TEXT(Detalles2025[[#This Row],[Fecha]],"MMMM")</f>
        <v>febrero</v>
      </c>
      <c r="D70" s="166" t="str">
        <f>TEXT(Detalles2025[[#This Row],[Fecha]],"DDDD")</f>
        <v>sábado</v>
      </c>
      <c r="E70" s="192" t="s">
        <v>647</v>
      </c>
      <c r="F70" s="193">
        <v>1</v>
      </c>
      <c r="G70" s="194">
        <v>2</v>
      </c>
      <c r="H70" s="278" t="str">
        <f>IF(G70=1,Leyenda!$C$3,IF(G70=2,Leyenda!$C$4,IF(G70=3,Leyenda!$C$5,IF(G70=4,Leyenda!$C$6,IF(G70=5,Leyenda!$C$7,IF(G70=6,Leyenda!$C$8,IF(G70=7,Leyenda!$C$9,IF(G70=8,Leyenda!$C$10," "))))))))&amp;IF(G70=9,Leyenda!$C$11,IF(G70=10,Leyenda!$C$12,IF(G70=11,Leyenda!$C$13,IF(G70=12,Leyenda!$C$14," "))))</f>
        <v xml:space="preserve">GASTOS POR TRABAJOS, SUMINISTROS Y SERVICIOS </v>
      </c>
      <c r="I70" s="282" t="s">
        <v>1805</v>
      </c>
      <c r="J70" s="260"/>
      <c r="K70" s="258">
        <f t="shared" si="6"/>
        <v>202502</v>
      </c>
      <c r="L70" s="258">
        <v>8</v>
      </c>
      <c r="M70" s="258"/>
      <c r="N70" s="258"/>
      <c r="O70" s="280">
        <v>0</v>
      </c>
      <c r="P70" s="76">
        <v>1367.19</v>
      </c>
      <c r="Q70" s="198">
        <f t="shared" si="0"/>
        <v>1367.19</v>
      </c>
      <c r="R70" s="199">
        <v>246.09</v>
      </c>
      <c r="S70" s="199"/>
      <c r="T70" s="199"/>
      <c r="U70" s="199">
        <v>0</v>
      </c>
      <c r="V70" s="199"/>
      <c r="W70" s="199"/>
      <c r="X70" s="199"/>
      <c r="Y70" s="199"/>
      <c r="Z70" s="199"/>
      <c r="AA70" s="199">
        <v>0</v>
      </c>
      <c r="AB70" s="199">
        <v>0</v>
      </c>
      <c r="AC70" s="199">
        <v>136.72</v>
      </c>
      <c r="AD70" s="199">
        <f>SUM(Detalles2025[[#This Row],[Monto Facturado]:[Monto Propina Legal]])</f>
        <v>1750</v>
      </c>
      <c r="AE70" s="199" t="s">
        <v>1714</v>
      </c>
      <c r="AF70" s="200" t="str">
        <f>IFERROR(VLOOKUP(E70,Tabla3[],2,0),"No Registrado")</f>
        <v>Kentucky Foods Group Limited//KFC</v>
      </c>
      <c r="AG70" s="200" t="s">
        <v>1722</v>
      </c>
      <c r="AH70" s="199" t="s">
        <v>1723</v>
      </c>
    </row>
    <row r="71" spans="1:34" ht="16.5" x14ac:dyDescent="0.3">
      <c r="A71" s="166">
        <f t="shared" si="8"/>
        <v>45706</v>
      </c>
      <c r="B71" s="166" t="str">
        <f>TEXT(Detalles2025[[#This Row],[Fecha]],"AAAA")</f>
        <v>2025</v>
      </c>
      <c r="C71" s="166" t="str">
        <f>TEXT(Detalles2025[[#This Row],[Fecha]],"MMMM")</f>
        <v>febrero</v>
      </c>
      <c r="D71" s="166" t="str">
        <f>TEXT(Detalles2025[[#This Row],[Fecha]],"DDDD")</f>
        <v>martes</v>
      </c>
      <c r="E71" s="192" t="s">
        <v>742</v>
      </c>
      <c r="F71" s="193">
        <v>1</v>
      </c>
      <c r="G71" s="194">
        <v>2</v>
      </c>
      <c r="H71" s="278" t="str">
        <f>IF(G71=1,Leyenda!$C$3,IF(G71=2,Leyenda!$C$4,IF(G71=3,Leyenda!$C$5,IF(G71=4,Leyenda!$C$6,IF(G71=5,Leyenda!$C$7,IF(G71=6,Leyenda!$C$8,IF(G71=7,Leyenda!$C$9,IF(G71=8,Leyenda!$C$10," "))))))))&amp;IF(G71=9,Leyenda!$C$11,IF(G71=10,Leyenda!$C$12,IF(G71=11,Leyenda!$C$13,IF(G71=12,Leyenda!$C$14," "))))</f>
        <v xml:space="preserve">GASTOS POR TRABAJOS, SUMINISTROS Y SERVICIOS </v>
      </c>
      <c r="I71" s="196" t="s">
        <v>1806</v>
      </c>
      <c r="K71" s="258">
        <f t="shared" si="6"/>
        <v>202502</v>
      </c>
      <c r="L71" s="191">
        <v>18</v>
      </c>
      <c r="M71" s="191"/>
      <c r="O71" s="280">
        <v>0</v>
      </c>
      <c r="P71" s="76">
        <v>923.72</v>
      </c>
      <c r="Q71" s="198">
        <f t="shared" si="0"/>
        <v>923.72</v>
      </c>
      <c r="R71" s="199">
        <v>166.27</v>
      </c>
      <c r="S71" s="199"/>
      <c r="T71" s="199"/>
      <c r="U71" s="199">
        <v>0</v>
      </c>
      <c r="V71" s="199"/>
      <c r="W71" s="199"/>
      <c r="X71" s="199"/>
      <c r="Y71" s="199"/>
      <c r="Z71" s="199"/>
      <c r="AA71" s="199">
        <v>0</v>
      </c>
      <c r="AB71" s="199">
        <v>0</v>
      </c>
      <c r="AC71" s="199">
        <v>0</v>
      </c>
      <c r="AD71" s="199">
        <f>SUM(Detalles2025[[#This Row],[Monto Facturado]:[Monto Propina Legal]])</f>
        <v>1089.99</v>
      </c>
      <c r="AE71" s="199" t="s">
        <v>1714</v>
      </c>
      <c r="AF71" s="200" t="str">
        <f>IFERROR(VLOOKUP(E71,Tabla3[],2,0),"No Registrado")</f>
        <v>Narex, S.A.//Pizza Hut</v>
      </c>
      <c r="AG71" s="200" t="s">
        <v>1722</v>
      </c>
      <c r="AH71" s="199" t="s">
        <v>1723</v>
      </c>
    </row>
    <row r="72" spans="1:34" ht="16.5" x14ac:dyDescent="0.3">
      <c r="A72" s="166">
        <f t="shared" si="8"/>
        <v>45705</v>
      </c>
      <c r="B72" s="166" t="str">
        <f>TEXT(Detalles2025[[#This Row],[Fecha]],"AAAA")</f>
        <v>2025</v>
      </c>
      <c r="C72" s="166" t="str">
        <f>TEXT(Detalles2025[[#This Row],[Fecha]],"MMMM")</f>
        <v>febrero</v>
      </c>
      <c r="D72" s="166" t="str">
        <f>TEXT(Detalles2025[[#This Row],[Fecha]],"DDDD")</f>
        <v>lunes</v>
      </c>
      <c r="E72" s="192" t="s">
        <v>511</v>
      </c>
      <c r="F72" s="193">
        <v>1</v>
      </c>
      <c r="G72" s="194">
        <v>2</v>
      </c>
      <c r="H72" s="278" t="str">
        <f>IF(G72=1,Leyenda!$C$3,IF(G72=2,Leyenda!$C$4,IF(G72=3,Leyenda!$C$5,IF(G72=4,Leyenda!$C$6,IF(G72=5,Leyenda!$C$7,IF(G72=6,Leyenda!$C$8,IF(G72=7,Leyenda!$C$9,IF(G72=8,Leyenda!$C$10," "))))))))&amp;IF(G72=9,Leyenda!$C$11,IF(G72=10,Leyenda!$C$12,IF(G72=11,Leyenda!$C$13,IF(G72=12,Leyenda!$C$14," "))))</f>
        <v xml:space="preserve">GASTOS POR TRABAJOS, SUMINISTROS Y SERVICIOS </v>
      </c>
      <c r="I72" s="196" t="s">
        <v>1807</v>
      </c>
      <c r="K72" s="258">
        <f t="shared" si="6"/>
        <v>202502</v>
      </c>
      <c r="L72" s="191">
        <v>17</v>
      </c>
      <c r="M72" s="191"/>
      <c r="O72" s="280">
        <v>0</v>
      </c>
      <c r="P72" s="76">
        <f>1075-94.4</f>
        <v>980.6</v>
      </c>
      <c r="Q72" s="198">
        <f t="shared" si="0"/>
        <v>980.6</v>
      </c>
      <c r="R72" s="199">
        <v>94.4</v>
      </c>
      <c r="S72" s="199"/>
      <c r="T72" s="199"/>
      <c r="U72" s="199">
        <v>0</v>
      </c>
      <c r="V72" s="199"/>
      <c r="W72" s="199"/>
      <c r="X72" s="199"/>
      <c r="Y72" s="199"/>
      <c r="Z72" s="199"/>
      <c r="AA72" s="199">
        <v>0</v>
      </c>
      <c r="AB72" s="199">
        <v>0</v>
      </c>
      <c r="AC72" s="199">
        <v>0</v>
      </c>
      <c r="AD72" s="199">
        <f>SUM(Detalles2025[[#This Row],[Monto Facturado]:[Monto Propina Legal]])</f>
        <v>1075</v>
      </c>
      <c r="AE72" s="199" t="s">
        <v>1714</v>
      </c>
      <c r="AF72" s="200" t="str">
        <f>IFERROR(VLOOKUP(E72,Tabla3[],2,0),"No Registrado")</f>
        <v>Bravo, S.A.//Supermercados Bravo</v>
      </c>
      <c r="AG72" s="200" t="s">
        <v>1751</v>
      </c>
      <c r="AH72" s="199" t="s">
        <v>1178</v>
      </c>
    </row>
    <row r="73" spans="1:34" ht="16.5" x14ac:dyDescent="0.3">
      <c r="A73" s="166">
        <f t="shared" si="8"/>
        <v>45691</v>
      </c>
      <c r="B73" s="166" t="str">
        <f>TEXT(Detalles2025[[#This Row],[Fecha]],"AAAA")</f>
        <v>2025</v>
      </c>
      <c r="C73" s="166" t="str">
        <f>TEXT(Detalles2025[[#This Row],[Fecha]],"MMMM")</f>
        <v>febrero</v>
      </c>
      <c r="D73" s="166" t="str">
        <f>TEXT(Detalles2025[[#This Row],[Fecha]],"DDDD")</f>
        <v>lunes</v>
      </c>
      <c r="E73" s="192" t="s">
        <v>511</v>
      </c>
      <c r="F73" s="193">
        <v>1</v>
      </c>
      <c r="G73" s="194">
        <v>2</v>
      </c>
      <c r="H73" s="278" t="str">
        <f>IF(G73=1,Leyenda!$C$3,IF(G73=2,Leyenda!$C$4,IF(G73=3,Leyenda!$C$5,IF(G73=4,Leyenda!$C$6,IF(G73=5,Leyenda!$C$7,IF(G73=6,Leyenda!$C$8,IF(G73=7,Leyenda!$C$9,IF(G73=8,Leyenda!$C$10," "))))))))&amp;IF(G73=9,Leyenda!$C$11,IF(G73=10,Leyenda!$C$12,IF(G73=11,Leyenda!$C$13,IF(G73=12,Leyenda!$C$14," "))))</f>
        <v xml:space="preserve">GASTOS POR TRABAJOS, SUMINISTROS Y SERVICIOS </v>
      </c>
      <c r="I73" s="196" t="s">
        <v>1808</v>
      </c>
      <c r="K73" s="258">
        <f t="shared" si="6"/>
        <v>202502</v>
      </c>
      <c r="L73" s="191">
        <v>3</v>
      </c>
      <c r="M73" s="191"/>
      <c r="O73" s="280">
        <v>0</v>
      </c>
      <c r="P73" s="76">
        <f>13118-1142.62</f>
        <v>11975.380000000001</v>
      </c>
      <c r="Q73" s="198">
        <f t="shared" si="0"/>
        <v>11975.380000000001</v>
      </c>
      <c r="R73" s="199">
        <v>1142.6199999999999</v>
      </c>
      <c r="S73" s="199"/>
      <c r="T73" s="199"/>
      <c r="U73" s="199">
        <v>0</v>
      </c>
      <c r="V73" s="199"/>
      <c r="W73" s="199"/>
      <c r="X73" s="199"/>
      <c r="Y73" s="199"/>
      <c r="Z73" s="199"/>
      <c r="AA73" s="199">
        <v>0</v>
      </c>
      <c r="AB73" s="199">
        <v>0</v>
      </c>
      <c r="AC73" s="199">
        <v>0</v>
      </c>
      <c r="AD73" s="199">
        <f>SUM(Detalles2025[[#This Row],[Monto Facturado]:[Monto Propina Legal]])</f>
        <v>13118</v>
      </c>
      <c r="AE73" s="199" t="s">
        <v>1714</v>
      </c>
      <c r="AF73" s="200" t="str">
        <f>IFERROR(VLOOKUP(E73,Tabla3[],2,0),"No Registrado")</f>
        <v>Bravo, S.A.//Supermercados Bravo</v>
      </c>
      <c r="AG73" s="200" t="s">
        <v>1751</v>
      </c>
      <c r="AH73" s="199" t="s">
        <v>1720</v>
      </c>
    </row>
    <row r="74" spans="1:34" ht="16.5" x14ac:dyDescent="0.3">
      <c r="A74" s="166">
        <f>DATE(LEFT(K74,4),RIGHT(K74,2),L74)</f>
        <v>45712</v>
      </c>
      <c r="B74" s="166" t="str">
        <f>TEXT(Detalles2025[[#This Row],[Fecha]],"AAAA")</f>
        <v>2025</v>
      </c>
      <c r="C74" s="166" t="str">
        <f>TEXT(Detalles2025[[#This Row],[Fecha]],"MMMM")</f>
        <v>febrero</v>
      </c>
      <c r="D74" s="166" t="str">
        <f>TEXT(Detalles2025[[#This Row],[Fecha]],"DDDD")</f>
        <v>lunes</v>
      </c>
      <c r="E74" s="192" t="s">
        <v>1736</v>
      </c>
      <c r="F74" s="193">
        <v>1</v>
      </c>
      <c r="G74" s="194">
        <v>7</v>
      </c>
      <c r="H74" s="269" t="str">
        <f>IF(G74=1,Leyenda!$C$3,IF(G74=2,Leyenda!$C$4,IF(G74=3,Leyenda!$C$5,IF(G74=4,Leyenda!$C$6,IF(G74=5,Leyenda!$C$7,IF(G74=6,Leyenda!$C$8,IF(G74=7,Leyenda!$C$9,IF(G74=8,Leyenda!$C$10," "))))))))&amp;IF(G74=9,Leyenda!$C$11,IF(G74=10,Leyenda!$C$12,IF(G74=11,Leyenda!$C$13,IF(G74=12,Leyenda!$C$14," "))))</f>
        <v xml:space="preserve">GASTOS FINANCIEROS </v>
      </c>
      <c r="I74" s="196"/>
      <c r="K74" s="258">
        <f t="shared" si="6"/>
        <v>202502</v>
      </c>
      <c r="L74" s="191">
        <v>24</v>
      </c>
      <c r="M74" s="191"/>
      <c r="O74" s="280">
        <v>0</v>
      </c>
      <c r="P74" s="76">
        <v>23443.75</v>
      </c>
      <c r="Q74" s="198">
        <f t="shared" ref="Q74:Q75" si="10">SUM(O74:P74)</f>
        <v>23443.75</v>
      </c>
      <c r="R74" s="199">
        <v>0</v>
      </c>
      <c r="S74" s="199"/>
      <c r="T74" s="199"/>
      <c r="U74" s="199">
        <v>0</v>
      </c>
      <c r="V74" s="199"/>
      <c r="W74" s="199"/>
      <c r="X74" s="199"/>
      <c r="Y74" s="199"/>
      <c r="Z74" s="199"/>
      <c r="AA74" s="199">
        <v>0</v>
      </c>
      <c r="AB74" s="199">
        <v>0</v>
      </c>
      <c r="AC74" s="199">
        <v>0</v>
      </c>
      <c r="AD74" s="199">
        <f>SUM(Detalles2025[[#This Row],[Monto Facturado]:[Monto Propina Legal]])</f>
        <v>23443.75</v>
      </c>
      <c r="AE74" s="199" t="s">
        <v>1725</v>
      </c>
      <c r="AF74" s="200" t="str">
        <f>IFERROR(VLOOKUP(E74,Tabla3[],2,0),"No Registrado")</f>
        <v>No Registrado</v>
      </c>
      <c r="AG74" s="200" t="s">
        <v>1737</v>
      </c>
      <c r="AH74" s="199" t="s">
        <v>1735</v>
      </c>
    </row>
    <row r="75" spans="1:34" ht="16.5" x14ac:dyDescent="0.3">
      <c r="A75" s="166">
        <f>DATE(LEFT(K75,4),RIGHT(K75,2),L75)</f>
        <v>45692</v>
      </c>
      <c r="B75" s="166" t="str">
        <f>TEXT(Detalles2025[[#This Row],[Fecha]],"AAAA")</f>
        <v>2025</v>
      </c>
      <c r="C75" s="166" t="str">
        <f>TEXT(Detalles2025[[#This Row],[Fecha]],"MMMM")</f>
        <v>febrero</v>
      </c>
      <c r="D75" s="166" t="str">
        <f>TEXT(Detalles2025[[#This Row],[Fecha]],"DDDD")</f>
        <v>martes</v>
      </c>
      <c r="E75" s="192" t="s">
        <v>1740</v>
      </c>
      <c r="F75" s="193">
        <v>1</v>
      </c>
      <c r="G75" s="194">
        <v>7</v>
      </c>
      <c r="H75" s="269" t="str">
        <f>IF(G75=1,Leyenda!$C$3,IF(G75=2,Leyenda!$C$4,IF(G75=3,Leyenda!$C$5,IF(G75=4,Leyenda!$C$6,IF(G75=5,Leyenda!$C$7,IF(G75=6,Leyenda!$C$8,IF(G75=7,Leyenda!$C$9,IF(G75=8,Leyenda!$C$10," "))))))))&amp;IF(G75=9,Leyenda!$C$11,IF(G75=10,Leyenda!$C$12,IF(G75=11,Leyenda!$C$13,IF(G75=12,Leyenda!$C$14," "))))</f>
        <v xml:space="preserve">GASTOS FINANCIEROS </v>
      </c>
      <c r="I75" s="196"/>
      <c r="K75" s="258">
        <f t="shared" si="6"/>
        <v>202502</v>
      </c>
      <c r="L75" s="191">
        <v>4</v>
      </c>
      <c r="M75" s="191"/>
      <c r="O75" s="280">
        <v>0</v>
      </c>
      <c r="P75" s="76">
        <v>15208.33</v>
      </c>
      <c r="Q75" s="198">
        <f t="shared" si="10"/>
        <v>15208.33</v>
      </c>
      <c r="R75" s="199">
        <v>0</v>
      </c>
      <c r="S75" s="199"/>
      <c r="T75" s="199"/>
      <c r="U75" s="199">
        <v>0</v>
      </c>
      <c r="V75" s="199"/>
      <c r="W75" s="199"/>
      <c r="X75" s="199"/>
      <c r="Y75" s="199"/>
      <c r="Z75" s="199"/>
      <c r="AA75" s="199">
        <v>0</v>
      </c>
      <c r="AB75" s="199">
        <v>0</v>
      </c>
      <c r="AC75" s="199">
        <v>0</v>
      </c>
      <c r="AD75" s="199">
        <f>SUM(Detalles2025[[#This Row],[Monto Facturado]:[Monto Propina Legal]])</f>
        <v>15208.33</v>
      </c>
      <c r="AE75" s="199" t="s">
        <v>1725</v>
      </c>
      <c r="AF75" s="200" t="str">
        <f>IFERROR(VLOOKUP(E75,Tabla3[],2,0),"No Registrado")</f>
        <v>No Registrado</v>
      </c>
      <c r="AG75" s="200" t="s">
        <v>1737</v>
      </c>
      <c r="AH75" s="199" t="s">
        <v>1735</v>
      </c>
    </row>
    <row r="76" spans="1:34" ht="16.5" x14ac:dyDescent="0.3">
      <c r="A76" s="166">
        <f t="shared" si="8"/>
        <v>45695</v>
      </c>
      <c r="B76" s="166" t="str">
        <f>TEXT(Detalles2025[[#This Row],[Fecha]],"AAAA")</f>
        <v>2025</v>
      </c>
      <c r="C76" s="166" t="str">
        <f>TEXT(Detalles2025[[#This Row],[Fecha]],"MMMM")</f>
        <v>febrero</v>
      </c>
      <c r="D76" s="166" t="str">
        <f>TEXT(Detalles2025[[#This Row],[Fecha]],"DDDD")</f>
        <v>viernes</v>
      </c>
      <c r="E76" s="192" t="s">
        <v>504</v>
      </c>
      <c r="F76" s="193">
        <v>1</v>
      </c>
      <c r="G76" s="194">
        <v>2</v>
      </c>
      <c r="H76" s="278" t="str">
        <f>IF(G76=1,Leyenda!$C$3,IF(G76=2,Leyenda!$C$4,IF(G76=3,Leyenda!$C$5,IF(G76=4,Leyenda!$C$6,IF(G76=5,Leyenda!$C$7,IF(G76=6,Leyenda!$C$8,IF(G76=7,Leyenda!$C$9,IF(G76=8,Leyenda!$C$10," "))))))))&amp;IF(G76=9,Leyenda!$C$11,IF(G76=10,Leyenda!$C$12,IF(G76=11,Leyenda!$C$13,IF(G76=12,Leyenda!$C$14," "))))</f>
        <v xml:space="preserve">GASTOS POR TRABAJOS, SUMINISTROS Y SERVICIOS </v>
      </c>
      <c r="I76" s="196" t="s">
        <v>1809</v>
      </c>
      <c r="K76" s="258">
        <f t="shared" si="6"/>
        <v>202502</v>
      </c>
      <c r="L76" s="191">
        <v>7</v>
      </c>
      <c r="M76" s="191"/>
      <c r="O76" s="280">
        <v>0</v>
      </c>
      <c r="P76" s="76">
        <f>1421.31-65.71</f>
        <v>1355.6</v>
      </c>
      <c r="Q76" s="198">
        <f t="shared" si="0"/>
        <v>1355.6</v>
      </c>
      <c r="R76" s="199">
        <v>65.709999999999994</v>
      </c>
      <c r="S76" s="199"/>
      <c r="T76" s="199"/>
      <c r="U76" s="199">
        <v>0</v>
      </c>
      <c r="V76" s="199"/>
      <c r="W76" s="199"/>
      <c r="X76" s="199"/>
      <c r="Y76" s="199"/>
      <c r="Z76" s="199"/>
      <c r="AA76" s="199">
        <v>0</v>
      </c>
      <c r="AB76" s="199">
        <v>0</v>
      </c>
      <c r="AC76" s="199">
        <v>0</v>
      </c>
      <c r="AD76" s="199">
        <f>SUM(Detalles2025[[#This Row],[Monto Facturado]:[Monto Propina Legal]])</f>
        <v>1421.31</v>
      </c>
      <c r="AE76" s="199" t="s">
        <v>1714</v>
      </c>
      <c r="AF76" s="200" t="str">
        <f>IFERROR(VLOOKUP(E76,Tabla3[],2,0),"No Registrado")</f>
        <v>Centro Cuesta Nacional S.A.S.//Supermercados Nacional//Casa Cuesta//Ferretería Cuesta//JUMBO//Bebemundo</v>
      </c>
      <c r="AG76" s="200" t="s">
        <v>1751</v>
      </c>
      <c r="AH76" s="199" t="s">
        <v>1720</v>
      </c>
    </row>
    <row r="77" spans="1:34" ht="16.5" x14ac:dyDescent="0.3">
      <c r="A77" s="166">
        <f t="shared" si="8"/>
        <v>45699</v>
      </c>
      <c r="B77" s="166" t="str">
        <f>TEXT(Detalles2025[[#This Row],[Fecha]],"AAAA")</f>
        <v>2025</v>
      </c>
      <c r="C77" s="166" t="str">
        <f>TEXT(Detalles2025[[#This Row],[Fecha]],"MMMM")</f>
        <v>febrero</v>
      </c>
      <c r="D77" s="166" t="str">
        <f>TEXT(Detalles2025[[#This Row],[Fecha]],"DDDD")</f>
        <v>martes</v>
      </c>
      <c r="E77" s="192" t="s">
        <v>511</v>
      </c>
      <c r="F77" s="193">
        <v>1</v>
      </c>
      <c r="G77" s="194">
        <v>2</v>
      </c>
      <c r="H77" s="278" t="str">
        <f>IF(G77=1,Leyenda!$C$3,IF(G77=2,Leyenda!$C$4,IF(G77=3,Leyenda!$C$5,IF(G77=4,Leyenda!$C$6,IF(G77=5,Leyenda!$C$7,IF(G77=6,Leyenda!$C$8,IF(G77=7,Leyenda!$C$9,IF(G77=8,Leyenda!$C$10," "))))))))&amp;IF(G77=9,Leyenda!$C$11,IF(G77=10,Leyenda!$C$12,IF(G77=11,Leyenda!$C$13,IF(G77=12,Leyenda!$C$14," "))))</f>
        <v xml:space="preserve">GASTOS POR TRABAJOS, SUMINISTROS Y SERVICIOS </v>
      </c>
      <c r="I77" s="196" t="s">
        <v>1810</v>
      </c>
      <c r="K77" s="258">
        <f t="shared" si="6"/>
        <v>202502</v>
      </c>
      <c r="L77" s="191">
        <v>11</v>
      </c>
      <c r="M77" s="191"/>
      <c r="O77" s="280">
        <v>0</v>
      </c>
      <c r="P77" s="76">
        <f>2542-130.08</f>
        <v>2411.92</v>
      </c>
      <c r="Q77" s="198">
        <f t="shared" si="0"/>
        <v>2411.92</v>
      </c>
      <c r="R77" s="199">
        <v>130.08000000000001</v>
      </c>
      <c r="S77" s="199"/>
      <c r="T77" s="199"/>
      <c r="U77" s="199">
        <v>0</v>
      </c>
      <c r="V77" s="199"/>
      <c r="W77" s="199"/>
      <c r="X77" s="199"/>
      <c r="Y77" s="199"/>
      <c r="Z77" s="199"/>
      <c r="AA77" s="199">
        <v>0</v>
      </c>
      <c r="AB77" s="199">
        <v>0</v>
      </c>
      <c r="AC77" s="199">
        <v>0</v>
      </c>
      <c r="AD77" s="199">
        <f>SUM(Detalles2025[[#This Row],[Monto Facturado]:[Monto Propina Legal]])</f>
        <v>2542</v>
      </c>
      <c r="AE77" s="199" t="s">
        <v>1714</v>
      </c>
      <c r="AF77" s="200" t="str">
        <f>IFERROR(VLOOKUP(E77,Tabla3[],2,0),"No Registrado")</f>
        <v>Bravo, S.A.//Supermercados Bravo</v>
      </c>
      <c r="AG77" s="200" t="s">
        <v>1751</v>
      </c>
      <c r="AH77" s="199" t="s">
        <v>1720</v>
      </c>
    </row>
    <row r="78" spans="1:34" ht="16.5" x14ac:dyDescent="0.3">
      <c r="A78" s="166">
        <f t="shared" si="8"/>
        <v>45702</v>
      </c>
      <c r="B78" s="166" t="str">
        <f>TEXT(Detalles2025[[#This Row],[Fecha]],"AAAA")</f>
        <v>2025</v>
      </c>
      <c r="C78" s="166" t="str">
        <f>TEXT(Detalles2025[[#This Row],[Fecha]],"MMMM")</f>
        <v>febrero</v>
      </c>
      <c r="D78" s="166" t="str">
        <f>TEXT(Detalles2025[[#This Row],[Fecha]],"DDDD")</f>
        <v>viernes</v>
      </c>
      <c r="E78" s="192" t="s">
        <v>511</v>
      </c>
      <c r="F78" s="193">
        <v>1</v>
      </c>
      <c r="G78" s="194">
        <v>2</v>
      </c>
      <c r="H78" s="278" t="str">
        <f>IF(G78=1,Leyenda!$C$3,IF(G78=2,Leyenda!$C$4,IF(G78=3,Leyenda!$C$5,IF(G78=4,Leyenda!$C$6,IF(G78=5,Leyenda!$C$7,IF(G78=6,Leyenda!$C$8,IF(G78=7,Leyenda!$C$9,IF(G78=8,Leyenda!$C$10," "))))))))&amp;IF(G78=9,Leyenda!$C$11,IF(G78=10,Leyenda!$C$12,IF(G78=11,Leyenda!$C$13,IF(G78=12,Leyenda!$C$14," "))))</f>
        <v xml:space="preserve">GASTOS POR TRABAJOS, SUMINISTROS Y SERVICIOS </v>
      </c>
      <c r="I78" s="196" t="s">
        <v>1811</v>
      </c>
      <c r="K78" s="258">
        <f t="shared" si="6"/>
        <v>202502</v>
      </c>
      <c r="L78" s="191">
        <v>14</v>
      </c>
      <c r="M78" s="191"/>
      <c r="O78" s="280">
        <v>0</v>
      </c>
      <c r="P78" s="76">
        <f>2445-133.93</f>
        <v>2311.0700000000002</v>
      </c>
      <c r="Q78" s="198">
        <f t="shared" si="0"/>
        <v>2311.0700000000002</v>
      </c>
      <c r="R78" s="199">
        <v>133.93</v>
      </c>
      <c r="S78" s="199"/>
      <c r="T78" s="199"/>
      <c r="U78" s="199">
        <v>0</v>
      </c>
      <c r="V78" s="199"/>
      <c r="W78" s="199"/>
      <c r="X78" s="199"/>
      <c r="Y78" s="199"/>
      <c r="Z78" s="199"/>
      <c r="AA78" s="199">
        <v>0</v>
      </c>
      <c r="AB78" s="199">
        <v>0</v>
      </c>
      <c r="AC78" s="199">
        <v>0</v>
      </c>
      <c r="AD78" s="199">
        <f>SUM(Detalles2025[[#This Row],[Monto Facturado]:[Monto Propina Legal]])</f>
        <v>2445</v>
      </c>
      <c r="AE78" s="199" t="s">
        <v>1714</v>
      </c>
      <c r="AF78" s="200" t="str">
        <f>IFERROR(VLOOKUP(E78,Tabla3[],2,0),"No Registrado")</f>
        <v>Bravo, S.A.//Supermercados Bravo</v>
      </c>
      <c r="AG78" s="200" t="s">
        <v>1751</v>
      </c>
      <c r="AH78" s="199" t="s">
        <v>1720</v>
      </c>
    </row>
    <row r="79" spans="1:34" ht="16.5" x14ac:dyDescent="0.3">
      <c r="A79" s="166">
        <f t="shared" si="8"/>
        <v>45711</v>
      </c>
      <c r="B79" s="166" t="str">
        <f>TEXT(Detalles2025[[#This Row],[Fecha]],"AAAA")</f>
        <v>2025</v>
      </c>
      <c r="C79" s="166" t="str">
        <f>TEXT(Detalles2025[[#This Row],[Fecha]],"MMMM")</f>
        <v>febrero</v>
      </c>
      <c r="D79" s="166" t="str">
        <f>TEXT(Detalles2025[[#This Row],[Fecha]],"DDDD")</f>
        <v>domingo</v>
      </c>
      <c r="E79" s="192" t="s">
        <v>925</v>
      </c>
      <c r="F79" s="193">
        <v>1</v>
      </c>
      <c r="G79" s="194">
        <v>2</v>
      </c>
      <c r="H79" s="278" t="str">
        <f>IF(G79=1,Leyenda!$C$3,IF(G79=2,Leyenda!$C$4,IF(G79=3,Leyenda!$C$5,IF(G79=4,Leyenda!$C$6,IF(G79=5,Leyenda!$C$7,IF(G79=6,Leyenda!$C$8,IF(G79=7,Leyenda!$C$9,IF(G79=8,Leyenda!$C$10," "))))))))&amp;IF(G79=9,Leyenda!$C$11,IF(G79=10,Leyenda!$C$12,IF(G79=11,Leyenda!$C$13,IF(G79=12,Leyenda!$C$14," "))))</f>
        <v xml:space="preserve">GASTOS POR TRABAJOS, SUMINISTROS Y SERVICIOS </v>
      </c>
      <c r="I79" s="196" t="s">
        <v>1812</v>
      </c>
      <c r="K79" s="258">
        <f t="shared" si="6"/>
        <v>202502</v>
      </c>
      <c r="L79" s="191">
        <v>23</v>
      </c>
      <c r="M79" s="191"/>
      <c r="O79" s="280">
        <v>0</v>
      </c>
      <c r="P79" s="76">
        <v>1601.59</v>
      </c>
      <c r="Q79" s="198">
        <f t="shared" si="0"/>
        <v>1601.59</v>
      </c>
      <c r="R79" s="199">
        <v>288.29000000000002</v>
      </c>
      <c r="S79" s="199"/>
      <c r="T79" s="199"/>
      <c r="U79" s="199">
        <v>0</v>
      </c>
      <c r="V79" s="199"/>
      <c r="W79" s="199"/>
      <c r="X79" s="199"/>
      <c r="Y79" s="199"/>
      <c r="Z79" s="199"/>
      <c r="AA79" s="199">
        <v>0</v>
      </c>
      <c r="AB79" s="199">
        <v>0</v>
      </c>
      <c r="AC79" s="199">
        <v>160.16</v>
      </c>
      <c r="AD79" s="199">
        <f>SUM(Detalles2025[[#This Row],[Monto Facturado]:[Monto Propina Legal]])</f>
        <v>2050.04</v>
      </c>
      <c r="AE79" s="199" t="s">
        <v>1714</v>
      </c>
      <c r="AF79" s="200" t="str">
        <f>IFERROR(VLOOKUP(E79,Tabla3[],2,0),"No Registrado")</f>
        <v>Jade Teriyaki, S.A.</v>
      </c>
      <c r="AG79" s="200" t="s">
        <v>1722</v>
      </c>
      <c r="AH79" s="199" t="s">
        <v>1723</v>
      </c>
    </row>
    <row r="80" spans="1:34" ht="16.5" x14ac:dyDescent="0.3">
      <c r="A80" s="166">
        <f t="shared" si="8"/>
        <v>45711</v>
      </c>
      <c r="B80" s="166" t="str">
        <f>TEXT(Detalles2025[[#This Row],[Fecha]],"AAAA")</f>
        <v>2025</v>
      </c>
      <c r="C80" s="166" t="str">
        <f>TEXT(Detalles2025[[#This Row],[Fecha]],"MMMM")</f>
        <v>febrero</v>
      </c>
      <c r="D80" s="166" t="str">
        <f>TEXT(Detalles2025[[#This Row],[Fecha]],"DDDD")</f>
        <v>domingo</v>
      </c>
      <c r="E80" s="192" t="s">
        <v>504</v>
      </c>
      <c r="F80" s="193">
        <v>1</v>
      </c>
      <c r="G80" s="194">
        <v>2</v>
      </c>
      <c r="H80" s="278" t="str">
        <f>IF(G80=1,Leyenda!$C$3,IF(G80=2,Leyenda!$C$4,IF(G80=3,Leyenda!$C$5,IF(G80=4,Leyenda!$C$6,IF(G80=5,Leyenda!$C$7,IF(G80=6,Leyenda!$C$8,IF(G80=7,Leyenda!$C$9,IF(G80=8,Leyenda!$C$10," "))))))))&amp;IF(G80=9,Leyenda!$C$11,IF(G80=10,Leyenda!$C$12,IF(G80=11,Leyenda!$C$13,IF(G80=12,Leyenda!$C$14," "))))</f>
        <v xml:space="preserve">GASTOS POR TRABAJOS, SUMINISTROS Y SERVICIOS </v>
      </c>
      <c r="I80" s="196" t="s">
        <v>1813</v>
      </c>
      <c r="K80" s="258">
        <f t="shared" si="6"/>
        <v>202502</v>
      </c>
      <c r="L80" s="191">
        <v>23</v>
      </c>
      <c r="M80" s="191"/>
      <c r="O80" s="280">
        <v>0</v>
      </c>
      <c r="P80" s="76">
        <f>1465.47-86.94</f>
        <v>1378.53</v>
      </c>
      <c r="Q80" s="198">
        <f t="shared" si="0"/>
        <v>1378.53</v>
      </c>
      <c r="R80" s="199">
        <v>86.94</v>
      </c>
      <c r="S80" s="199"/>
      <c r="T80" s="199"/>
      <c r="U80" s="199">
        <v>0</v>
      </c>
      <c r="V80" s="199"/>
      <c r="W80" s="199"/>
      <c r="X80" s="199"/>
      <c r="Y80" s="199"/>
      <c r="Z80" s="199"/>
      <c r="AA80" s="199">
        <v>0</v>
      </c>
      <c r="AB80" s="199">
        <v>0</v>
      </c>
      <c r="AC80" s="199">
        <v>0</v>
      </c>
      <c r="AD80" s="199">
        <f>SUM(Detalles2025[[#This Row],[Monto Facturado]:[Monto Propina Legal]])</f>
        <v>1465.47</v>
      </c>
      <c r="AE80" s="199" t="s">
        <v>1714</v>
      </c>
      <c r="AF80" s="200" t="str">
        <f>IFERROR(VLOOKUP(E80,Tabla3[],2,0),"No Registrado")</f>
        <v>Centro Cuesta Nacional S.A.S.//Supermercados Nacional//Casa Cuesta//Ferretería Cuesta//JUMBO//Bebemundo</v>
      </c>
      <c r="AG80" s="200" t="s">
        <v>1751</v>
      </c>
      <c r="AH80" s="199" t="s">
        <v>1720</v>
      </c>
    </row>
    <row r="81" spans="1:34" ht="16.5" x14ac:dyDescent="0.3">
      <c r="A81" s="166">
        <f t="shared" si="8"/>
        <v>45715</v>
      </c>
      <c r="B81" s="166" t="str">
        <f>TEXT(Detalles2025[[#This Row],[Fecha]],"AAAA")</f>
        <v>2025</v>
      </c>
      <c r="C81" s="166" t="str">
        <f>TEXT(Detalles2025[[#This Row],[Fecha]],"MMMM")</f>
        <v>febrero</v>
      </c>
      <c r="D81" s="166" t="str">
        <f>TEXT(Detalles2025[[#This Row],[Fecha]],"DDDD")</f>
        <v>jueves</v>
      </c>
      <c r="E81" s="192" t="s">
        <v>504</v>
      </c>
      <c r="F81" s="193">
        <v>1</v>
      </c>
      <c r="G81" s="194">
        <v>2</v>
      </c>
      <c r="H81" s="278" t="str">
        <f>IF(G81=1,Leyenda!$C$3,IF(G81=2,Leyenda!$C$4,IF(G81=3,Leyenda!$C$5,IF(G81=4,Leyenda!$C$6,IF(G81=5,Leyenda!$C$7,IF(G81=6,Leyenda!$C$8,IF(G81=7,Leyenda!$C$9,IF(G81=8,Leyenda!$C$10," "))))))))&amp;IF(G81=9,Leyenda!$C$11,IF(G81=10,Leyenda!$C$12,IF(G81=11,Leyenda!$C$13,IF(G81=12,Leyenda!$C$14," "))))</f>
        <v xml:space="preserve">GASTOS POR TRABAJOS, SUMINISTROS Y SERVICIOS </v>
      </c>
      <c r="I81" s="196" t="s">
        <v>1814</v>
      </c>
      <c r="K81" s="258">
        <f t="shared" si="6"/>
        <v>202502</v>
      </c>
      <c r="L81" s="191">
        <v>27</v>
      </c>
      <c r="M81" s="191"/>
      <c r="O81" s="280">
        <v>0</v>
      </c>
      <c r="P81" s="76">
        <f>3338.55-429.81</f>
        <v>2908.7400000000002</v>
      </c>
      <c r="Q81" s="198">
        <f t="shared" si="0"/>
        <v>2908.7400000000002</v>
      </c>
      <c r="R81" s="199">
        <v>429.81</v>
      </c>
      <c r="S81" s="199"/>
      <c r="T81" s="199"/>
      <c r="U81" s="199">
        <v>0</v>
      </c>
      <c r="V81" s="199"/>
      <c r="W81" s="199"/>
      <c r="X81" s="199"/>
      <c r="Y81" s="199"/>
      <c r="Z81" s="199"/>
      <c r="AA81" s="199">
        <v>0</v>
      </c>
      <c r="AB81" s="199">
        <v>0</v>
      </c>
      <c r="AC81" s="199">
        <v>0</v>
      </c>
      <c r="AD81" s="199">
        <f>SUM(Detalles2025[[#This Row],[Monto Facturado]:[Monto Propina Legal]])</f>
        <v>3338.55</v>
      </c>
      <c r="AE81" s="199" t="s">
        <v>1714</v>
      </c>
      <c r="AF81" s="200" t="str">
        <f>IFERROR(VLOOKUP(E81,Tabla3[],2,0),"No Registrado")</f>
        <v>Centro Cuesta Nacional S.A.S.//Supermercados Nacional//Casa Cuesta//Ferretería Cuesta//JUMBO//Bebemundo</v>
      </c>
      <c r="AG81" s="200" t="s">
        <v>1751</v>
      </c>
      <c r="AH81" s="199" t="s">
        <v>1720</v>
      </c>
    </row>
    <row r="82" spans="1:34" ht="16.5" x14ac:dyDescent="0.3">
      <c r="A82" s="166">
        <f t="shared" si="8"/>
        <v>45700</v>
      </c>
      <c r="B82" s="166" t="str">
        <f>TEXT(Detalles2025[[#This Row],[Fecha]],"AAAA")</f>
        <v>2025</v>
      </c>
      <c r="C82" s="166" t="str">
        <f>TEXT(Detalles2025[[#This Row],[Fecha]],"MMMM")</f>
        <v>febrero</v>
      </c>
      <c r="D82" s="166" t="str">
        <f>TEXT(Detalles2025[[#This Row],[Fecha]],"DDDD")</f>
        <v>miércoles</v>
      </c>
      <c r="E82" s="192" t="s">
        <v>507</v>
      </c>
      <c r="F82" s="193">
        <v>1</v>
      </c>
      <c r="G82" s="194">
        <v>2</v>
      </c>
      <c r="H82" s="278" t="str">
        <f>IF(G82=1,Leyenda!$C$3,IF(G82=2,Leyenda!$C$4,IF(G82=3,Leyenda!$C$5,IF(G82=4,Leyenda!$C$6,IF(G82=5,Leyenda!$C$7,IF(G82=6,Leyenda!$C$8,IF(G82=7,Leyenda!$C$9,IF(G82=8,Leyenda!$C$10," "))))))))&amp;IF(G82=9,Leyenda!$C$11,IF(G82=10,Leyenda!$C$12,IF(G82=11,Leyenda!$C$13,IF(G82=12,Leyenda!$C$14," "))))</f>
        <v xml:space="preserve">GASTOS POR TRABAJOS, SUMINISTROS Y SERVICIOS </v>
      </c>
      <c r="I82" s="196" t="s">
        <v>1815</v>
      </c>
      <c r="K82" s="258">
        <f t="shared" si="6"/>
        <v>202502</v>
      </c>
      <c r="L82" s="191">
        <v>12</v>
      </c>
      <c r="M82" s="191"/>
      <c r="O82" s="280">
        <v>0</v>
      </c>
      <c r="P82" s="76">
        <f>1565.5-209.05</f>
        <v>1356.45</v>
      </c>
      <c r="Q82" s="198">
        <f t="shared" si="0"/>
        <v>1356.45</v>
      </c>
      <c r="R82" s="199">
        <v>209.05</v>
      </c>
      <c r="S82" s="199"/>
      <c r="T82" s="199"/>
      <c r="U82" s="199">
        <v>0</v>
      </c>
      <c r="V82" s="199"/>
      <c r="W82" s="199"/>
      <c r="X82" s="199"/>
      <c r="Y82" s="199"/>
      <c r="Z82" s="199"/>
      <c r="AA82" s="199">
        <v>0</v>
      </c>
      <c r="AB82" s="199">
        <v>0</v>
      </c>
      <c r="AC82" s="199">
        <v>0</v>
      </c>
      <c r="AD82" s="199">
        <f>SUM(Detalles2025[[#This Row],[Monto Facturado]:[Monto Propina Legal]])</f>
        <v>1565.5</v>
      </c>
      <c r="AE82" s="199" t="s">
        <v>1714</v>
      </c>
      <c r="AF82" s="200" t="str">
        <f>IFERROR(VLOOKUP(E82,Tabla3[],2,0),"No Registrado")</f>
        <v>Grupo Ramos, S. A.//Super Pola//La Sirena</v>
      </c>
      <c r="AG82" s="200" t="s">
        <v>1751</v>
      </c>
      <c r="AH82" s="199" t="s">
        <v>1720</v>
      </c>
    </row>
    <row r="83" spans="1:34" ht="16.5" x14ac:dyDescent="0.3">
      <c r="A83" s="166">
        <f t="shared" si="8"/>
        <v>45707</v>
      </c>
      <c r="B83" s="166" t="str">
        <f>TEXT(Detalles2025[[#This Row],[Fecha]],"AAAA")</f>
        <v>2025</v>
      </c>
      <c r="C83" s="166" t="str">
        <f>TEXT(Detalles2025[[#This Row],[Fecha]],"MMMM")</f>
        <v>febrero</v>
      </c>
      <c r="D83" s="166" t="str">
        <f>TEXT(Detalles2025[[#This Row],[Fecha]],"DDDD")</f>
        <v>miércoles</v>
      </c>
      <c r="E83" s="192" t="s">
        <v>511</v>
      </c>
      <c r="F83" s="193">
        <v>1</v>
      </c>
      <c r="G83" s="194">
        <v>2</v>
      </c>
      <c r="H83" s="278" t="str">
        <f>IF(G83=1,Leyenda!$C$3,IF(G83=2,Leyenda!$C$4,IF(G83=3,Leyenda!$C$5,IF(G83=4,Leyenda!$C$6,IF(G83=5,Leyenda!$C$7,IF(G83=6,Leyenda!$C$8,IF(G83=7,Leyenda!$C$9,IF(G83=8,Leyenda!$C$10," "))))))))&amp;IF(G83=9,Leyenda!$C$11,IF(G83=10,Leyenda!$C$12,IF(G83=11,Leyenda!$C$13,IF(G83=12,Leyenda!$C$14," "))))</f>
        <v xml:space="preserve">GASTOS POR TRABAJOS, SUMINISTROS Y SERVICIOS </v>
      </c>
      <c r="I83" s="196" t="s">
        <v>1816</v>
      </c>
      <c r="K83" s="258">
        <f t="shared" si="6"/>
        <v>202502</v>
      </c>
      <c r="L83" s="191">
        <v>19</v>
      </c>
      <c r="M83" s="191"/>
      <c r="O83" s="280">
        <v>0</v>
      </c>
      <c r="P83" s="76">
        <f>16059-1381.63</f>
        <v>14677.369999999999</v>
      </c>
      <c r="Q83" s="198">
        <f t="shared" si="0"/>
        <v>14677.369999999999</v>
      </c>
      <c r="R83" s="199">
        <v>1381.63</v>
      </c>
      <c r="S83" s="199"/>
      <c r="T83" s="199"/>
      <c r="U83" s="199">
        <v>0</v>
      </c>
      <c r="V83" s="199"/>
      <c r="W83" s="199"/>
      <c r="X83" s="199"/>
      <c r="Y83" s="199"/>
      <c r="Z83" s="199"/>
      <c r="AA83" s="199">
        <v>0</v>
      </c>
      <c r="AB83" s="199">
        <v>0</v>
      </c>
      <c r="AC83" s="199">
        <v>0</v>
      </c>
      <c r="AD83" s="199">
        <f>SUM(Detalles2025[[#This Row],[Monto Facturado]:[Monto Propina Legal]])</f>
        <v>16059</v>
      </c>
      <c r="AE83" s="199" t="s">
        <v>1714</v>
      </c>
      <c r="AF83" s="200" t="str">
        <f>IFERROR(VLOOKUP(E83,Tabla3[],2,0),"No Registrado")</f>
        <v>Bravo, S.A.//Supermercados Bravo</v>
      </c>
      <c r="AG83" s="200" t="s">
        <v>1751</v>
      </c>
      <c r="AH83" s="199" t="s">
        <v>1720</v>
      </c>
    </row>
    <row r="84" spans="1:34" ht="16.5" x14ac:dyDescent="0.3">
      <c r="A84" s="166">
        <f t="shared" si="8"/>
        <v>45695</v>
      </c>
      <c r="B84" s="166" t="str">
        <f>TEXT(Detalles2025[[#This Row],[Fecha]],"AAAA")</f>
        <v>2025</v>
      </c>
      <c r="C84" s="166" t="str">
        <f>TEXT(Detalles2025[[#This Row],[Fecha]],"MMMM")</f>
        <v>febrero</v>
      </c>
      <c r="D84" s="166" t="str">
        <f>TEXT(Detalles2025[[#This Row],[Fecha]],"DDDD")</f>
        <v>viernes</v>
      </c>
      <c r="E84" s="192" t="s">
        <v>1136</v>
      </c>
      <c r="F84" s="193">
        <v>1</v>
      </c>
      <c r="G84" s="194">
        <v>2</v>
      </c>
      <c r="H84" s="278" t="str">
        <f>IF(G84=1,Leyenda!$C$3,IF(G84=2,Leyenda!$C$4,IF(G84=3,Leyenda!$C$5,IF(G84=4,Leyenda!$C$6,IF(G84=5,Leyenda!$C$7,IF(G84=6,Leyenda!$C$8,IF(G84=7,Leyenda!$C$9,IF(G84=8,Leyenda!$C$10," "))))))))&amp;IF(G84=9,Leyenda!$C$11,IF(G84=10,Leyenda!$C$12,IF(G84=11,Leyenda!$C$13,IF(G84=12,Leyenda!$C$14," "))))</f>
        <v xml:space="preserve">GASTOS POR TRABAJOS, SUMINISTROS Y SERVICIOS </v>
      </c>
      <c r="I84" s="196" t="s">
        <v>1817</v>
      </c>
      <c r="K84" s="258">
        <f t="shared" si="6"/>
        <v>202502</v>
      </c>
      <c r="L84" s="191">
        <v>7</v>
      </c>
      <c r="M84" s="191"/>
      <c r="O84" s="280">
        <v>0</v>
      </c>
      <c r="P84" s="76">
        <v>580.51</v>
      </c>
      <c r="Q84" s="198">
        <f t="shared" si="0"/>
        <v>580.51</v>
      </c>
      <c r="R84" s="199">
        <v>104.5</v>
      </c>
      <c r="S84" s="199"/>
      <c r="T84" s="199"/>
      <c r="U84" s="199">
        <v>0</v>
      </c>
      <c r="V84" s="199"/>
      <c r="W84" s="199"/>
      <c r="X84" s="199"/>
      <c r="Y84" s="199"/>
      <c r="Z84" s="199"/>
      <c r="AA84" s="199">
        <v>0</v>
      </c>
      <c r="AB84" s="199">
        <v>0</v>
      </c>
      <c r="AC84" s="199">
        <v>0</v>
      </c>
      <c r="AD84" s="199">
        <f>SUM(Detalles2025[[#This Row],[Monto Facturado]:[Monto Propina Legal]])</f>
        <v>685.01</v>
      </c>
      <c r="AE84" s="199" t="s">
        <v>1714</v>
      </c>
      <c r="AF84" s="200" t="str">
        <f>IFERROR(VLOOKUP(E84,Tabla3[],2,0),"No Registrado")</f>
        <v>FERRETERIA Y ELECTODOSMETICOS PUERTO RICO SRL</v>
      </c>
      <c r="AG84" s="200" t="s">
        <v>1818</v>
      </c>
      <c r="AH84" s="199" t="s">
        <v>1720</v>
      </c>
    </row>
    <row r="85" spans="1:34" ht="16.5" x14ac:dyDescent="0.3">
      <c r="A85" s="166">
        <f t="shared" si="8"/>
        <v>45702</v>
      </c>
      <c r="B85" s="166" t="str">
        <f>TEXT(Detalles2025[[#This Row],[Fecha]],"AAAA")</f>
        <v>2025</v>
      </c>
      <c r="C85" s="166" t="str">
        <f>TEXT(Detalles2025[[#This Row],[Fecha]],"MMMM")</f>
        <v>febrero</v>
      </c>
      <c r="D85" s="166" t="str">
        <f>TEXT(Detalles2025[[#This Row],[Fecha]],"DDDD")</f>
        <v>viernes</v>
      </c>
      <c r="E85" s="192" t="s">
        <v>1114</v>
      </c>
      <c r="F85" s="193">
        <v>1</v>
      </c>
      <c r="G85" s="194">
        <v>2</v>
      </c>
      <c r="H85" s="278" t="str">
        <f>IF(G85=1,Leyenda!$C$3,IF(G85=2,Leyenda!$C$4,IF(G85=3,Leyenda!$C$5,IF(G85=4,Leyenda!$C$6,IF(G85=5,Leyenda!$C$7,IF(G85=6,Leyenda!$C$8,IF(G85=7,Leyenda!$C$9,IF(G85=8,Leyenda!$C$10," "))))))))&amp;IF(G85=9,Leyenda!$C$11,IF(G85=10,Leyenda!$C$12,IF(G85=11,Leyenda!$C$13,IF(G85=12,Leyenda!$C$14," "))))</f>
        <v xml:space="preserve">GASTOS POR TRABAJOS, SUMINISTROS Y SERVICIOS </v>
      </c>
      <c r="I85" s="196" t="s">
        <v>1819</v>
      </c>
      <c r="K85" s="258">
        <f t="shared" si="6"/>
        <v>202502</v>
      </c>
      <c r="L85" s="191">
        <v>14</v>
      </c>
      <c r="M85" s="191"/>
      <c r="O85" s="76">
        <v>2876</v>
      </c>
      <c r="P85" s="76">
        <v>0</v>
      </c>
      <c r="Q85" s="198">
        <f t="shared" ref="Q85:Q95" si="11">SUM(O85:P85)</f>
        <v>2876</v>
      </c>
      <c r="R85" s="199">
        <v>0</v>
      </c>
      <c r="S85" s="199"/>
      <c r="T85" s="199"/>
      <c r="U85" s="199">
        <v>0</v>
      </c>
      <c r="V85" s="199"/>
      <c r="W85" s="199"/>
      <c r="X85" s="199"/>
      <c r="Y85" s="199"/>
      <c r="Z85" s="199"/>
      <c r="AA85" s="199">
        <v>0</v>
      </c>
      <c r="AB85" s="199">
        <v>0</v>
      </c>
      <c r="AC85" s="199">
        <v>0</v>
      </c>
      <c r="AD85" s="199">
        <f>SUM(Detalles2025[[#This Row],[Monto Facturado]:[Monto Propina Legal]])</f>
        <v>2876</v>
      </c>
      <c r="AE85" s="199" t="s">
        <v>1714</v>
      </c>
      <c r="AF85" s="200" t="str">
        <f>IFERROR(VLOOKUP(E85,Tabla3[],2,0),"No Registrado")</f>
        <v>ACADEMIA EUROPEA</v>
      </c>
      <c r="AG85" s="200" t="s">
        <v>1767</v>
      </c>
      <c r="AH85" s="199" t="s">
        <v>1732</v>
      </c>
    </row>
    <row r="86" spans="1:34" ht="16.5" x14ac:dyDescent="0.3">
      <c r="A86" s="166">
        <f t="shared" si="8"/>
        <v>45716</v>
      </c>
      <c r="B86" s="166" t="str">
        <f>TEXT(Detalles2025[[#This Row],[Fecha]],"AAAA")</f>
        <v>2025</v>
      </c>
      <c r="C86" s="166" t="str">
        <f>TEXT(Detalles2025[[#This Row],[Fecha]],"MMMM")</f>
        <v>febrero</v>
      </c>
      <c r="D86" s="166" t="str">
        <f>TEXT(Detalles2025[[#This Row],[Fecha]],"DDDD")</f>
        <v>viernes</v>
      </c>
      <c r="E86" s="192" t="s">
        <v>1114</v>
      </c>
      <c r="F86" s="193">
        <v>1</v>
      </c>
      <c r="G86" s="194">
        <v>2</v>
      </c>
      <c r="H86" s="278" t="str">
        <f>IF(G86=1,Leyenda!$C$3,IF(G86=2,Leyenda!$C$4,IF(G86=3,Leyenda!$C$5,IF(G86=4,Leyenda!$C$6,IF(G86=5,Leyenda!$C$7,IF(G86=6,Leyenda!$C$8,IF(G86=7,Leyenda!$C$9,IF(G86=8,Leyenda!$C$10," "))))))))&amp;IF(G86=9,Leyenda!$C$11,IF(G86=10,Leyenda!$C$12,IF(G86=11,Leyenda!$C$13,IF(G86=12,Leyenda!$C$14," "))))</f>
        <v xml:space="preserve">GASTOS POR TRABAJOS, SUMINISTROS Y SERVICIOS </v>
      </c>
      <c r="I86" s="196" t="s">
        <v>1820</v>
      </c>
      <c r="K86" s="258">
        <f t="shared" si="6"/>
        <v>202502</v>
      </c>
      <c r="L86" s="191">
        <v>28</v>
      </c>
      <c r="M86" s="191"/>
      <c r="O86" s="280">
        <v>3195</v>
      </c>
      <c r="P86" s="76">
        <v>0</v>
      </c>
      <c r="Q86" s="198">
        <f t="shared" si="11"/>
        <v>3195</v>
      </c>
      <c r="R86" s="199">
        <v>0</v>
      </c>
      <c r="S86" s="199"/>
      <c r="T86" s="199"/>
      <c r="U86" s="199">
        <v>0</v>
      </c>
      <c r="V86" s="199"/>
      <c r="W86" s="199"/>
      <c r="X86" s="199"/>
      <c r="Y86" s="199"/>
      <c r="Z86" s="199"/>
      <c r="AA86" s="199">
        <v>0</v>
      </c>
      <c r="AB86" s="199">
        <v>0</v>
      </c>
      <c r="AC86" s="199">
        <v>0</v>
      </c>
      <c r="AD86" s="199">
        <f>SUM(Detalles2025[[#This Row],[Monto Facturado]:[Monto Propina Legal]])</f>
        <v>3195</v>
      </c>
      <c r="AE86" s="199" t="s">
        <v>1714</v>
      </c>
      <c r="AF86" s="200" t="str">
        <f>IFERROR(VLOOKUP(E86,Tabla3[],2,0),"No Registrado")</f>
        <v>ACADEMIA EUROPEA</v>
      </c>
      <c r="AG86" s="200" t="s">
        <v>1767</v>
      </c>
      <c r="AH86" s="199" t="s">
        <v>1168</v>
      </c>
    </row>
    <row r="87" spans="1:34" ht="16.5" x14ac:dyDescent="0.3">
      <c r="A87" s="166">
        <f t="shared" si="8"/>
        <v>45716</v>
      </c>
      <c r="B87" s="166" t="str">
        <f>TEXT(Detalles2025[[#This Row],[Fecha]],"AAAA")</f>
        <v>2025</v>
      </c>
      <c r="C87" s="166" t="str">
        <f>TEXT(Detalles2025[[#This Row],[Fecha]],"MMMM")</f>
        <v>febrero</v>
      </c>
      <c r="D87" s="166" t="str">
        <f>TEXT(Detalles2025[[#This Row],[Fecha]],"DDDD")</f>
        <v>viernes</v>
      </c>
      <c r="E87" s="192" t="s">
        <v>1114</v>
      </c>
      <c r="F87" s="193">
        <v>1</v>
      </c>
      <c r="G87" s="194">
        <v>2</v>
      </c>
      <c r="H87" s="278" t="str">
        <f>IF(G87=1,Leyenda!$C$3,IF(G87=2,Leyenda!$C$4,IF(G87=3,Leyenda!$C$5,IF(G87=4,Leyenda!$C$6,IF(G87=5,Leyenda!$C$7,IF(G87=6,Leyenda!$C$8,IF(G87=7,Leyenda!$C$9,IF(G87=8,Leyenda!$C$10," "))))))))&amp;IF(G87=9,Leyenda!$C$11,IF(G87=10,Leyenda!$C$12,IF(G87=11,Leyenda!$C$13,IF(G87=12,Leyenda!$C$14," "))))</f>
        <v xml:space="preserve">GASTOS POR TRABAJOS, SUMINISTROS Y SERVICIOS </v>
      </c>
      <c r="I87" s="196" t="s">
        <v>1820</v>
      </c>
      <c r="K87" s="258">
        <f t="shared" si="6"/>
        <v>202502</v>
      </c>
      <c r="L87" s="191">
        <v>28</v>
      </c>
      <c r="M87" s="191"/>
      <c r="O87" s="280">
        <v>2606</v>
      </c>
      <c r="P87" s="76">
        <v>0</v>
      </c>
      <c r="Q87" s="198">
        <f t="shared" si="11"/>
        <v>2606</v>
      </c>
      <c r="R87" s="199">
        <v>0</v>
      </c>
      <c r="S87" s="199"/>
      <c r="T87" s="199"/>
      <c r="U87" s="199">
        <v>0</v>
      </c>
      <c r="V87" s="199"/>
      <c r="W87" s="199"/>
      <c r="X87" s="199"/>
      <c r="Y87" s="199"/>
      <c r="Z87" s="199"/>
      <c r="AA87" s="199">
        <v>0</v>
      </c>
      <c r="AB87" s="199">
        <v>0</v>
      </c>
      <c r="AC87" s="199">
        <v>0</v>
      </c>
      <c r="AD87" s="199">
        <f>SUM(Detalles2025[[#This Row],[Monto Facturado]:[Monto Propina Legal]])</f>
        <v>2606</v>
      </c>
      <c r="AE87" s="199" t="s">
        <v>1714</v>
      </c>
      <c r="AF87" s="200" t="str">
        <f>IFERROR(VLOOKUP(E87,Tabla3[],2,0),"No Registrado")</f>
        <v>ACADEMIA EUROPEA</v>
      </c>
      <c r="AG87" s="200" t="s">
        <v>1767</v>
      </c>
      <c r="AH87" s="199" t="s">
        <v>1165</v>
      </c>
    </row>
    <row r="88" spans="1:34" ht="16.5" x14ac:dyDescent="0.3">
      <c r="A88" s="166">
        <f t="shared" si="8"/>
        <v>45705</v>
      </c>
      <c r="B88" s="166" t="str">
        <f>TEXT(Detalles2025[[#This Row],[Fecha]],"AAAA")</f>
        <v>2025</v>
      </c>
      <c r="C88" s="166" t="str">
        <f>TEXT(Detalles2025[[#This Row],[Fecha]],"MMMM")</f>
        <v>febrero</v>
      </c>
      <c r="D88" s="166" t="str">
        <f>TEXT(Detalles2025[[#This Row],[Fecha]],"DDDD")</f>
        <v>lunes</v>
      </c>
      <c r="E88" s="192" t="s">
        <v>495</v>
      </c>
      <c r="F88" s="193">
        <v>1</v>
      </c>
      <c r="G88" s="194">
        <v>2</v>
      </c>
      <c r="H88" s="278" t="str">
        <f>IF(G88=1,Leyenda!$C$3,IF(G88=2,Leyenda!$C$4,IF(G88=3,Leyenda!$C$5,IF(G88=4,Leyenda!$C$6,IF(G88=5,Leyenda!$C$7,IF(G88=6,Leyenda!$C$8,IF(G88=7,Leyenda!$C$9,IF(G88=8,Leyenda!$C$10," "))))))))&amp;IF(G88=9,Leyenda!$C$11,IF(G88=10,Leyenda!$C$12,IF(G88=11,Leyenda!$C$13,IF(G88=12,Leyenda!$C$14," "))))</f>
        <v xml:space="preserve">GASTOS POR TRABAJOS, SUMINISTROS Y SERVICIOS </v>
      </c>
      <c r="I88" s="196" t="s">
        <v>1821</v>
      </c>
      <c r="K88" s="258">
        <f t="shared" si="6"/>
        <v>202502</v>
      </c>
      <c r="L88" s="191">
        <v>17</v>
      </c>
      <c r="M88" s="191"/>
      <c r="O88" s="76">
        <v>1153.08</v>
      </c>
      <c r="P88" s="76">
        <v>0</v>
      </c>
      <c r="Q88" s="198">
        <f t="shared" si="11"/>
        <v>1153.08</v>
      </c>
      <c r="R88" s="199">
        <v>207.55</v>
      </c>
      <c r="S88" s="199"/>
      <c r="T88" s="199"/>
      <c r="U88" s="199">
        <v>0</v>
      </c>
      <c r="V88" s="199"/>
      <c r="W88" s="199"/>
      <c r="X88" s="199"/>
      <c r="Y88" s="199"/>
      <c r="Z88" s="199"/>
      <c r="AA88" s="199">
        <v>115.31</v>
      </c>
      <c r="AB88" s="199">
        <v>23.06</v>
      </c>
      <c r="AC88" s="199">
        <v>0</v>
      </c>
      <c r="AD88" s="199">
        <f>SUM(Detalles2025[[#This Row],[Monto Facturado]:[Monto Propina Legal]])</f>
        <v>1498.9999999999998</v>
      </c>
      <c r="AE88" s="199" t="s">
        <v>1714</v>
      </c>
      <c r="AF88" s="200" t="str">
        <f>IFERROR(VLOOKUP(E88,Tabla3[],2,0),"No Registrado")</f>
        <v>CLARO//CODETEL</v>
      </c>
      <c r="AG88" s="200" t="s">
        <v>1783</v>
      </c>
      <c r="AH88" s="199" t="s">
        <v>1720</v>
      </c>
    </row>
    <row r="89" spans="1:34" ht="16.5" x14ac:dyDescent="0.3">
      <c r="A89" s="166">
        <f t="shared" si="8"/>
        <v>45705</v>
      </c>
      <c r="B89" s="166" t="str">
        <f>TEXT(Detalles2025[[#This Row],[Fecha]],"AAAA")</f>
        <v>2025</v>
      </c>
      <c r="C89" s="166" t="str">
        <f>TEXT(Detalles2025[[#This Row],[Fecha]],"MMMM")</f>
        <v>febrero</v>
      </c>
      <c r="D89" s="166" t="str">
        <f>TEXT(Detalles2025[[#This Row],[Fecha]],"DDDD")</f>
        <v>lunes</v>
      </c>
      <c r="E89" s="192" t="s">
        <v>495</v>
      </c>
      <c r="F89" s="193">
        <v>1</v>
      </c>
      <c r="G89" s="194">
        <v>2</v>
      </c>
      <c r="H89" s="278" t="str">
        <f>IF(G89=1,Leyenda!$C$3,IF(G89=2,Leyenda!$C$4,IF(G89=3,Leyenda!$C$5,IF(G89=4,Leyenda!$C$6,IF(G89=5,Leyenda!$C$7,IF(G89=6,Leyenda!$C$8,IF(G89=7,Leyenda!$C$9,IF(G89=8,Leyenda!$C$10," "))))))))&amp;IF(G89=9,Leyenda!$C$11,IF(G89=10,Leyenda!$C$12,IF(G89=11,Leyenda!$C$13,IF(G89=12,Leyenda!$C$14," "))))</f>
        <v xml:space="preserve">GASTOS POR TRABAJOS, SUMINISTROS Y SERVICIOS </v>
      </c>
      <c r="I89" s="196" t="s">
        <v>1822</v>
      </c>
      <c r="K89" s="258">
        <f t="shared" si="6"/>
        <v>202502</v>
      </c>
      <c r="L89" s="191">
        <v>17</v>
      </c>
      <c r="M89" s="191"/>
      <c r="O89" s="280">
        <v>2407.69</v>
      </c>
      <c r="P89" s="76">
        <v>0</v>
      </c>
      <c r="Q89" s="198">
        <f t="shared" si="11"/>
        <v>2407.69</v>
      </c>
      <c r="R89" s="199">
        <v>433.39</v>
      </c>
      <c r="S89" s="199"/>
      <c r="T89" s="199"/>
      <c r="U89" s="199">
        <v>0</v>
      </c>
      <c r="V89" s="199"/>
      <c r="W89" s="199"/>
      <c r="X89" s="199"/>
      <c r="Y89" s="199"/>
      <c r="Z89" s="199"/>
      <c r="AA89" s="199">
        <v>240.77</v>
      </c>
      <c r="AB89" s="199">
        <v>48.15</v>
      </c>
      <c r="AC89" s="199">
        <v>0</v>
      </c>
      <c r="AD89" s="199">
        <f>SUM(Detalles2025[[#This Row],[Monto Facturado]:[Monto Propina Legal]])</f>
        <v>3130</v>
      </c>
      <c r="AE89" s="199" t="s">
        <v>1714</v>
      </c>
      <c r="AF89" s="200" t="str">
        <f>IFERROR(VLOOKUP(E89,Tabla3[],2,0),"No Registrado")</f>
        <v>CLARO//CODETEL</v>
      </c>
      <c r="AG89" s="200" t="s">
        <v>1785</v>
      </c>
      <c r="AH89" s="199" t="s">
        <v>1170</v>
      </c>
    </row>
    <row r="90" spans="1:34" ht="16.5" x14ac:dyDescent="0.3">
      <c r="A90" s="166">
        <f t="shared" si="8"/>
        <v>45707</v>
      </c>
      <c r="B90" s="166" t="str">
        <f>TEXT(Detalles2025[[#This Row],[Fecha]],"AAAA")</f>
        <v>2025</v>
      </c>
      <c r="C90" s="166" t="str">
        <f>TEXT(Detalles2025[[#This Row],[Fecha]],"MMMM")</f>
        <v>febrero</v>
      </c>
      <c r="D90" s="166" t="str">
        <f>TEXT(Detalles2025[[#This Row],[Fecha]],"DDDD")</f>
        <v>miércoles</v>
      </c>
      <c r="E90" s="192" t="s">
        <v>1112</v>
      </c>
      <c r="F90" s="193">
        <v>1</v>
      </c>
      <c r="G90" s="194">
        <v>2</v>
      </c>
      <c r="H90" s="278" t="str">
        <f>IF(G90=1,Leyenda!$C$3,IF(G90=2,Leyenda!$C$4,IF(G90=3,Leyenda!$C$5,IF(G90=4,Leyenda!$C$6,IF(G90=5,Leyenda!$C$7,IF(G90=6,Leyenda!$C$8,IF(G90=7,Leyenda!$C$9,IF(G90=8,Leyenda!$C$10," "))))))))&amp;IF(G90=9,Leyenda!$C$11,IF(G90=10,Leyenda!$C$12,IF(G90=11,Leyenda!$C$13,IF(G90=12,Leyenda!$C$14," "))))</f>
        <v xml:space="preserve">GASTOS POR TRABAJOS, SUMINISTROS Y SERVICIOS </v>
      </c>
      <c r="I90" s="196" t="s">
        <v>1823</v>
      </c>
      <c r="K90" s="258">
        <f t="shared" si="6"/>
        <v>202502</v>
      </c>
      <c r="L90" s="191">
        <v>19</v>
      </c>
      <c r="M90" s="191"/>
      <c r="O90" s="280">
        <v>4566.99</v>
      </c>
      <c r="P90" s="76">
        <v>0</v>
      </c>
      <c r="Q90" s="198">
        <f t="shared" si="11"/>
        <v>4566.99</v>
      </c>
      <c r="R90" s="199">
        <v>0</v>
      </c>
      <c r="S90" s="199"/>
      <c r="T90" s="199"/>
      <c r="U90" s="199">
        <v>0</v>
      </c>
      <c r="V90" s="199"/>
      <c r="W90" s="199"/>
      <c r="X90" s="199"/>
      <c r="Y90" s="199"/>
      <c r="Z90" s="199"/>
      <c r="AA90" s="199">
        <v>0</v>
      </c>
      <c r="AB90" s="199">
        <v>0</v>
      </c>
      <c r="AC90" s="199">
        <v>0</v>
      </c>
      <c r="AD90" s="199">
        <f>SUM(Detalles2025[[#This Row],[Monto Facturado]:[Monto Propina Legal]])</f>
        <v>4566.99</v>
      </c>
      <c r="AE90" s="199" t="s">
        <v>1714</v>
      </c>
      <c r="AF90" s="200" t="str">
        <f>IFERROR(VLOOKUP(E90,Tabla3[],2,0),"No Registrado")</f>
        <v>EDEESTE</v>
      </c>
      <c r="AG90" s="200" t="s">
        <v>1787</v>
      </c>
      <c r="AH90" s="199" t="s">
        <v>1178</v>
      </c>
    </row>
    <row r="91" spans="1:34" ht="16.5" x14ac:dyDescent="0.3">
      <c r="A91" s="166">
        <f t="shared" si="8"/>
        <v>45708</v>
      </c>
      <c r="B91" s="166" t="str">
        <f>TEXT(Detalles2025[[#This Row],[Fecha]],"AAAA")</f>
        <v>2025</v>
      </c>
      <c r="C91" s="166" t="str">
        <f>TEXT(Detalles2025[[#This Row],[Fecha]],"MMMM")</f>
        <v>febrero</v>
      </c>
      <c r="D91" s="166" t="str">
        <f>TEXT(Detalles2025[[#This Row],[Fecha]],"DDDD")</f>
        <v>jueves</v>
      </c>
      <c r="E91" s="192" t="s">
        <v>511</v>
      </c>
      <c r="F91" s="193">
        <v>1</v>
      </c>
      <c r="G91" s="194">
        <v>2</v>
      </c>
      <c r="H91" s="278" t="str">
        <f>IF(G91=1,Leyenda!$C$3,IF(G91=2,Leyenda!$C$4,IF(G91=3,Leyenda!$C$5,IF(G91=4,Leyenda!$C$6,IF(G91=5,Leyenda!$C$7,IF(G91=6,Leyenda!$C$8,IF(G91=7,Leyenda!$C$9,IF(G91=8,Leyenda!$C$10," "))))))))&amp;IF(G91=9,Leyenda!$C$11,IF(G91=10,Leyenda!$C$12,IF(G91=11,Leyenda!$C$13,IF(G91=12,Leyenda!$C$14," "))))</f>
        <v xml:space="preserve">GASTOS POR TRABAJOS, SUMINISTROS Y SERVICIOS </v>
      </c>
      <c r="I91" s="286">
        <v>0</v>
      </c>
      <c r="K91" s="258">
        <f t="shared" si="6"/>
        <v>202502</v>
      </c>
      <c r="L91" s="191">
        <v>20</v>
      </c>
      <c r="M91" s="191"/>
      <c r="O91" s="76">
        <v>1390</v>
      </c>
      <c r="P91" s="76">
        <v>0</v>
      </c>
      <c r="Q91" s="198">
        <f t="shared" si="11"/>
        <v>1390</v>
      </c>
      <c r="R91" s="199">
        <v>0</v>
      </c>
      <c r="S91" s="199"/>
      <c r="T91" s="199"/>
      <c r="U91" s="199">
        <v>0</v>
      </c>
      <c r="V91" s="199"/>
      <c r="W91" s="199"/>
      <c r="X91" s="199"/>
      <c r="Y91" s="199"/>
      <c r="Z91" s="199"/>
      <c r="AA91" s="199">
        <v>0</v>
      </c>
      <c r="AB91" s="199">
        <v>0</v>
      </c>
      <c r="AC91" s="199">
        <v>0</v>
      </c>
      <c r="AD91" s="199">
        <f>SUM(Detalles2025[[#This Row],[Monto Facturado]:[Monto Propina Legal]])</f>
        <v>1390</v>
      </c>
      <c r="AE91" s="199" t="s">
        <v>1714</v>
      </c>
      <c r="AF91" s="200" t="str">
        <f>IFERROR(VLOOKUP(E91,Tabla3[],2,0),"No Registrado")</f>
        <v>Bravo, S.A.//Supermercados Bravo</v>
      </c>
      <c r="AG91" s="200" t="s">
        <v>1790</v>
      </c>
      <c r="AH91" s="199" t="s">
        <v>1161</v>
      </c>
    </row>
    <row r="92" spans="1:34" ht="16.5" x14ac:dyDescent="0.3">
      <c r="A92" s="166">
        <f>DATE(LEFT(K92,4),RIGHT(K92,2),L92)</f>
        <v>45708</v>
      </c>
      <c r="B92" s="166" t="str">
        <f>TEXT(Detalles2025[[#This Row],[Fecha]],"AAAA")</f>
        <v>2025</v>
      </c>
      <c r="C92" s="166" t="str">
        <f>TEXT(Detalles2025[[#This Row],[Fecha]],"MMMM")</f>
        <v>febrero</v>
      </c>
      <c r="D92" s="166" t="str">
        <f>TEXT(Detalles2025[[#This Row],[Fecha]],"DDDD")</f>
        <v>jueves</v>
      </c>
      <c r="E92" s="192" t="s">
        <v>1792</v>
      </c>
      <c r="F92" s="193">
        <v>1</v>
      </c>
      <c r="G92" s="194">
        <v>12</v>
      </c>
      <c r="H92" s="272" t="str">
        <f>IF(G92=1,Leyenda!$C$3,IF(G92=2,Leyenda!$C$4,IF(G92=3,Leyenda!$C$5,IF(G92=4,Leyenda!$C$6,IF(G92=5,Leyenda!$C$7,IF(G92=6,Leyenda!$C$8,IF(G92=7,Leyenda!$C$9,IF(G92=8,Leyenda!$C$10," "))))))))&amp;IF(G92=9,Leyenda!$C$11,IF(G92=10,Leyenda!$C$12,IF(G92=11,Leyenda!$C$13,IF(G92=12,Leyenda!$C$14," "))))</f>
        <v xml:space="preserve"> GASTOS MENORES</v>
      </c>
      <c r="I92" s="277">
        <v>0</v>
      </c>
      <c r="K92" s="258">
        <f t="shared" si="6"/>
        <v>202502</v>
      </c>
      <c r="L92" s="191">
        <v>20</v>
      </c>
      <c r="M92" s="191"/>
      <c r="O92" s="273">
        <v>1364</v>
      </c>
      <c r="P92" s="274">
        <v>0</v>
      </c>
      <c r="Q92" s="198">
        <f t="shared" si="11"/>
        <v>1364</v>
      </c>
      <c r="R92" s="275">
        <v>0</v>
      </c>
      <c r="S92" s="275"/>
      <c r="T92" s="275"/>
      <c r="U92" s="275">
        <v>0</v>
      </c>
      <c r="V92" s="275"/>
      <c r="W92" s="275"/>
      <c r="X92" s="275"/>
      <c r="Y92" s="275"/>
      <c r="Z92" s="275"/>
      <c r="AA92" s="275">
        <v>0</v>
      </c>
      <c r="AB92" s="275">
        <v>0</v>
      </c>
      <c r="AC92" s="275">
        <v>0</v>
      </c>
      <c r="AD92" s="275">
        <f>SUM(Detalles2025[[#This Row],[Monto Facturado]:[Monto Propina Legal]])</f>
        <v>1364</v>
      </c>
      <c r="AE92" s="275" t="s">
        <v>1714</v>
      </c>
      <c r="AF92" s="200" t="str">
        <f>IFERROR(VLOOKUP(E92,Tabla3[],2,0),"No Registrado")</f>
        <v>No Registrado</v>
      </c>
      <c r="AG92" s="200" t="s">
        <v>1793</v>
      </c>
      <c r="AH92" s="199" t="s">
        <v>1720</v>
      </c>
    </row>
    <row r="93" spans="1:34" ht="16.5" x14ac:dyDescent="0.3">
      <c r="A93" s="166">
        <v>45715</v>
      </c>
      <c r="B93" s="166" t="str">
        <f>TEXT(Detalles2025[[#This Row],[Fecha]],"AAAA")</f>
        <v>2025</v>
      </c>
      <c r="C93" s="166" t="str">
        <f>TEXT(Detalles2025[[#This Row],[Fecha]],"MMMM")</f>
        <v>febrero</v>
      </c>
      <c r="D93" s="166" t="str">
        <f>TEXT(Detalles2025[[#This Row],[Fecha]],"DDDD")</f>
        <v>jueves</v>
      </c>
      <c r="E93" s="192" t="s">
        <v>1788</v>
      </c>
      <c r="F93" s="193">
        <v>1</v>
      </c>
      <c r="G93" s="194">
        <v>12</v>
      </c>
      <c r="H93" s="269" t="str">
        <f>IF(G93=1,Leyenda!$C$3,IF(G93=2,Leyenda!$C$4,IF(G93=3,Leyenda!$C$5,IF(G93=4,Leyenda!$C$6,IF(G93=5,Leyenda!$C$7,IF(G93=6,Leyenda!$C$8,IF(G93=7,Leyenda!$C$9,IF(G93=8,Leyenda!$C$10," "))))))))&amp;IF(G93=9,Leyenda!$C$11,IF(G93=10,Leyenda!$C$12,IF(G93=11,Leyenda!$C$13,IF(G93=12,Leyenda!$C$14," "))))</f>
        <v xml:space="preserve"> GASTOS MENORES</v>
      </c>
      <c r="I93" s="276">
        <v>0</v>
      </c>
      <c r="K93" s="258">
        <f t="shared" ref="K93:K95" si="12">IF($G93=0," ",$K$54)</f>
        <v>202502</v>
      </c>
      <c r="L93" s="191">
        <v>27</v>
      </c>
      <c r="M93" s="191"/>
      <c r="O93" s="197">
        <v>0</v>
      </c>
      <c r="P93" s="205">
        <v>2000</v>
      </c>
      <c r="Q93" s="198">
        <f t="shared" si="11"/>
        <v>2000</v>
      </c>
      <c r="R93" s="199">
        <v>0</v>
      </c>
      <c r="S93" s="199">
        <v>0</v>
      </c>
      <c r="T93" s="199">
        <v>0</v>
      </c>
      <c r="U93" s="199">
        <v>0</v>
      </c>
      <c r="V93" s="199">
        <v>0</v>
      </c>
      <c r="W93" s="199">
        <v>0</v>
      </c>
      <c r="X93" s="199">
        <v>0</v>
      </c>
      <c r="Y93" s="199">
        <v>0</v>
      </c>
      <c r="Z93" s="199">
        <v>0</v>
      </c>
      <c r="AA93" s="199">
        <v>0</v>
      </c>
      <c r="AB93" s="199">
        <v>0</v>
      </c>
      <c r="AC93" s="199">
        <v>0</v>
      </c>
      <c r="AD93" s="199">
        <f>SUM(Detalles2025[[#This Row],[Monto Facturado]:[Monto Propina Legal]])</f>
        <v>2000</v>
      </c>
      <c r="AE93" s="199" t="s">
        <v>1725</v>
      </c>
      <c r="AF93" s="200" t="str">
        <f>IFERROR(VLOOKUP(E93,Tabla3[],2,0),"No Registrado")</f>
        <v>No Registrado</v>
      </c>
      <c r="AG93" s="200" t="s">
        <v>1789</v>
      </c>
      <c r="AH93" s="199" t="s">
        <v>1165</v>
      </c>
    </row>
    <row r="94" spans="1:34" ht="16.5" x14ac:dyDescent="0.3">
      <c r="A94" s="166">
        <v>45715</v>
      </c>
      <c r="B94" s="166" t="str">
        <f>TEXT(Detalles2025[[#This Row],[Fecha]],"AAAA")</f>
        <v>2025</v>
      </c>
      <c r="C94" s="166" t="str">
        <f>TEXT(Detalles2025[[#This Row],[Fecha]],"MMMM")</f>
        <v>febrero</v>
      </c>
      <c r="D94" s="166" t="str">
        <f>TEXT(Detalles2025[[#This Row],[Fecha]],"DDDD")</f>
        <v>jueves</v>
      </c>
      <c r="E94" s="192" t="s">
        <v>1788</v>
      </c>
      <c r="F94" s="193">
        <v>1</v>
      </c>
      <c r="G94" s="194">
        <v>12</v>
      </c>
      <c r="H94" s="269" t="str">
        <f>IF(G94=1,Leyenda!$C$3,IF(G94=2,Leyenda!$C$4,IF(G94=3,Leyenda!$C$5,IF(G94=4,Leyenda!$C$6,IF(G94=5,Leyenda!$C$7,IF(G94=6,Leyenda!$C$8,IF(G94=7,Leyenda!$C$9,IF(G94=8,Leyenda!$C$10," "))))))))&amp;IF(G94=9,Leyenda!$C$11,IF(G94=10,Leyenda!$C$12,IF(G94=11,Leyenda!$C$13,IF(G94=12,Leyenda!$C$14," "))))</f>
        <v xml:space="preserve"> GASTOS MENORES</v>
      </c>
      <c r="I94" s="276">
        <v>0</v>
      </c>
      <c r="K94" s="258">
        <f t="shared" si="12"/>
        <v>202502</v>
      </c>
      <c r="L94" s="191">
        <v>27</v>
      </c>
      <c r="M94" s="191"/>
      <c r="O94" s="197">
        <v>0</v>
      </c>
      <c r="P94" s="205">
        <v>2000</v>
      </c>
      <c r="Q94" s="198">
        <f t="shared" si="11"/>
        <v>2000</v>
      </c>
      <c r="R94" s="199">
        <v>0</v>
      </c>
      <c r="S94" s="199">
        <v>0</v>
      </c>
      <c r="T94" s="199">
        <v>0</v>
      </c>
      <c r="U94" s="199">
        <v>0</v>
      </c>
      <c r="V94" s="199">
        <v>0</v>
      </c>
      <c r="W94" s="199">
        <v>0</v>
      </c>
      <c r="X94" s="199">
        <v>0</v>
      </c>
      <c r="Y94" s="199">
        <v>0</v>
      </c>
      <c r="Z94" s="199">
        <v>0</v>
      </c>
      <c r="AA94" s="199">
        <v>0</v>
      </c>
      <c r="AB94" s="199">
        <v>0</v>
      </c>
      <c r="AC94" s="199">
        <v>0</v>
      </c>
      <c r="AD94" s="199">
        <f>SUM(Detalles2025[[#This Row],[Monto Facturado]:[Monto Propina Legal]])</f>
        <v>2000</v>
      </c>
      <c r="AE94" s="199" t="s">
        <v>1725</v>
      </c>
      <c r="AF94" s="200" t="str">
        <f>IFERROR(VLOOKUP(E94,Tabla3[],2,0),"No Registrado")</f>
        <v>No Registrado</v>
      </c>
      <c r="AG94" s="200" t="s">
        <v>1789</v>
      </c>
      <c r="AH94" s="199" t="s">
        <v>1168</v>
      </c>
    </row>
    <row r="95" spans="1:34" ht="16.5" x14ac:dyDescent="0.3">
      <c r="A95" s="166">
        <v>45698</v>
      </c>
      <c r="B95" s="166" t="str">
        <f>TEXT(Detalles2025[[#This Row],[Fecha]],"AAAA")</f>
        <v>2025</v>
      </c>
      <c r="C95" s="166" t="str">
        <f>TEXT(Detalles2025[[#This Row],[Fecha]],"MMMM")</f>
        <v>febrero</v>
      </c>
      <c r="D95" s="166" t="str">
        <f>TEXT(Detalles2025[[#This Row],[Fecha]],"DDDD")</f>
        <v>lunes</v>
      </c>
      <c r="E95" s="192" t="s">
        <v>495</v>
      </c>
      <c r="F95" s="193">
        <v>1</v>
      </c>
      <c r="G95" s="194">
        <v>12</v>
      </c>
      <c r="H95" s="272" t="str">
        <f>IF(G95=1,Leyenda!$C$3,IF(G95=2,Leyenda!$C$4,IF(G95=3,Leyenda!$C$5,IF(G95=4,Leyenda!$C$6,IF(G95=5,Leyenda!$C$7,IF(G95=6,Leyenda!$C$8,IF(G95=7,Leyenda!$C$9,IF(G95=8,Leyenda!$C$10," "))))))))&amp;IF(G95=9,Leyenda!$C$11,IF(G95=10,Leyenda!$C$12,IF(G95=11,Leyenda!$C$13,IF(G95=12,Leyenda!$C$14," "))))</f>
        <v xml:space="preserve"> GASTOS MENORES</v>
      </c>
      <c r="I95" s="277">
        <v>0</v>
      </c>
      <c r="K95" s="258">
        <f t="shared" si="12"/>
        <v>202502</v>
      </c>
      <c r="L95" s="191">
        <v>10</v>
      </c>
      <c r="M95" s="191"/>
      <c r="O95" s="273">
        <v>1085.01</v>
      </c>
      <c r="P95" s="274">
        <v>0</v>
      </c>
      <c r="Q95" s="198">
        <f t="shared" si="11"/>
        <v>1085.01</v>
      </c>
      <c r="R95" s="275">
        <v>0</v>
      </c>
      <c r="S95" s="275"/>
      <c r="T95" s="275"/>
      <c r="U95" s="275">
        <v>0</v>
      </c>
      <c r="V95" s="275"/>
      <c r="W95" s="275"/>
      <c r="X95" s="275"/>
      <c r="Y95" s="275"/>
      <c r="Z95" s="275"/>
      <c r="AA95" s="275">
        <v>0</v>
      </c>
      <c r="AB95" s="275">
        <v>0</v>
      </c>
      <c r="AC95" s="275">
        <v>0</v>
      </c>
      <c r="AD95" s="275">
        <f>SUM(Detalles2025[[#This Row],[Monto Facturado]:[Monto Propina Legal]])</f>
        <v>1085.01</v>
      </c>
      <c r="AE95" s="275" t="s">
        <v>1714</v>
      </c>
      <c r="AF95" s="200" t="str">
        <f>IFERROR(VLOOKUP(E95,Tabla3[],2,0),"No Registrado")</f>
        <v>CLARO//CODETEL</v>
      </c>
      <c r="AG95" s="200" t="s">
        <v>1785</v>
      </c>
      <c r="AH95" s="199" t="s">
        <v>1727</v>
      </c>
    </row>
    <row r="96" spans="1:34" ht="16.5" x14ac:dyDescent="0.3">
      <c r="A96" s="166">
        <f t="shared" ref="A96:A101" si="13">DATE(LEFT(K96,4),RIGHT(K96,2),L96)</f>
        <v>45740</v>
      </c>
      <c r="B96" s="166" t="str">
        <f>TEXT(Detalles2025[[#This Row],[Fecha]],"AAAA")</f>
        <v>2025</v>
      </c>
      <c r="C96" s="166" t="str">
        <f>TEXT(Detalles2025[[#This Row],[Fecha]],"MMMM")</f>
        <v>marzo</v>
      </c>
      <c r="D96" s="166" t="str">
        <f>TEXT(Detalles2025[[#This Row],[Fecha]],"DDDD")</f>
        <v>lunes</v>
      </c>
      <c r="E96" s="192" t="s">
        <v>1736</v>
      </c>
      <c r="F96" s="193">
        <v>1</v>
      </c>
      <c r="G96" s="194">
        <v>7</v>
      </c>
      <c r="H96" s="269" t="str">
        <f>IF(G96=1,Leyenda!$C$3,IF(G96=2,Leyenda!$C$4,IF(G96=3,Leyenda!$C$5,IF(G96=4,Leyenda!$C$6,IF(G96=5,Leyenda!$C$7,IF(G96=6,Leyenda!$C$8,IF(G96=7,Leyenda!$C$9,IF(G96=8,Leyenda!$C$10," "))))))))&amp;IF(G96=9,Leyenda!$C$11,IF(G96=10,Leyenda!$C$12,IF(G96=11,Leyenda!$C$13,IF(G96=12,Leyenda!$C$14," "))))</f>
        <v xml:space="preserve">GASTOS FINANCIEROS </v>
      </c>
      <c r="I96" s="196"/>
      <c r="K96" s="258">
        <v>202503</v>
      </c>
      <c r="L96" s="191">
        <v>24</v>
      </c>
      <c r="M96" s="191"/>
      <c r="O96" s="280">
        <v>0</v>
      </c>
      <c r="P96" s="76">
        <v>23443.75</v>
      </c>
      <c r="Q96" s="198">
        <f t="shared" ref="Q96:Q100" si="14">SUM(O96:P96)</f>
        <v>23443.75</v>
      </c>
      <c r="R96" s="199">
        <v>0</v>
      </c>
      <c r="S96" s="199"/>
      <c r="T96" s="199"/>
      <c r="U96" s="199">
        <v>0</v>
      </c>
      <c r="V96" s="199"/>
      <c r="W96" s="199"/>
      <c r="X96" s="199"/>
      <c r="Y96" s="199"/>
      <c r="Z96" s="199"/>
      <c r="AA96" s="199">
        <v>0</v>
      </c>
      <c r="AB96" s="199">
        <v>0</v>
      </c>
      <c r="AC96" s="199">
        <v>0</v>
      </c>
      <c r="AD96" s="199">
        <f>SUM(Detalles2025[[#This Row],[Monto Facturado]:[Monto Propina Legal]])</f>
        <v>23443.75</v>
      </c>
      <c r="AE96" s="199" t="s">
        <v>1725</v>
      </c>
      <c r="AF96" s="200" t="str">
        <f>IFERROR(VLOOKUP(E96,Tabla3[],2,0),"No Registrado")</f>
        <v>No Registrado</v>
      </c>
      <c r="AG96" s="200" t="s">
        <v>1737</v>
      </c>
      <c r="AH96" s="199" t="s">
        <v>1735</v>
      </c>
    </row>
    <row r="97" spans="1:34" ht="16.5" x14ac:dyDescent="0.3">
      <c r="A97" s="166">
        <f t="shared" si="13"/>
        <v>45720</v>
      </c>
      <c r="B97" s="166" t="str">
        <f>TEXT(Detalles2025[[#This Row],[Fecha]],"AAAA")</f>
        <v>2025</v>
      </c>
      <c r="C97" s="166" t="str">
        <f>TEXT(Detalles2025[[#This Row],[Fecha]],"MMMM")</f>
        <v>marzo</v>
      </c>
      <c r="D97" s="166" t="str">
        <f>TEXT(Detalles2025[[#This Row],[Fecha]],"DDDD")</f>
        <v>martes</v>
      </c>
      <c r="E97" s="192" t="s">
        <v>1740</v>
      </c>
      <c r="F97" s="193">
        <v>1</v>
      </c>
      <c r="G97" s="194">
        <v>7</v>
      </c>
      <c r="H97" s="269" t="str">
        <f>IF(G97=1,Leyenda!$C$3,IF(G97=2,Leyenda!$C$4,IF(G97=3,Leyenda!$C$5,IF(G97=4,Leyenda!$C$6,IF(G97=5,Leyenda!$C$7,IF(G97=6,Leyenda!$C$8,IF(G97=7,Leyenda!$C$9,IF(G97=8,Leyenda!$C$10," "))))))))&amp;IF(G97=9,Leyenda!$C$11,IF(G97=10,Leyenda!$C$12,IF(G97=11,Leyenda!$C$13,IF(G97=12,Leyenda!$C$14," "))))</f>
        <v xml:space="preserve">GASTOS FINANCIEROS </v>
      </c>
      <c r="I97" s="196"/>
      <c r="K97" s="258">
        <v>202503</v>
      </c>
      <c r="L97" s="191">
        <v>4</v>
      </c>
      <c r="M97" s="191"/>
      <c r="O97" s="280">
        <v>0</v>
      </c>
      <c r="P97" s="76">
        <v>15208.33</v>
      </c>
      <c r="Q97" s="198">
        <f t="shared" si="14"/>
        <v>15208.33</v>
      </c>
      <c r="R97" s="199">
        <v>0</v>
      </c>
      <c r="S97" s="199"/>
      <c r="T97" s="199"/>
      <c r="U97" s="199">
        <v>0</v>
      </c>
      <c r="V97" s="199"/>
      <c r="W97" s="199"/>
      <c r="X97" s="199"/>
      <c r="Y97" s="199"/>
      <c r="Z97" s="199"/>
      <c r="AA97" s="199">
        <v>0</v>
      </c>
      <c r="AB97" s="199">
        <v>0</v>
      </c>
      <c r="AC97" s="199">
        <v>0</v>
      </c>
      <c r="AD97" s="199">
        <f>SUM(Detalles2025[[#This Row],[Monto Facturado]:[Monto Propina Legal]])</f>
        <v>15208.33</v>
      </c>
      <c r="AE97" s="199" t="s">
        <v>1725</v>
      </c>
      <c r="AF97" s="200" t="str">
        <f>IFERROR(VLOOKUP(E97,Tabla3[],2,0),"No Registrado")</f>
        <v>No Registrado</v>
      </c>
      <c r="AG97" s="200" t="s">
        <v>1737</v>
      </c>
      <c r="AH97" s="199" t="s">
        <v>1735</v>
      </c>
    </row>
    <row r="98" spans="1:34" ht="16.5" x14ac:dyDescent="0.3">
      <c r="A98" s="166">
        <f t="shared" si="13"/>
        <v>45732</v>
      </c>
      <c r="B98" s="166" t="str">
        <f>TEXT(Detalles2025[[#This Row],[Fecha]],"AAAA")</f>
        <v>2025</v>
      </c>
      <c r="C98" s="166" t="str">
        <f>TEXT(Detalles2025[[#This Row],[Fecha]],"MMMM")</f>
        <v>marzo</v>
      </c>
      <c r="D98" s="166" t="str">
        <f>TEXT(Detalles2025[[#This Row],[Fecha]],"DDDD")</f>
        <v>domingo</v>
      </c>
      <c r="E98" s="192" t="s">
        <v>492</v>
      </c>
      <c r="F98" s="193">
        <v>1</v>
      </c>
      <c r="G98" s="194">
        <v>7</v>
      </c>
      <c r="H98" s="269" t="str">
        <f>IF(G98=1,Leyenda!$C$3,IF(G98=2,Leyenda!$C$4,IF(G98=3,Leyenda!$C$5,IF(G98=4,Leyenda!$C$6,IF(G98=5,Leyenda!$C$7,IF(G98=6,Leyenda!$C$8,IF(G98=7,Leyenda!$C$9,IF(G98=8,Leyenda!$C$10," "))))))))&amp;IF(G98=9,Leyenda!$C$11,IF(G98=10,Leyenda!$C$12,IF(G98=11,Leyenda!$C$13,IF(G98=12,Leyenda!$C$14," "))))</f>
        <v xml:space="preserve">GASTOS FINANCIEROS </v>
      </c>
      <c r="I98" s="196" t="s">
        <v>1697</v>
      </c>
      <c r="K98" s="258">
        <v>202503</v>
      </c>
      <c r="L98" s="191">
        <v>16</v>
      </c>
      <c r="M98" s="191"/>
      <c r="O98" s="280">
        <v>0</v>
      </c>
      <c r="P98" s="76">
        <v>48000</v>
      </c>
      <c r="Q98" s="198">
        <f t="shared" si="14"/>
        <v>48000</v>
      </c>
      <c r="R98" s="199">
        <v>0</v>
      </c>
      <c r="S98" s="199"/>
      <c r="T98" s="199"/>
      <c r="U98" s="199">
        <v>0</v>
      </c>
      <c r="V98" s="199"/>
      <c r="W98" s="199"/>
      <c r="X98" s="199"/>
      <c r="Y98" s="199"/>
      <c r="Z98" s="199"/>
      <c r="AA98" s="199">
        <v>0</v>
      </c>
      <c r="AB98" s="199">
        <v>0</v>
      </c>
      <c r="AC98" s="199">
        <v>0</v>
      </c>
      <c r="AD98" s="199">
        <f>SUM(Detalles2025[[#This Row],[Monto Facturado]:[Monto Propina Legal]])</f>
        <v>48000</v>
      </c>
      <c r="AE98" s="199" t="s">
        <v>1725</v>
      </c>
      <c r="AF98" s="200" t="str">
        <f>IFERROR(VLOOKUP(E98,Tabla3[],2,0),"No Registrado")</f>
        <v>Banco Dominicano del Progreso, S. A.//Banco Multiple</v>
      </c>
      <c r="AG98" s="200" t="s">
        <v>1734</v>
      </c>
      <c r="AH98" s="199" t="s">
        <v>1735</v>
      </c>
    </row>
    <row r="99" spans="1:34" ht="16.5" x14ac:dyDescent="0.3">
      <c r="A99" s="166">
        <f t="shared" si="13"/>
        <v>45717</v>
      </c>
      <c r="B99" s="166" t="str">
        <f>TEXT(Detalles2025[[#This Row],[Fecha]],"AAAA")</f>
        <v>2025</v>
      </c>
      <c r="C99" s="166" t="str">
        <f>TEXT(Detalles2025[[#This Row],[Fecha]],"MMMM")</f>
        <v>marzo</v>
      </c>
      <c r="D99" s="166" t="str">
        <f>TEXT(Detalles2025[[#This Row],[Fecha]],"DDDD")</f>
        <v>sábado</v>
      </c>
      <c r="E99" s="192" t="s">
        <v>1738</v>
      </c>
      <c r="F99" s="193">
        <v>1</v>
      </c>
      <c r="G99" s="194">
        <v>7</v>
      </c>
      <c r="H99" s="269" t="str">
        <f>IF(G99=1,Leyenda!$C$3,IF(G99=2,Leyenda!$C$4,IF(G99=3,Leyenda!$C$5,IF(G99=4,Leyenda!$C$6,IF(G99=5,Leyenda!$C$7,IF(G99=6,Leyenda!$C$8,IF(G99=7,Leyenda!$C$9,IF(G99=8,Leyenda!$C$10," "))))))))&amp;IF(G99=9,Leyenda!$C$11,IF(G99=10,Leyenda!$C$12,IF(G99=11,Leyenda!$C$13,IF(G99=12,Leyenda!$C$14," "))))</f>
        <v xml:space="preserve">GASTOS FINANCIEROS </v>
      </c>
      <c r="I99" s="196"/>
      <c r="K99" s="258">
        <v>202503</v>
      </c>
      <c r="L99" s="191">
        <v>1</v>
      </c>
      <c r="M99" s="191"/>
      <c r="O99" s="280">
        <v>0</v>
      </c>
      <c r="P99" s="76">
        <v>25404.27</v>
      </c>
      <c r="Q99" s="198">
        <f t="shared" si="14"/>
        <v>25404.27</v>
      </c>
      <c r="R99" s="199">
        <v>0</v>
      </c>
      <c r="S99" s="199"/>
      <c r="T99" s="199"/>
      <c r="U99" s="199">
        <v>0</v>
      </c>
      <c r="V99" s="199"/>
      <c r="W99" s="199"/>
      <c r="X99" s="199"/>
      <c r="Y99" s="199"/>
      <c r="Z99" s="199"/>
      <c r="AA99" s="199">
        <v>0</v>
      </c>
      <c r="AB99" s="199">
        <v>0</v>
      </c>
      <c r="AC99" s="199">
        <v>0</v>
      </c>
      <c r="AD99" s="199">
        <f>SUM(Detalles2025[[#This Row],[Monto Facturado]:[Monto Propina Legal]])</f>
        <v>25404.27</v>
      </c>
      <c r="AE99" s="199" t="s">
        <v>1725</v>
      </c>
      <c r="AF99" s="200" t="str">
        <f>IFERROR(VLOOKUP(E99,Tabla3[],2,0),"No Registrado")</f>
        <v>No Registrado</v>
      </c>
      <c r="AG99" s="200" t="s">
        <v>1739</v>
      </c>
      <c r="AH99" s="199" t="s">
        <v>1735</v>
      </c>
    </row>
    <row r="100" spans="1:34" ht="16.5" x14ac:dyDescent="0.3">
      <c r="A100" s="166">
        <f t="shared" si="13"/>
        <v>45736</v>
      </c>
      <c r="B100" s="166" t="str">
        <f>TEXT(Detalles2025[[#This Row],[Fecha]],"AAAA")</f>
        <v>2025</v>
      </c>
      <c r="C100" s="166" t="str">
        <f>TEXT(Detalles2025[[#This Row],[Fecha]],"MMMM")</f>
        <v>marzo</v>
      </c>
      <c r="D100" s="166" t="str">
        <f>TEXT(Detalles2025[[#This Row],[Fecha]],"DDDD")</f>
        <v>jueves</v>
      </c>
      <c r="E100" s="192" t="s">
        <v>511</v>
      </c>
      <c r="F100" s="193">
        <v>1</v>
      </c>
      <c r="G100" s="194">
        <v>12</v>
      </c>
      <c r="H100" s="269" t="str">
        <f>IF(G100=1,Leyenda!$C$3,IF(G100=2,Leyenda!$C$4,IF(G100=3,Leyenda!$C$5,IF(G100=4,Leyenda!$C$6,IF(G100=5,Leyenda!$C$7,IF(G100=6,Leyenda!$C$8,IF(G100=7,Leyenda!$C$9,IF(G100=8,Leyenda!$C$10," "))))))))&amp;IF(G100=9,Leyenda!$C$11,IF(G100=10,Leyenda!$C$12,IF(G100=11,Leyenda!$C$13,IF(G100=12,Leyenda!$C$14," "))))</f>
        <v xml:space="preserve"> GASTOS MENORES</v>
      </c>
      <c r="I100" s="276">
        <v>0</v>
      </c>
      <c r="K100" s="258">
        <v>202503</v>
      </c>
      <c r="L100" s="191">
        <v>20</v>
      </c>
      <c r="M100" s="191"/>
      <c r="O100" s="197">
        <v>0</v>
      </c>
      <c r="P100" s="205">
        <v>1390</v>
      </c>
      <c r="Q100" s="198">
        <f t="shared" si="14"/>
        <v>1390</v>
      </c>
      <c r="R100" s="199">
        <v>0</v>
      </c>
      <c r="S100" s="199"/>
      <c r="T100" s="199"/>
      <c r="U100" s="199">
        <v>0</v>
      </c>
      <c r="V100" s="199"/>
      <c r="W100" s="199"/>
      <c r="X100" s="199"/>
      <c r="Y100" s="199"/>
      <c r="Z100" s="199"/>
      <c r="AA100" s="199">
        <v>0</v>
      </c>
      <c r="AB100" s="199">
        <v>0</v>
      </c>
      <c r="AC100" s="199">
        <v>0</v>
      </c>
      <c r="AD100" s="199">
        <f>SUM(Detalles2025[[#This Row],[Monto Facturado]:[Monto Propina Legal]])</f>
        <v>1390</v>
      </c>
      <c r="AE100" s="199" t="s">
        <v>1714</v>
      </c>
      <c r="AF100" s="200" t="str">
        <f>IFERROR(VLOOKUP(E100,Tabla3[],2,0),"No Registrado")</f>
        <v>Bravo, S.A.//Supermercados Bravo</v>
      </c>
      <c r="AG100" s="200" t="s">
        <v>1790</v>
      </c>
      <c r="AH100" s="199" t="s">
        <v>1161</v>
      </c>
    </row>
    <row r="101" spans="1:34" ht="16.5" x14ac:dyDescent="0.3">
      <c r="A101" s="166">
        <f t="shared" si="13"/>
        <v>45736</v>
      </c>
      <c r="B101" s="166" t="str">
        <f>TEXT(Detalles2025[[#This Row],[Fecha]],"AAAA")</f>
        <v>2025</v>
      </c>
      <c r="C101" s="166" t="str">
        <f>TEXT(Detalles2025[[#This Row],[Fecha]],"MMMM")</f>
        <v>marzo</v>
      </c>
      <c r="D101" s="166" t="str">
        <f>TEXT(Detalles2025[[#This Row],[Fecha]],"DDDD")</f>
        <v>jueves</v>
      </c>
      <c r="E101" s="192" t="s">
        <v>1792</v>
      </c>
      <c r="F101" s="193">
        <v>1</v>
      </c>
      <c r="G101" s="194">
        <v>12</v>
      </c>
      <c r="H101" s="272" t="str">
        <f>IF(G101=1,Leyenda!$C$3,IF(G101=2,Leyenda!$C$4,IF(G101=3,Leyenda!$C$5,IF(G101=4,Leyenda!$C$6,IF(G101=5,Leyenda!$C$7,IF(G101=6,Leyenda!$C$8,IF(G101=7,Leyenda!$C$9,IF(G101=8,Leyenda!$C$10," "))))))))&amp;IF(G101=9,Leyenda!$C$11,IF(G101=10,Leyenda!$C$12,IF(G101=11,Leyenda!$C$13,IF(G101=12,Leyenda!$C$14," "))))</f>
        <v xml:space="preserve"> GASTOS MENORES</v>
      </c>
      <c r="I101" s="277">
        <v>0</v>
      </c>
      <c r="K101" s="258">
        <v>202503</v>
      </c>
      <c r="L101" s="191">
        <v>20</v>
      </c>
      <c r="M101" s="191"/>
      <c r="O101" s="273">
        <v>1364</v>
      </c>
      <c r="P101" s="274">
        <v>0</v>
      </c>
      <c r="Q101" s="198">
        <f t="shared" ref="Q101" si="15">SUM(O101:P101)</f>
        <v>1364</v>
      </c>
      <c r="R101" s="275">
        <v>0</v>
      </c>
      <c r="S101" s="275"/>
      <c r="T101" s="275"/>
      <c r="U101" s="275">
        <v>0</v>
      </c>
      <c r="V101" s="275"/>
      <c r="W101" s="275"/>
      <c r="X101" s="275"/>
      <c r="Y101" s="275"/>
      <c r="Z101" s="275"/>
      <c r="AA101" s="275">
        <v>0</v>
      </c>
      <c r="AB101" s="275">
        <v>0</v>
      </c>
      <c r="AC101" s="275">
        <v>0</v>
      </c>
      <c r="AD101" s="275">
        <f>SUM(Detalles2025[[#This Row],[Monto Facturado]:[Monto Propina Legal]])</f>
        <v>1364</v>
      </c>
      <c r="AE101" s="275" t="s">
        <v>1714</v>
      </c>
      <c r="AF101" s="200" t="str">
        <f>IFERROR(VLOOKUP(E101,Tabla3[],2,0),"No Registrado")</f>
        <v>No Registrado</v>
      </c>
      <c r="AG101" s="200" t="s">
        <v>1793</v>
      </c>
      <c r="AH101" s="199" t="s">
        <v>1720</v>
      </c>
    </row>
    <row r="102" spans="1:34" ht="16.5" x14ac:dyDescent="0.3">
      <c r="A102" s="166">
        <f t="shared" ref="A102:A103" si="16">DATE(LEFT(K102,4),RIGHT(K102,2),L102)</f>
        <v>45743</v>
      </c>
      <c r="B102" s="166" t="str">
        <f>TEXT(Detalles2025[[#This Row],[Fecha]],"AAAA")</f>
        <v>2025</v>
      </c>
      <c r="C102" s="166" t="str">
        <f>TEXT(Detalles2025[[#This Row],[Fecha]],"MMMM")</f>
        <v>marzo</v>
      </c>
      <c r="D102" s="166" t="str">
        <f>TEXT(Detalles2025[[#This Row],[Fecha]],"DDDD")</f>
        <v>jueves</v>
      </c>
      <c r="E102" s="192" t="s">
        <v>1788</v>
      </c>
      <c r="F102" s="193">
        <v>1</v>
      </c>
      <c r="G102" s="194">
        <v>12</v>
      </c>
      <c r="H102" s="269" t="str">
        <f>IF(G102=1,Leyenda!$C$3,IF(G102=2,Leyenda!$C$4,IF(G102=3,Leyenda!$C$5,IF(G102=4,Leyenda!$C$6,IF(G102=5,Leyenda!$C$7,IF(G102=6,Leyenda!$C$8,IF(G102=7,Leyenda!$C$9,IF(G102=8,Leyenda!$C$10," "))))))))&amp;IF(G102=9,Leyenda!$C$11,IF(G102=10,Leyenda!$C$12,IF(G102=11,Leyenda!$C$13,IF(G102=12,Leyenda!$C$14," "))))</f>
        <v xml:space="preserve"> GASTOS MENORES</v>
      </c>
      <c r="I102" s="276">
        <v>0</v>
      </c>
      <c r="K102" s="258">
        <v>202503</v>
      </c>
      <c r="L102" s="191">
        <v>27</v>
      </c>
      <c r="M102" s="191"/>
      <c r="O102" s="197">
        <v>0</v>
      </c>
      <c r="P102" s="205">
        <v>2000</v>
      </c>
      <c r="Q102" s="198">
        <f t="shared" ref="Q102:Q129" si="17">SUM(O102:P102)</f>
        <v>2000</v>
      </c>
      <c r="R102" s="199"/>
      <c r="S102" s="199"/>
      <c r="T102" s="199"/>
      <c r="U102" s="199"/>
      <c r="V102" s="199"/>
      <c r="W102" s="199"/>
      <c r="X102" s="199"/>
      <c r="Y102" s="199"/>
      <c r="Z102" s="199"/>
      <c r="AA102" s="199"/>
      <c r="AB102" s="199"/>
      <c r="AC102" s="199"/>
      <c r="AD102" s="199">
        <f>SUM(Detalles2025[[#This Row],[Monto Facturado]:[Monto Propina Legal]])</f>
        <v>2000</v>
      </c>
      <c r="AE102" s="199" t="s">
        <v>1725</v>
      </c>
      <c r="AF102" s="200" t="str">
        <f>IFERROR(VLOOKUP(E102,Tabla3[],2,0),"No Registrado")</f>
        <v>No Registrado</v>
      </c>
      <c r="AG102" s="200" t="s">
        <v>1789</v>
      </c>
      <c r="AH102" s="199" t="s">
        <v>1165</v>
      </c>
    </row>
    <row r="103" spans="1:34" ht="16.5" x14ac:dyDescent="0.3">
      <c r="A103" s="166">
        <f t="shared" si="16"/>
        <v>45743</v>
      </c>
      <c r="B103" s="166" t="str">
        <f>TEXT(Detalles2025[[#This Row],[Fecha]],"AAAA")</f>
        <v>2025</v>
      </c>
      <c r="C103" s="166" t="str">
        <f>TEXT(Detalles2025[[#This Row],[Fecha]],"MMMM")</f>
        <v>marzo</v>
      </c>
      <c r="D103" s="166" t="str">
        <f>TEXT(Detalles2025[[#This Row],[Fecha]],"DDDD")</f>
        <v>jueves</v>
      </c>
      <c r="E103" s="192" t="s">
        <v>1788</v>
      </c>
      <c r="F103" s="193">
        <v>1</v>
      </c>
      <c r="G103" s="194">
        <v>12</v>
      </c>
      <c r="H103" s="269" t="str">
        <f>IF(G103=1,Leyenda!$C$3,IF(G103=2,Leyenda!$C$4,IF(G103=3,Leyenda!$C$5,IF(G103=4,Leyenda!$C$6,IF(G103=5,Leyenda!$C$7,IF(G103=6,Leyenda!$C$8,IF(G103=7,Leyenda!$C$9,IF(G103=8,Leyenda!$C$10," "))))))))&amp;IF(G103=9,Leyenda!$C$11,IF(G103=10,Leyenda!$C$12,IF(G103=11,Leyenda!$C$13,IF(G103=12,Leyenda!$C$14," "))))</f>
        <v xml:space="preserve"> GASTOS MENORES</v>
      </c>
      <c r="I103" s="276">
        <v>0</v>
      </c>
      <c r="K103" s="258">
        <v>202503</v>
      </c>
      <c r="L103" s="191">
        <v>27</v>
      </c>
      <c r="M103" s="191"/>
      <c r="O103" s="197">
        <v>0</v>
      </c>
      <c r="P103" s="205">
        <v>2000</v>
      </c>
      <c r="Q103" s="198">
        <f t="shared" si="17"/>
        <v>2000</v>
      </c>
      <c r="R103" s="199"/>
      <c r="S103" s="199"/>
      <c r="T103" s="199"/>
      <c r="U103" s="199"/>
      <c r="V103" s="199"/>
      <c r="W103" s="199"/>
      <c r="X103" s="199"/>
      <c r="Y103" s="199"/>
      <c r="Z103" s="199"/>
      <c r="AA103" s="199"/>
      <c r="AB103" s="199"/>
      <c r="AC103" s="199"/>
      <c r="AD103" s="199">
        <f>SUM(Detalles2025[[#This Row],[Monto Facturado]:[Monto Propina Legal]])</f>
        <v>2000</v>
      </c>
      <c r="AE103" s="199" t="s">
        <v>1725</v>
      </c>
      <c r="AF103" s="200" t="str">
        <f>IFERROR(VLOOKUP(E103,Tabla3[],2,0),"No Registrado")</f>
        <v>No Registrado</v>
      </c>
      <c r="AG103" s="200" t="s">
        <v>1789</v>
      </c>
      <c r="AH103" s="199" t="s">
        <v>1168</v>
      </c>
    </row>
    <row r="104" spans="1:34" ht="16.5" x14ac:dyDescent="0.3">
      <c r="A104" s="166">
        <f t="shared" ref="A104" si="18">DATE(LEFT(K104,4),RIGHT(K104,2),L104)</f>
        <v>45728</v>
      </c>
      <c r="B104" s="166" t="str">
        <f>TEXT(Detalles2025[[#This Row],[Fecha]],"AAAA")</f>
        <v>2025</v>
      </c>
      <c r="C104" s="166" t="str">
        <f>TEXT(Detalles2025[[#This Row],[Fecha]],"MMMM")</f>
        <v>marzo</v>
      </c>
      <c r="D104" s="166" t="str">
        <f>TEXT(Detalles2025[[#This Row],[Fecha]],"DDDD")</f>
        <v>miércoles</v>
      </c>
      <c r="E104" s="192" t="s">
        <v>1108</v>
      </c>
      <c r="F104" s="193">
        <v>1</v>
      </c>
      <c r="G104" s="194">
        <v>2</v>
      </c>
      <c r="H104" s="269" t="str">
        <f>IF(G104=1,Leyenda!$C$3,IF(G104=2,Leyenda!$C$4,IF(G104=3,Leyenda!$C$5,IF(G104=4,Leyenda!$C$6,IF(G104=5,Leyenda!$C$7,IF(G104=6,Leyenda!$C$8,IF(G104=7,Leyenda!$C$9,IF(G104=8,Leyenda!$C$10," "))))))))&amp;IF(G104=9,Leyenda!$C$11,IF(G104=10,Leyenda!$C$12,IF(G104=11,Leyenda!$C$13,IF(G104=12,Leyenda!$C$14," "))))</f>
        <v xml:space="preserve">GASTOS POR TRABAJOS, SUMINISTROS Y SERVICIOS </v>
      </c>
      <c r="I104" s="196" t="s">
        <v>1181</v>
      </c>
      <c r="K104" s="258">
        <v>202503</v>
      </c>
      <c r="L104" s="191">
        <v>12</v>
      </c>
      <c r="M104" s="191"/>
      <c r="O104" s="280">
        <v>0</v>
      </c>
      <c r="P104" s="76">
        <v>1578</v>
      </c>
      <c r="Q104" s="198">
        <f t="shared" si="17"/>
        <v>1578</v>
      </c>
      <c r="R104" s="199">
        <v>0</v>
      </c>
      <c r="S104" s="199"/>
      <c r="T104" s="199"/>
      <c r="U104" s="199">
        <v>0</v>
      </c>
      <c r="V104" s="199"/>
      <c r="W104" s="199"/>
      <c r="X104" s="199"/>
      <c r="Y104" s="199"/>
      <c r="Z104" s="199"/>
      <c r="AA104" s="199">
        <v>0</v>
      </c>
      <c r="AB104" s="199">
        <v>0</v>
      </c>
      <c r="AC104" s="199">
        <v>0</v>
      </c>
      <c r="AD104" s="199">
        <f>SUM(Detalles2025[[#This Row],[Monto Facturado]:[Monto Propina Legal]])</f>
        <v>1578</v>
      </c>
      <c r="AE104" s="283" t="s">
        <v>1714</v>
      </c>
      <c r="AF104" s="200" t="str">
        <f>IFERROR(VLOOKUP(E104,Tabla3[],2,0),"No Registrado")</f>
        <v>Envasadora Gas Caribe Principal</v>
      </c>
      <c r="AG104" s="200" t="s">
        <v>1798</v>
      </c>
      <c r="AH104" s="199" t="s">
        <v>1720</v>
      </c>
    </row>
    <row r="105" spans="1:34" ht="16.5" x14ac:dyDescent="0.3">
      <c r="A105" s="166">
        <f t="shared" ref="A105:A126" si="19">DATE(LEFT(K105,4),RIGHT(K105,2),L105)</f>
        <v>45722</v>
      </c>
      <c r="B105" s="166" t="str">
        <f>TEXT(Detalles2025[[#This Row],[Fecha]],"AAAA")</f>
        <v>2025</v>
      </c>
      <c r="C105" s="166" t="str">
        <f>TEXT(Detalles2025[[#This Row],[Fecha]],"MMMM")</f>
        <v>marzo</v>
      </c>
      <c r="D105" s="166" t="str">
        <f>TEXT(Detalles2025[[#This Row],[Fecha]],"DDDD")</f>
        <v>jueves</v>
      </c>
      <c r="E105" s="192" t="s">
        <v>909</v>
      </c>
      <c r="F105" s="193">
        <v>1</v>
      </c>
      <c r="G105" s="194">
        <v>2</v>
      </c>
      <c r="H105" s="269" t="str">
        <f>IF(G105=1,Leyenda!$C$3,IF(G105=2,Leyenda!$C$4,IF(G105=3,Leyenda!$C$5,IF(G105=4,Leyenda!$C$6,IF(G105=5,Leyenda!$C$7,IF(G105=6,Leyenda!$C$8,IF(G105=7,Leyenda!$C$9,IF(G105=8,Leyenda!$C$10," "))))))))&amp;IF(G105=9,Leyenda!$C$11,IF(G105=10,Leyenda!$C$12,IF(G105=11,Leyenda!$C$13,IF(G105=12,Leyenda!$C$14," "))))</f>
        <v xml:space="preserve">GASTOS POR TRABAJOS, SUMINISTROS Y SERVICIOS </v>
      </c>
      <c r="I105" s="196" t="s">
        <v>1824</v>
      </c>
      <c r="K105" s="258">
        <v>202503</v>
      </c>
      <c r="L105" s="191">
        <v>6</v>
      </c>
      <c r="M105" s="191"/>
      <c r="O105" s="280">
        <v>0</v>
      </c>
      <c r="P105" s="76">
        <v>3358</v>
      </c>
      <c r="Q105" s="198">
        <f t="shared" si="17"/>
        <v>3358</v>
      </c>
      <c r="R105" s="199">
        <v>0</v>
      </c>
      <c r="S105" s="199"/>
      <c r="T105" s="199"/>
      <c r="U105" s="199">
        <v>0</v>
      </c>
      <c r="V105" s="199"/>
      <c r="W105" s="199"/>
      <c r="X105" s="199"/>
      <c r="Y105" s="199"/>
      <c r="Z105" s="199"/>
      <c r="AA105" s="199">
        <v>0</v>
      </c>
      <c r="AB105" s="199">
        <v>0</v>
      </c>
      <c r="AC105" s="199">
        <v>0</v>
      </c>
      <c r="AD105" s="199">
        <f>SUM(Detalles2025[[#This Row],[Monto Facturado]:[Monto Propina Legal]])</f>
        <v>3358</v>
      </c>
      <c r="AE105" s="283" t="s">
        <v>1714</v>
      </c>
      <c r="AF105" s="200" t="str">
        <f>IFERROR(VLOOKUP(E105,Tabla3[],2,0),"No Registrado")</f>
        <v>Strata, S.R.L.</v>
      </c>
      <c r="AG105" s="200" t="s">
        <v>1715</v>
      </c>
      <c r="AH105" s="199" t="s">
        <v>1716</v>
      </c>
    </row>
    <row r="106" spans="1:34" ht="16.5" x14ac:dyDescent="0.3">
      <c r="A106" s="166">
        <f t="shared" si="19"/>
        <v>45723</v>
      </c>
      <c r="B106" s="166" t="str">
        <f>TEXT(Detalles2025[[#This Row],[Fecha]],"AAAA")</f>
        <v>2025</v>
      </c>
      <c r="C106" s="166" t="str">
        <f>TEXT(Detalles2025[[#This Row],[Fecha]],"MMMM")</f>
        <v>marzo</v>
      </c>
      <c r="D106" s="166" t="str">
        <f>TEXT(Detalles2025[[#This Row],[Fecha]],"DDDD")</f>
        <v>viernes</v>
      </c>
      <c r="E106" s="192" t="s">
        <v>909</v>
      </c>
      <c r="F106" s="193">
        <v>1</v>
      </c>
      <c r="G106" s="194">
        <v>2</v>
      </c>
      <c r="H106" s="269" t="str">
        <f>IF(G106=1,Leyenda!$C$3,IF(G106=2,Leyenda!$C$4,IF(G106=3,Leyenda!$C$5,IF(G106=4,Leyenda!$C$6,IF(G106=5,Leyenda!$C$7,IF(G106=6,Leyenda!$C$8,IF(G106=7,Leyenda!$C$9,IF(G106=8,Leyenda!$C$10," "))))))))&amp;IF(G106=9,Leyenda!$C$11,IF(G106=10,Leyenda!$C$12,IF(G106=11,Leyenda!$C$13,IF(G106=12,Leyenda!$C$14," "))))</f>
        <v xml:space="preserve">GASTOS POR TRABAJOS, SUMINISTROS Y SERVICIOS </v>
      </c>
      <c r="I106" s="196" t="s">
        <v>1176</v>
      </c>
      <c r="K106" s="258">
        <v>202503</v>
      </c>
      <c r="L106" s="191">
        <v>7</v>
      </c>
      <c r="M106" s="191"/>
      <c r="O106" s="280">
        <v>0</v>
      </c>
      <c r="P106" s="76">
        <v>4867</v>
      </c>
      <c r="Q106" s="198">
        <f t="shared" si="17"/>
        <v>4867</v>
      </c>
      <c r="R106" s="199">
        <v>0</v>
      </c>
      <c r="S106" s="199"/>
      <c r="T106" s="199"/>
      <c r="U106" s="199">
        <v>0</v>
      </c>
      <c r="V106" s="199"/>
      <c r="W106" s="199"/>
      <c r="X106" s="199"/>
      <c r="Y106" s="199"/>
      <c r="Z106" s="199"/>
      <c r="AA106" s="199">
        <v>0</v>
      </c>
      <c r="AB106" s="199">
        <v>0</v>
      </c>
      <c r="AC106" s="199">
        <v>0</v>
      </c>
      <c r="AD106" s="199">
        <f>SUM(Detalles2025[[#This Row],[Monto Facturado]:[Monto Propina Legal]])</f>
        <v>4867</v>
      </c>
      <c r="AE106" s="283" t="s">
        <v>1714</v>
      </c>
      <c r="AF106" s="200" t="str">
        <f>IFERROR(VLOOKUP(E106,Tabla3[],2,0),"No Registrado")</f>
        <v>Strata, S.R.L.</v>
      </c>
      <c r="AG106" s="200" t="s">
        <v>1173</v>
      </c>
      <c r="AH106" s="199" t="s">
        <v>1717</v>
      </c>
    </row>
    <row r="107" spans="1:34" ht="16.5" x14ac:dyDescent="0.3">
      <c r="A107" s="166">
        <f t="shared" si="19"/>
        <v>45738</v>
      </c>
      <c r="B107" s="166" t="str">
        <f>TEXT(Detalles2025[[#This Row],[Fecha]],"AAAA")</f>
        <v>2025</v>
      </c>
      <c r="C107" s="166" t="str">
        <f>TEXT(Detalles2025[[#This Row],[Fecha]],"MMMM")</f>
        <v>marzo</v>
      </c>
      <c r="D107" s="166" t="str">
        <f>TEXT(Detalles2025[[#This Row],[Fecha]],"DDDD")</f>
        <v>sábado</v>
      </c>
      <c r="E107" s="192" t="s">
        <v>909</v>
      </c>
      <c r="F107" s="193">
        <v>1</v>
      </c>
      <c r="G107" s="194">
        <v>2</v>
      </c>
      <c r="H107" s="269" t="str">
        <f>IF(G107=1,Leyenda!$C$3,IF(G107=2,Leyenda!$C$4,IF(G107=3,Leyenda!$C$5,IF(G107=4,Leyenda!$C$6,IF(G107=5,Leyenda!$C$7,IF(G107=6,Leyenda!$C$8,IF(G107=7,Leyenda!$C$9,IF(G107=8,Leyenda!$C$10," "))))))))&amp;IF(G107=9,Leyenda!$C$11,IF(G107=10,Leyenda!$C$12,IF(G107=11,Leyenda!$C$13,IF(G107=12,Leyenda!$C$14," "))))</f>
        <v xml:space="preserve">GASTOS POR TRABAJOS, SUMINISTROS Y SERVICIOS </v>
      </c>
      <c r="I107" s="196" t="s">
        <v>1175</v>
      </c>
      <c r="K107" s="258">
        <v>202503</v>
      </c>
      <c r="L107" s="191">
        <v>22</v>
      </c>
      <c r="M107" s="191"/>
      <c r="O107" s="280">
        <v>0</v>
      </c>
      <c r="P107" s="76">
        <v>4822.8999999999996</v>
      </c>
      <c r="Q107" s="198">
        <f t="shared" si="17"/>
        <v>4822.8999999999996</v>
      </c>
      <c r="R107" s="199">
        <v>0</v>
      </c>
      <c r="S107" s="199"/>
      <c r="T107" s="199"/>
      <c r="U107" s="199">
        <v>0</v>
      </c>
      <c r="V107" s="199"/>
      <c r="W107" s="199"/>
      <c r="X107" s="199"/>
      <c r="Y107" s="199"/>
      <c r="Z107" s="199"/>
      <c r="AA107" s="199">
        <v>0</v>
      </c>
      <c r="AB107" s="199">
        <v>0</v>
      </c>
      <c r="AC107" s="199">
        <v>0</v>
      </c>
      <c r="AD107" s="199">
        <f>SUM(Detalles2025[[#This Row],[Monto Facturado]:[Monto Propina Legal]])</f>
        <v>4822.8999999999996</v>
      </c>
      <c r="AE107" s="283" t="s">
        <v>1714</v>
      </c>
      <c r="AF107" s="200" t="str">
        <f>IFERROR(VLOOKUP(E107,Tabla3[],2,0),"No Registrado")</f>
        <v>Strata, S.R.L.</v>
      </c>
      <c r="AG107" s="200" t="s">
        <v>1173</v>
      </c>
      <c r="AH107" s="199" t="s">
        <v>1717</v>
      </c>
    </row>
    <row r="108" spans="1:34" ht="16.5" x14ac:dyDescent="0.3">
      <c r="A108" s="166">
        <f>DATE(LEFT(K108,4),RIGHT(K108,2),L108)</f>
        <v>45742</v>
      </c>
      <c r="B108" s="166" t="str">
        <f>TEXT(Detalles2025[[#This Row],[Fecha]],"AAAA")</f>
        <v>2025</v>
      </c>
      <c r="C108" s="166" t="str">
        <f>TEXT(Detalles2025[[#This Row],[Fecha]],"MMMM")</f>
        <v>marzo</v>
      </c>
      <c r="D108" s="166" t="str">
        <f>TEXT(Detalles2025[[#This Row],[Fecha]],"DDDD")</f>
        <v>miércoles</v>
      </c>
      <c r="E108" s="192" t="s">
        <v>1724</v>
      </c>
      <c r="F108" s="193">
        <v>1</v>
      </c>
      <c r="G108" s="194">
        <v>12</v>
      </c>
      <c r="H108" s="269" t="str">
        <f>IF(G108=1,Leyenda!$C$3,IF(G108=2,Leyenda!$C$4,IF(G108=3,Leyenda!$C$5,IF(G108=4,Leyenda!$C$6,IF(G108=5,Leyenda!$C$7,IF(G108=6,Leyenda!$C$8,IF(G108=7,Leyenda!$C$9,IF(G108=8,Leyenda!$C$10," "))))))))&amp;IF(G108=9,Leyenda!$C$11,IF(G108=10,Leyenda!$C$12,IF(G108=11,Leyenda!$C$13,IF(G108=12,Leyenda!$C$14," "))))</f>
        <v xml:space="preserve"> GASTOS MENORES</v>
      </c>
      <c r="I108" s="196">
        <v>0</v>
      </c>
      <c r="K108" s="258">
        <v>202503</v>
      </c>
      <c r="L108" s="191">
        <v>26</v>
      </c>
      <c r="M108" s="191"/>
      <c r="O108" s="197">
        <v>0</v>
      </c>
      <c r="P108" s="197">
        <v>6000</v>
      </c>
      <c r="Q108" s="198">
        <f t="shared" si="17"/>
        <v>6000</v>
      </c>
      <c r="R108" s="199">
        <v>0</v>
      </c>
      <c r="S108" s="199">
        <v>0</v>
      </c>
      <c r="T108" s="199">
        <v>0</v>
      </c>
      <c r="U108" s="199">
        <v>0</v>
      </c>
      <c r="V108" s="199">
        <v>0</v>
      </c>
      <c r="W108" s="199">
        <v>0</v>
      </c>
      <c r="X108" s="199">
        <v>0</v>
      </c>
      <c r="Y108" s="199">
        <v>0</v>
      </c>
      <c r="Z108" s="199">
        <v>0</v>
      </c>
      <c r="AA108" s="199">
        <v>0</v>
      </c>
      <c r="AB108" s="199">
        <v>0</v>
      </c>
      <c r="AC108" s="199">
        <v>0</v>
      </c>
      <c r="AD108" s="199">
        <f>SUM(Detalles2025[[#This Row],[Monto Facturado]:[Monto Propina Legal]])</f>
        <v>6000</v>
      </c>
      <c r="AE108" s="199" t="s">
        <v>1725</v>
      </c>
      <c r="AF108" s="200" t="str">
        <f>IFERROR(VLOOKUP(E108,Tabla3[],2,0),"No Registrado")</f>
        <v>No Registrado</v>
      </c>
      <c r="AG108" s="200" t="s">
        <v>1726</v>
      </c>
      <c r="AH108" s="199" t="s">
        <v>1727</v>
      </c>
    </row>
    <row r="109" spans="1:34" ht="16.5" x14ac:dyDescent="0.3">
      <c r="A109" s="166">
        <f>DATE(LEFT(K109,4),RIGHT(K109,2),L109)</f>
        <v>45742</v>
      </c>
      <c r="B109" s="166" t="str">
        <f>TEXT(Detalles2025[[#This Row],[Fecha]],"AAAA")</f>
        <v>2025</v>
      </c>
      <c r="C109" s="166" t="str">
        <f>TEXT(Detalles2025[[#This Row],[Fecha]],"MMMM")</f>
        <v>marzo</v>
      </c>
      <c r="D109" s="166" t="str">
        <f>TEXT(Detalles2025[[#This Row],[Fecha]],"DDDD")</f>
        <v>miércoles</v>
      </c>
      <c r="E109" s="192" t="s">
        <v>1728</v>
      </c>
      <c r="F109" s="193">
        <v>1</v>
      </c>
      <c r="G109" s="194">
        <v>12</v>
      </c>
      <c r="H109" s="269" t="str">
        <f>IF(G109=1,Leyenda!$C$3,IF(G109=2,Leyenda!$C$4,IF(G109=3,Leyenda!$C$5,IF(G109=4,Leyenda!$C$6,IF(G109=5,Leyenda!$C$7,IF(G109=6,Leyenda!$C$8,IF(G109=7,Leyenda!$C$9,IF(G109=8,Leyenda!$C$10," "))))))))&amp;IF(G109=9,Leyenda!$C$11,IF(G109=10,Leyenda!$C$12,IF(G109=11,Leyenda!$C$13,IF(G109=12,Leyenda!$C$14," "))))</f>
        <v xml:space="preserve"> GASTOS MENORES</v>
      </c>
      <c r="I109" s="196">
        <v>0</v>
      </c>
      <c r="K109" s="258">
        <v>202503</v>
      </c>
      <c r="L109" s="191">
        <v>26</v>
      </c>
      <c r="M109" s="191"/>
      <c r="O109" s="197">
        <v>0</v>
      </c>
      <c r="P109" s="197">
        <v>3000</v>
      </c>
      <c r="Q109" s="198">
        <f t="shared" si="17"/>
        <v>3000</v>
      </c>
      <c r="R109" s="199">
        <v>0</v>
      </c>
      <c r="S109" s="199">
        <v>0</v>
      </c>
      <c r="T109" s="199">
        <v>0</v>
      </c>
      <c r="U109" s="199">
        <v>0</v>
      </c>
      <c r="V109" s="199">
        <v>0</v>
      </c>
      <c r="W109" s="199">
        <v>0</v>
      </c>
      <c r="X109" s="199">
        <v>0</v>
      </c>
      <c r="Y109" s="199">
        <v>0</v>
      </c>
      <c r="Z109" s="199">
        <v>0</v>
      </c>
      <c r="AA109" s="199">
        <v>0</v>
      </c>
      <c r="AB109" s="199">
        <v>0</v>
      </c>
      <c r="AC109" s="199">
        <v>0</v>
      </c>
      <c r="AD109" s="199">
        <f>SUM(Detalles2025[[#This Row],[Monto Facturado]:[Monto Propina Legal]])</f>
        <v>3000</v>
      </c>
      <c r="AE109" s="199" t="s">
        <v>1725</v>
      </c>
      <c r="AF109" s="200" t="str">
        <f>IFERROR(VLOOKUP(E109,Tabla3[],2,0),"No Registrado")</f>
        <v>No Registrado</v>
      </c>
      <c r="AG109" s="200" t="s">
        <v>1726</v>
      </c>
      <c r="AH109" s="199" t="s">
        <v>1161</v>
      </c>
    </row>
    <row r="110" spans="1:34" ht="16.5" x14ac:dyDescent="0.3">
      <c r="A110" s="166">
        <f>DATE(LEFT(K110,4),RIGHT(K110,2),L110)</f>
        <v>45742</v>
      </c>
      <c r="B110" s="166" t="str">
        <f>TEXT(Detalles2025[[#This Row],[Fecha]],"AAAA")</f>
        <v>2025</v>
      </c>
      <c r="C110" s="166" t="str">
        <f>TEXT(Detalles2025[[#This Row],[Fecha]],"MMMM")</f>
        <v>marzo</v>
      </c>
      <c r="D110" s="166" t="str">
        <f>TEXT(Detalles2025[[#This Row],[Fecha]],"DDDD")</f>
        <v>miércoles</v>
      </c>
      <c r="E110" s="192" t="s">
        <v>1729</v>
      </c>
      <c r="F110" s="193">
        <v>1</v>
      </c>
      <c r="G110" s="194">
        <v>12</v>
      </c>
      <c r="H110" s="269" t="str">
        <f>IF(G110=1,Leyenda!$C$3,IF(G110=2,Leyenda!$C$4,IF(G110=3,Leyenda!$C$5,IF(G110=4,Leyenda!$C$6,IF(G110=5,Leyenda!$C$7,IF(G110=6,Leyenda!$C$8,IF(G110=7,Leyenda!$C$9,IF(G110=8,Leyenda!$C$10," "))))))))&amp;IF(G110=9,Leyenda!$C$11,IF(G110=10,Leyenda!$C$12,IF(G110=11,Leyenda!$C$13,IF(G110=12,Leyenda!$C$14," "))))</f>
        <v xml:space="preserve"> GASTOS MENORES</v>
      </c>
      <c r="I110" s="196">
        <v>0</v>
      </c>
      <c r="K110" s="258">
        <v>202503</v>
      </c>
      <c r="L110" s="191">
        <v>26</v>
      </c>
      <c r="M110" s="191"/>
      <c r="O110" s="197">
        <v>0</v>
      </c>
      <c r="P110" s="197">
        <v>1500</v>
      </c>
      <c r="Q110" s="198">
        <f t="shared" si="17"/>
        <v>1500</v>
      </c>
      <c r="R110" s="199">
        <v>0</v>
      </c>
      <c r="S110" s="199">
        <v>0</v>
      </c>
      <c r="T110" s="199">
        <v>0</v>
      </c>
      <c r="U110" s="199">
        <v>0</v>
      </c>
      <c r="V110" s="199">
        <v>0</v>
      </c>
      <c r="W110" s="199">
        <v>0</v>
      </c>
      <c r="X110" s="199">
        <v>0</v>
      </c>
      <c r="Y110" s="199">
        <v>0</v>
      </c>
      <c r="Z110" s="199">
        <v>0</v>
      </c>
      <c r="AA110" s="199">
        <v>0</v>
      </c>
      <c r="AB110" s="199">
        <v>0</v>
      </c>
      <c r="AC110" s="199">
        <v>0</v>
      </c>
      <c r="AD110" s="199">
        <f>SUM(Detalles2025[[#This Row],[Monto Facturado]:[Monto Propina Legal]])</f>
        <v>1500</v>
      </c>
      <c r="AE110" s="199" t="s">
        <v>1730</v>
      </c>
      <c r="AF110" s="200" t="str">
        <f>IFERROR(VLOOKUP(E110,Tabla3[],2,0),"No Registrado")</f>
        <v>No Registrado</v>
      </c>
      <c r="AG110" s="200" t="s">
        <v>1726</v>
      </c>
      <c r="AH110" s="199" t="s">
        <v>1168</v>
      </c>
    </row>
    <row r="111" spans="1:34" ht="16.5" x14ac:dyDescent="0.3">
      <c r="A111" s="166">
        <f>DATE(LEFT(K111,4),RIGHT(K111,2),L111)</f>
        <v>45742</v>
      </c>
      <c r="B111" s="166" t="str">
        <f>TEXT(Detalles2025[[#This Row],[Fecha]],"AAAA")</f>
        <v>2025</v>
      </c>
      <c r="C111" s="166" t="str">
        <f>TEXT(Detalles2025[[#This Row],[Fecha]],"MMMM")</f>
        <v>marzo</v>
      </c>
      <c r="D111" s="166" t="str">
        <f>TEXT(Detalles2025[[#This Row],[Fecha]],"DDDD")</f>
        <v>miércoles</v>
      </c>
      <c r="E111" s="192" t="s">
        <v>1731</v>
      </c>
      <c r="F111" s="193">
        <v>1</v>
      </c>
      <c r="G111" s="194">
        <v>12</v>
      </c>
      <c r="H111" s="269" t="str">
        <f>IF(G111=1,Leyenda!$C$3,IF(G111=2,Leyenda!$C$4,IF(G111=3,Leyenda!$C$5,IF(G111=4,Leyenda!$C$6,IF(G111=5,Leyenda!$C$7,IF(G111=6,Leyenda!$C$8,IF(G111=7,Leyenda!$C$9,IF(G111=8,Leyenda!$C$10," "))))))))&amp;IF(G111=9,Leyenda!$C$11,IF(G111=10,Leyenda!$C$12,IF(G111=11,Leyenda!$C$13,IF(G111=12,Leyenda!$C$14," "))))</f>
        <v xml:space="preserve"> GASTOS MENORES</v>
      </c>
      <c r="I111" s="196">
        <v>0</v>
      </c>
      <c r="K111" s="258">
        <v>202503</v>
      </c>
      <c r="L111" s="191">
        <v>26</v>
      </c>
      <c r="M111" s="191"/>
      <c r="O111" s="197">
        <v>0</v>
      </c>
      <c r="P111" s="197">
        <v>500</v>
      </c>
      <c r="Q111" s="198">
        <f t="shared" si="17"/>
        <v>500</v>
      </c>
      <c r="R111" s="199">
        <v>0</v>
      </c>
      <c r="S111" s="199">
        <v>0</v>
      </c>
      <c r="T111" s="199">
        <v>0</v>
      </c>
      <c r="U111" s="199">
        <v>0</v>
      </c>
      <c r="V111" s="199">
        <v>0</v>
      </c>
      <c r="W111" s="199">
        <v>0</v>
      </c>
      <c r="X111" s="199">
        <v>0</v>
      </c>
      <c r="Y111" s="199">
        <v>0</v>
      </c>
      <c r="Z111" s="199">
        <v>0</v>
      </c>
      <c r="AA111" s="199">
        <v>0</v>
      </c>
      <c r="AB111" s="199">
        <v>0</v>
      </c>
      <c r="AC111" s="199">
        <v>0</v>
      </c>
      <c r="AD111" s="199">
        <f>SUM(Detalles2025[[#This Row],[Monto Facturado]:[Monto Propina Legal]])</f>
        <v>500</v>
      </c>
      <c r="AE111" s="199" t="s">
        <v>1730</v>
      </c>
      <c r="AF111" s="200" t="str">
        <f>IFERROR(VLOOKUP(E111,Tabla3[],2,0),"No Registrado")</f>
        <v>No Registrado</v>
      </c>
      <c r="AG111" s="200" t="s">
        <v>1726</v>
      </c>
      <c r="AH111" s="199" t="s">
        <v>1732</v>
      </c>
    </row>
    <row r="112" spans="1:34" ht="16.5" x14ac:dyDescent="0.3">
      <c r="A112" s="166">
        <f>DATE(LEFT(K112,4),RIGHT(K112,2),L112)</f>
        <v>45742</v>
      </c>
      <c r="B112" s="166" t="str">
        <f>TEXT(Detalles2025[[#This Row],[Fecha]],"AAAA")</f>
        <v>2025</v>
      </c>
      <c r="C112" s="166" t="str">
        <f>TEXT(Detalles2025[[#This Row],[Fecha]],"MMMM")</f>
        <v>marzo</v>
      </c>
      <c r="D112" s="166" t="str">
        <f>TEXT(Detalles2025[[#This Row],[Fecha]],"DDDD")</f>
        <v>miércoles</v>
      </c>
      <c r="E112" s="192" t="s">
        <v>1733</v>
      </c>
      <c r="F112" s="193">
        <v>1</v>
      </c>
      <c r="G112" s="194">
        <v>12</v>
      </c>
      <c r="H112" s="269" t="str">
        <f>IF(G112=1,Leyenda!$C$3,IF(G112=2,Leyenda!$C$4,IF(G112=3,Leyenda!$C$5,IF(G112=4,Leyenda!$C$6,IF(G112=5,Leyenda!$C$7,IF(G112=6,Leyenda!$C$8,IF(G112=7,Leyenda!$C$9,IF(G112=8,Leyenda!$C$10," "))))))))&amp;IF(G112=9,Leyenda!$C$11,IF(G112=10,Leyenda!$C$12,IF(G112=11,Leyenda!$C$13,IF(G112=12,Leyenda!$C$14," "))))</f>
        <v xml:space="preserve"> GASTOS MENORES</v>
      </c>
      <c r="I112" s="196">
        <v>0</v>
      </c>
      <c r="K112" s="258">
        <v>202503</v>
      </c>
      <c r="L112" s="191">
        <v>26</v>
      </c>
      <c r="M112" s="191"/>
      <c r="O112" s="197">
        <v>0</v>
      </c>
      <c r="P112" s="197">
        <v>500</v>
      </c>
      <c r="Q112" s="198">
        <f t="shared" si="17"/>
        <v>500</v>
      </c>
      <c r="R112" s="199">
        <v>0</v>
      </c>
      <c r="S112" s="199">
        <v>0</v>
      </c>
      <c r="T112" s="199">
        <v>0</v>
      </c>
      <c r="U112" s="199">
        <v>0</v>
      </c>
      <c r="V112" s="199">
        <v>0</v>
      </c>
      <c r="W112" s="199">
        <v>0</v>
      </c>
      <c r="X112" s="199">
        <v>0</v>
      </c>
      <c r="Y112" s="199">
        <v>0</v>
      </c>
      <c r="Z112" s="199">
        <v>0</v>
      </c>
      <c r="AA112" s="199">
        <v>0</v>
      </c>
      <c r="AB112" s="199">
        <v>0</v>
      </c>
      <c r="AC112" s="199">
        <v>0</v>
      </c>
      <c r="AD112" s="199">
        <f>SUM(Detalles2025[[#This Row],[Monto Facturado]:[Monto Propina Legal]])</f>
        <v>500</v>
      </c>
      <c r="AE112" s="199" t="s">
        <v>1730</v>
      </c>
      <c r="AF112" s="200" t="str">
        <f>IFERROR(VLOOKUP(E112,Tabla3[],2,0),"No Registrado")</f>
        <v>No Registrado</v>
      </c>
      <c r="AG112" s="200" t="s">
        <v>1726</v>
      </c>
      <c r="AH112" s="199" t="s">
        <v>1165</v>
      </c>
    </row>
    <row r="113" spans="1:34" ht="16.5" x14ac:dyDescent="0.3">
      <c r="A113" s="166">
        <f t="shared" si="19"/>
        <v>45738</v>
      </c>
      <c r="B113" s="166" t="str">
        <f>TEXT(Detalles2025[[#This Row],[Fecha]],"AAAA")</f>
        <v>2025</v>
      </c>
      <c r="C113" s="166" t="str">
        <f>TEXT(Detalles2025[[#This Row],[Fecha]],"MMMM")</f>
        <v>marzo</v>
      </c>
      <c r="D113" s="166" t="str">
        <f>TEXT(Detalles2025[[#This Row],[Fecha]],"DDDD")</f>
        <v>sábado</v>
      </c>
      <c r="E113" s="192" t="s">
        <v>909</v>
      </c>
      <c r="F113" s="193">
        <v>1</v>
      </c>
      <c r="G113" s="194">
        <v>2</v>
      </c>
      <c r="H113" s="269" t="str">
        <f>IF(G113=1,Leyenda!$C$3,IF(G113=2,Leyenda!$C$4,IF(G113=3,Leyenda!$C$5,IF(G113=4,Leyenda!$C$6,IF(G113=5,Leyenda!$C$7,IF(G113=6,Leyenda!$C$8,IF(G113=7,Leyenda!$C$9,IF(G113=8,Leyenda!$C$10," "))))))))&amp;IF(G113=9,Leyenda!$C$11,IF(G113=10,Leyenda!$C$12,IF(G113=11,Leyenda!$C$13,IF(G113=12,Leyenda!$C$14," "))))</f>
        <v xml:space="preserve">GASTOS POR TRABAJOS, SUMINISTROS Y SERVICIOS </v>
      </c>
      <c r="I113" s="196" t="s">
        <v>1825</v>
      </c>
      <c r="K113" s="258">
        <v>202503</v>
      </c>
      <c r="L113" s="191">
        <v>22</v>
      </c>
      <c r="M113" s="191"/>
      <c r="O113" s="280">
        <v>0</v>
      </c>
      <c r="P113" s="76">
        <v>3564</v>
      </c>
      <c r="Q113" s="198">
        <f t="shared" si="17"/>
        <v>3564</v>
      </c>
      <c r="R113" s="199">
        <v>0</v>
      </c>
      <c r="S113" s="199"/>
      <c r="T113" s="199"/>
      <c r="U113" s="199">
        <v>0</v>
      </c>
      <c r="V113" s="199"/>
      <c r="W113" s="199"/>
      <c r="X113" s="199"/>
      <c r="Y113" s="199"/>
      <c r="Z113" s="199"/>
      <c r="AA113" s="199">
        <v>0</v>
      </c>
      <c r="AB113" s="199">
        <v>0</v>
      </c>
      <c r="AC113" s="199">
        <v>0</v>
      </c>
      <c r="AD113" s="199">
        <f>SUM(Detalles2025[[#This Row],[Monto Facturado]:[Monto Propina Legal]])</f>
        <v>3564</v>
      </c>
      <c r="AE113" s="283" t="s">
        <v>1714</v>
      </c>
      <c r="AF113" s="200" t="str">
        <f>IFERROR(VLOOKUP(E113,Tabla3[],2,0),"No Registrado")</f>
        <v>Strata, S.R.L.</v>
      </c>
      <c r="AG113" s="200" t="s">
        <v>1715</v>
      </c>
      <c r="AH113" s="199" t="s">
        <v>1716</v>
      </c>
    </row>
    <row r="114" spans="1:34" ht="16.5" x14ac:dyDescent="0.3">
      <c r="A114" s="166">
        <f t="shared" si="19"/>
        <v>45731</v>
      </c>
      <c r="B114" s="166" t="str">
        <f>TEXT(Detalles2025[[#This Row],[Fecha]],"AAAA")</f>
        <v>2025</v>
      </c>
      <c r="C114" s="166" t="str">
        <f>TEXT(Detalles2025[[#This Row],[Fecha]],"MMMM")</f>
        <v>marzo</v>
      </c>
      <c r="D114" s="166" t="str">
        <f>TEXT(Detalles2025[[#This Row],[Fecha]],"DDDD")</f>
        <v>sábado</v>
      </c>
      <c r="E114" s="192" t="s">
        <v>1124</v>
      </c>
      <c r="F114" s="193">
        <v>1</v>
      </c>
      <c r="G114" s="194">
        <v>2</v>
      </c>
      <c r="H114" s="269" t="str">
        <f>IF(G114=1,Leyenda!$C$3,IF(G114=2,Leyenda!$C$4,IF(G114=3,Leyenda!$C$5,IF(G114=4,Leyenda!$C$6,IF(G114=5,Leyenda!$C$7,IF(G114=6,Leyenda!$C$8,IF(G114=7,Leyenda!$C$9,IF(G114=8,Leyenda!$C$10," "))))))))&amp;IF(G114=9,Leyenda!$C$11,IF(G114=10,Leyenda!$C$12,IF(G114=11,Leyenda!$C$13,IF(G114=12,Leyenda!$C$14," "))))</f>
        <v xml:space="preserve">GASTOS POR TRABAJOS, SUMINISTROS Y SERVICIOS </v>
      </c>
      <c r="I114" s="196" t="s">
        <v>1826</v>
      </c>
      <c r="K114" s="258">
        <v>202503</v>
      </c>
      <c r="L114" s="191">
        <v>15</v>
      </c>
      <c r="M114" s="191"/>
      <c r="O114" s="280">
        <v>0</v>
      </c>
      <c r="P114" s="76">
        <v>656.78</v>
      </c>
      <c r="Q114" s="198">
        <f t="shared" si="17"/>
        <v>656.78</v>
      </c>
      <c r="R114" s="199">
        <v>118.22</v>
      </c>
      <c r="S114" s="199"/>
      <c r="T114" s="199"/>
      <c r="U114" s="199">
        <v>0</v>
      </c>
      <c r="V114" s="199"/>
      <c r="W114" s="199"/>
      <c r="X114" s="199"/>
      <c r="Y114" s="199"/>
      <c r="Z114" s="199"/>
      <c r="AA114" s="199">
        <v>0</v>
      </c>
      <c r="AB114" s="199">
        <v>0</v>
      </c>
      <c r="AC114" s="199">
        <v>0</v>
      </c>
      <c r="AD114" s="199">
        <f>SUM(Detalles2025[[#This Row],[Monto Facturado]:[Monto Propina Legal]])</f>
        <v>775</v>
      </c>
      <c r="AE114" s="283" t="s">
        <v>1714</v>
      </c>
      <c r="AF114" s="200" t="str">
        <f>IFERROR(VLOOKUP(E114,Tabla3[],2,0),"No Registrado")</f>
        <v>Little Ceasars Pizza Alma Rosa</v>
      </c>
      <c r="AG114" s="200" t="s">
        <v>1722</v>
      </c>
      <c r="AH114" s="199" t="s">
        <v>1723</v>
      </c>
    </row>
    <row r="115" spans="1:34" ht="16.5" x14ac:dyDescent="0.3">
      <c r="A115" s="166">
        <f t="shared" si="19"/>
        <v>45727</v>
      </c>
      <c r="B115" s="166" t="str">
        <f>TEXT(Detalles2025[[#This Row],[Fecha]],"AAAA")</f>
        <v>2025</v>
      </c>
      <c r="C115" s="166" t="str">
        <f>TEXT(Detalles2025[[#This Row],[Fecha]],"MMMM")</f>
        <v>marzo</v>
      </c>
      <c r="D115" s="166" t="str">
        <f>TEXT(Detalles2025[[#This Row],[Fecha]],"DDDD")</f>
        <v>martes</v>
      </c>
      <c r="E115" s="192" t="s">
        <v>1300</v>
      </c>
      <c r="F115" s="193">
        <v>1</v>
      </c>
      <c r="G115" s="194">
        <v>2</v>
      </c>
      <c r="H115" s="269" t="str">
        <f>IF(G115=1,Leyenda!$C$3,IF(G115=2,Leyenda!$C$4,IF(G115=3,Leyenda!$C$5,IF(G115=4,Leyenda!$C$6,IF(G115=5,Leyenda!$C$7,IF(G115=6,Leyenda!$C$8,IF(G115=7,Leyenda!$C$9,IF(G115=8,Leyenda!$C$10," "))))))))&amp;IF(G115=9,Leyenda!$C$11,IF(G115=10,Leyenda!$C$12,IF(G115=11,Leyenda!$C$13,IF(G115=12,Leyenda!$C$14," "))))</f>
        <v xml:space="preserve">GASTOS POR TRABAJOS, SUMINISTROS Y SERVICIOS </v>
      </c>
      <c r="I115" s="196" t="s">
        <v>1827</v>
      </c>
      <c r="K115" s="258">
        <v>202503</v>
      </c>
      <c r="L115" s="191">
        <v>11</v>
      </c>
      <c r="M115" s="191"/>
      <c r="O115" s="280">
        <v>0</v>
      </c>
      <c r="P115" s="76">
        <v>250</v>
      </c>
      <c r="Q115" s="198">
        <f t="shared" si="17"/>
        <v>250</v>
      </c>
      <c r="R115" s="199">
        <v>45</v>
      </c>
      <c r="S115" s="199"/>
      <c r="T115" s="199"/>
      <c r="U115" s="199">
        <v>0</v>
      </c>
      <c r="V115" s="199"/>
      <c r="W115" s="199"/>
      <c r="X115" s="199"/>
      <c r="Y115" s="199"/>
      <c r="Z115" s="199"/>
      <c r="AA115" s="199">
        <v>0</v>
      </c>
      <c r="AB115" s="199">
        <v>0</v>
      </c>
      <c r="AC115" s="199">
        <v>0</v>
      </c>
      <c r="AD115" s="199">
        <f>SUM(Detalles2025[[#This Row],[Monto Facturado]:[Monto Propina Legal]])</f>
        <v>295</v>
      </c>
      <c r="AE115" s="283" t="s">
        <v>1714</v>
      </c>
      <c r="AF115" s="200" t="str">
        <f>IFERROR(VLOOKUP(E115,Tabla3[],2,0),"No Registrado")</f>
        <v>No Registrado</v>
      </c>
      <c r="AG115" s="200" t="s">
        <v>1828</v>
      </c>
      <c r="AH115" s="199" t="s">
        <v>1720</v>
      </c>
    </row>
    <row r="116" spans="1:34" ht="16.5" x14ac:dyDescent="0.3">
      <c r="A116" s="166">
        <f t="shared" si="19"/>
        <v>45721</v>
      </c>
      <c r="B116" s="166" t="str">
        <f>TEXT(Detalles2025[[#This Row],[Fecha]],"AAAA")</f>
        <v>2025</v>
      </c>
      <c r="C116" s="166" t="str">
        <f>TEXT(Detalles2025[[#This Row],[Fecha]],"MMMM")</f>
        <v>marzo</v>
      </c>
      <c r="D116" s="166" t="str">
        <f>TEXT(Detalles2025[[#This Row],[Fecha]],"DDDD")</f>
        <v>miércoles</v>
      </c>
      <c r="E116" s="192" t="s">
        <v>533</v>
      </c>
      <c r="F116" s="193">
        <v>1</v>
      </c>
      <c r="G116" s="194">
        <v>2</v>
      </c>
      <c r="H116" s="269" t="str">
        <f>IF(G116=1,Leyenda!$C$3,IF(G116=2,Leyenda!$C$4,IF(G116=3,Leyenda!$C$5,IF(G116=4,Leyenda!$C$6,IF(G116=5,Leyenda!$C$7,IF(G116=6,Leyenda!$C$8,IF(G116=7,Leyenda!$C$9,IF(G116=8,Leyenda!$C$10," "))))))))&amp;IF(G116=9,Leyenda!$C$11,IF(G116=10,Leyenda!$C$12,IF(G116=11,Leyenda!$C$13,IF(G116=12,Leyenda!$C$14," "))))</f>
        <v xml:space="preserve">GASTOS POR TRABAJOS, SUMINISTROS Y SERVICIOS </v>
      </c>
      <c r="I116" s="196" t="s">
        <v>1829</v>
      </c>
      <c r="K116" s="258">
        <v>202503</v>
      </c>
      <c r="L116" s="191">
        <v>5</v>
      </c>
      <c r="M116" s="191"/>
      <c r="O116" s="280">
        <v>0</v>
      </c>
      <c r="P116" s="76">
        <v>2015.37</v>
      </c>
      <c r="Q116" s="198">
        <f t="shared" si="17"/>
        <v>2015.37</v>
      </c>
      <c r="R116" s="199">
        <v>0</v>
      </c>
      <c r="S116" s="199"/>
      <c r="T116" s="199"/>
      <c r="U116" s="199">
        <v>0</v>
      </c>
      <c r="V116" s="199"/>
      <c r="W116" s="199"/>
      <c r="X116" s="199"/>
      <c r="Y116" s="199"/>
      <c r="Z116" s="199"/>
      <c r="AA116" s="199">
        <v>0</v>
      </c>
      <c r="AB116" s="199">
        <v>0</v>
      </c>
      <c r="AC116" s="199">
        <v>0</v>
      </c>
      <c r="AD116" s="199">
        <f>SUM(Detalles2025[[#This Row],[Monto Facturado]:[Monto Propina Legal]])</f>
        <v>2015.37</v>
      </c>
      <c r="AE116" s="283" t="s">
        <v>1714</v>
      </c>
      <c r="AF116" s="200" t="str">
        <f>IFERROR(VLOOKUP(E116,Tabla3[],2,0),"No Registrado")</f>
        <v>Farmacía Medicar GBC, A. H.</v>
      </c>
      <c r="AG116" s="200" t="s">
        <v>1743</v>
      </c>
      <c r="AH116" s="199" t="s">
        <v>1720</v>
      </c>
    </row>
    <row r="117" spans="1:34" ht="16.5" x14ac:dyDescent="0.3">
      <c r="A117" s="166">
        <f t="shared" si="19"/>
        <v>45737</v>
      </c>
      <c r="B117" s="166" t="str">
        <f>TEXT(Detalles2025[[#This Row],[Fecha]],"AAAA")</f>
        <v>2025</v>
      </c>
      <c r="C117" s="166" t="str">
        <f>TEXT(Detalles2025[[#This Row],[Fecha]],"MMMM")</f>
        <v>marzo</v>
      </c>
      <c r="D117" s="166" t="str">
        <f>TEXT(Detalles2025[[#This Row],[Fecha]],"DDDD")</f>
        <v>viernes</v>
      </c>
      <c r="E117" s="192" t="s">
        <v>1138</v>
      </c>
      <c r="F117" s="193">
        <v>1</v>
      </c>
      <c r="G117" s="194">
        <v>2</v>
      </c>
      <c r="H117" s="269" t="str">
        <f>IF(G117=1,Leyenda!$C$3,IF(G117=2,Leyenda!$C$4,IF(G117=3,Leyenda!$C$5,IF(G117=4,Leyenda!$C$6,IF(G117=5,Leyenda!$C$7,IF(G117=6,Leyenda!$C$8,IF(G117=7,Leyenda!$C$9,IF(G117=8,Leyenda!$C$10," "))))))))&amp;IF(G117=9,Leyenda!$C$11,IF(G117=10,Leyenda!$C$12,IF(G117=11,Leyenda!$C$13,IF(G117=12,Leyenda!$C$14," "))))</f>
        <v xml:space="preserve">GASTOS POR TRABAJOS, SUMINISTROS Y SERVICIOS </v>
      </c>
      <c r="I117" s="196" t="s">
        <v>1830</v>
      </c>
      <c r="K117" s="258">
        <v>202503</v>
      </c>
      <c r="L117" s="191">
        <v>21</v>
      </c>
      <c r="M117" s="191"/>
      <c r="O117" s="280">
        <v>0</v>
      </c>
      <c r="P117" s="76">
        <f>2070-315.76</f>
        <v>1754.24</v>
      </c>
      <c r="Q117" s="198">
        <f t="shared" si="17"/>
        <v>1754.24</v>
      </c>
      <c r="R117" s="199">
        <v>315.76</v>
      </c>
      <c r="S117" s="199"/>
      <c r="T117" s="199"/>
      <c r="U117" s="199">
        <v>0</v>
      </c>
      <c r="V117" s="199"/>
      <c r="W117" s="199"/>
      <c r="X117" s="199"/>
      <c r="Y117" s="199"/>
      <c r="Z117" s="199"/>
      <c r="AA117" s="199">
        <v>0</v>
      </c>
      <c r="AB117" s="199">
        <v>0</v>
      </c>
      <c r="AC117" s="199">
        <v>0</v>
      </c>
      <c r="AD117" s="199">
        <f>SUM(Detalles2025[[#This Row],[Monto Facturado]:[Monto Propina Legal]])</f>
        <v>2070</v>
      </c>
      <c r="AE117" s="283" t="s">
        <v>1714</v>
      </c>
      <c r="AF117" s="200" t="str">
        <f>IFERROR(VLOOKUP(E117,Tabla3[],2,0),"No Registrado")</f>
        <v>Almacenes Garrido</v>
      </c>
      <c r="AG117" s="200" t="s">
        <v>1831</v>
      </c>
      <c r="AH117" s="199" t="s">
        <v>1720</v>
      </c>
    </row>
    <row r="118" spans="1:34" ht="16.5" x14ac:dyDescent="0.3">
      <c r="A118" s="166">
        <f t="shared" si="19"/>
        <v>45742</v>
      </c>
      <c r="B118" s="166" t="str">
        <f>TEXT(Detalles2025[[#This Row],[Fecha]],"AAAA")</f>
        <v>2025</v>
      </c>
      <c r="C118" s="166" t="str">
        <f>TEXT(Detalles2025[[#This Row],[Fecha]],"MMMM")</f>
        <v>marzo</v>
      </c>
      <c r="D118" s="166" t="str">
        <f>TEXT(Detalles2025[[#This Row],[Fecha]],"DDDD")</f>
        <v>miércoles</v>
      </c>
      <c r="E118" s="192" t="s">
        <v>511</v>
      </c>
      <c r="F118" s="193">
        <v>1</v>
      </c>
      <c r="G118" s="194">
        <v>2</v>
      </c>
      <c r="H118" s="269" t="str">
        <f>IF(G118=1,Leyenda!$C$3,IF(G118=2,Leyenda!$C$4,IF(G118=3,Leyenda!$C$5,IF(G118=4,Leyenda!$C$6,IF(G118=5,Leyenda!$C$7,IF(G118=6,Leyenda!$C$8,IF(G118=7,Leyenda!$C$9,IF(G118=8,Leyenda!$C$10," "))))))))&amp;IF(G118=9,Leyenda!$C$11,IF(G118=10,Leyenda!$C$12,IF(G118=11,Leyenda!$C$13,IF(G118=12,Leyenda!$C$14," "))))</f>
        <v xml:space="preserve">GASTOS POR TRABAJOS, SUMINISTROS Y SERVICIOS </v>
      </c>
      <c r="I118" s="196" t="s">
        <v>1832</v>
      </c>
      <c r="K118" s="258">
        <v>202503</v>
      </c>
      <c r="L118" s="191">
        <v>26</v>
      </c>
      <c r="M118" s="191"/>
      <c r="O118" s="280">
        <v>0</v>
      </c>
      <c r="P118" s="76">
        <f>463-23.17</f>
        <v>439.83</v>
      </c>
      <c r="Q118" s="198">
        <f t="shared" si="17"/>
        <v>439.83</v>
      </c>
      <c r="R118" s="199">
        <v>23.17</v>
      </c>
      <c r="S118" s="199"/>
      <c r="T118" s="199"/>
      <c r="U118" s="199">
        <v>0</v>
      </c>
      <c r="V118" s="199"/>
      <c r="W118" s="199"/>
      <c r="X118" s="199"/>
      <c r="Y118" s="199"/>
      <c r="Z118" s="199"/>
      <c r="AA118" s="199">
        <v>0</v>
      </c>
      <c r="AB118" s="199">
        <v>0</v>
      </c>
      <c r="AC118" s="199">
        <v>0</v>
      </c>
      <c r="AD118" s="199">
        <f>SUM(Detalles2025[[#This Row],[Monto Facturado]:[Monto Propina Legal]])</f>
        <v>463</v>
      </c>
      <c r="AE118" s="283" t="s">
        <v>1714</v>
      </c>
      <c r="AF118" s="200" t="str">
        <f>IFERROR(VLOOKUP(E118,Tabla3[],2,0),"No Registrado")</f>
        <v>Bravo, S.A.//Supermercados Bravo</v>
      </c>
      <c r="AG118" s="200" t="s">
        <v>1751</v>
      </c>
      <c r="AH118" s="199" t="s">
        <v>1720</v>
      </c>
    </row>
    <row r="119" spans="1:34" ht="16.5" x14ac:dyDescent="0.3">
      <c r="A119" s="166">
        <f t="shared" si="19"/>
        <v>45738</v>
      </c>
      <c r="B119" s="166" t="str">
        <f>TEXT(Detalles2025[[#This Row],[Fecha]],"AAAA")</f>
        <v>2025</v>
      </c>
      <c r="C119" s="166" t="str">
        <f>TEXT(Detalles2025[[#This Row],[Fecha]],"MMMM")</f>
        <v>marzo</v>
      </c>
      <c r="D119" s="166" t="str">
        <f>TEXT(Detalles2025[[#This Row],[Fecha]],"DDDD")</f>
        <v>sábado</v>
      </c>
      <c r="E119" s="192" t="s">
        <v>511</v>
      </c>
      <c r="F119" s="193">
        <v>1</v>
      </c>
      <c r="G119" s="194">
        <v>1</v>
      </c>
      <c r="H119" s="269" t="str">
        <f>IF(G119=1,Leyenda!$C$3,IF(G119=2,Leyenda!$C$4,IF(G119=3,Leyenda!$C$5,IF(G119=4,Leyenda!$C$6,IF(G119=5,Leyenda!$C$7,IF(G119=6,Leyenda!$C$8,IF(G119=7,Leyenda!$C$9,IF(G119=8,Leyenda!$C$10," "))))))))&amp;IF(G119=9,Leyenda!$C$11,IF(G119=10,Leyenda!$C$12,IF(G119=11,Leyenda!$C$13,IF(G119=12,Leyenda!$C$14," "))))</f>
        <v xml:space="preserve">GASTO DE PERSONAL </v>
      </c>
      <c r="I119" s="196" t="s">
        <v>1833</v>
      </c>
      <c r="K119" s="258">
        <v>202503</v>
      </c>
      <c r="L119" s="191">
        <v>22</v>
      </c>
      <c r="M119" s="191"/>
      <c r="O119" s="280">
        <v>0</v>
      </c>
      <c r="P119" s="76">
        <f>589-79.33</f>
        <v>509.67</v>
      </c>
      <c r="Q119" s="198">
        <f t="shared" si="17"/>
        <v>509.67</v>
      </c>
      <c r="R119" s="199">
        <v>79.33</v>
      </c>
      <c r="S119" s="199"/>
      <c r="T119" s="199"/>
      <c r="U119" s="199">
        <v>0</v>
      </c>
      <c r="V119" s="199"/>
      <c r="W119" s="199"/>
      <c r="X119" s="199"/>
      <c r="Y119" s="199"/>
      <c r="Z119" s="199"/>
      <c r="AA119" s="199">
        <v>0</v>
      </c>
      <c r="AB119" s="199">
        <v>0</v>
      </c>
      <c r="AC119" s="199">
        <v>0</v>
      </c>
      <c r="AD119" s="199">
        <f>SUM(Detalles2025[[#This Row],[Monto Facturado]:[Monto Propina Legal]])</f>
        <v>589</v>
      </c>
      <c r="AE119" s="283" t="s">
        <v>1714</v>
      </c>
      <c r="AF119" s="200" t="str">
        <f>IFERROR(VLOOKUP(E119,Tabla3[],2,0),"No Registrado")</f>
        <v>Bravo, S.A.//Supermercados Bravo</v>
      </c>
      <c r="AG119" s="200" t="s">
        <v>1751</v>
      </c>
      <c r="AH119" s="199" t="s">
        <v>1720</v>
      </c>
    </row>
    <row r="120" spans="1:34" ht="16.5" x14ac:dyDescent="0.3">
      <c r="A120" s="166">
        <f t="shared" si="19"/>
        <v>45744</v>
      </c>
      <c r="B120" s="166" t="str">
        <f>TEXT(Detalles2025[[#This Row],[Fecha]],"AAAA")</f>
        <v>2025</v>
      </c>
      <c r="C120" s="166" t="str">
        <f>TEXT(Detalles2025[[#This Row],[Fecha]],"MMMM")</f>
        <v>marzo</v>
      </c>
      <c r="D120" s="166" t="str">
        <f>TEXT(Detalles2025[[#This Row],[Fecha]],"DDDD")</f>
        <v>viernes</v>
      </c>
      <c r="E120" s="192" t="s">
        <v>511</v>
      </c>
      <c r="F120" s="193">
        <v>1</v>
      </c>
      <c r="G120" s="194">
        <v>2</v>
      </c>
      <c r="H120" s="269" t="str">
        <f>IF(G120=1,Leyenda!$C$3,IF(G120=2,Leyenda!$C$4,IF(G120=3,Leyenda!$C$5,IF(G120=4,Leyenda!$C$6,IF(G120=5,Leyenda!$C$7,IF(G120=6,Leyenda!$C$8,IF(G120=7,Leyenda!$C$9,IF(G120=8,Leyenda!$C$10," "))))))))&amp;IF(G120=9,Leyenda!$C$11,IF(G120=10,Leyenda!$C$12,IF(G120=11,Leyenda!$C$13,IF(G120=12,Leyenda!$C$14," "))))</f>
        <v xml:space="preserve">GASTOS POR TRABAJOS, SUMINISTROS Y SERVICIOS </v>
      </c>
      <c r="I120" s="196" t="s">
        <v>1834</v>
      </c>
      <c r="K120" s="258">
        <v>202503</v>
      </c>
      <c r="L120" s="191">
        <v>28</v>
      </c>
      <c r="M120" s="191"/>
      <c r="O120" s="280">
        <v>0</v>
      </c>
      <c r="P120" s="76">
        <f>641-72.77</f>
        <v>568.23</v>
      </c>
      <c r="Q120" s="198">
        <f t="shared" si="17"/>
        <v>568.23</v>
      </c>
      <c r="R120" s="199">
        <v>72.77</v>
      </c>
      <c r="S120" s="199"/>
      <c r="T120" s="199"/>
      <c r="U120" s="199">
        <v>0</v>
      </c>
      <c r="V120" s="199"/>
      <c r="W120" s="199"/>
      <c r="X120" s="199"/>
      <c r="Y120" s="199"/>
      <c r="Z120" s="199"/>
      <c r="AA120" s="199">
        <v>0</v>
      </c>
      <c r="AB120" s="199">
        <v>0</v>
      </c>
      <c r="AC120" s="199">
        <v>0</v>
      </c>
      <c r="AD120" s="199">
        <f>SUM(Detalles2025[[#This Row],[Monto Facturado]:[Monto Propina Legal]])</f>
        <v>641</v>
      </c>
      <c r="AE120" s="283" t="s">
        <v>1714</v>
      </c>
      <c r="AF120" s="200" t="str">
        <f>IFERROR(VLOOKUP(E120,Tabla3[],2,0),"No Registrado")</f>
        <v>Bravo, S.A.//Supermercados Bravo</v>
      </c>
      <c r="AG120" s="200" t="s">
        <v>1751</v>
      </c>
      <c r="AH120" s="199" t="s">
        <v>1720</v>
      </c>
    </row>
    <row r="121" spans="1:34" ht="16.5" x14ac:dyDescent="0.3">
      <c r="A121" s="166">
        <f t="shared" si="19"/>
        <v>45735</v>
      </c>
      <c r="B121" s="166" t="str">
        <f>TEXT(Detalles2025[[#This Row],[Fecha]],"AAAA")</f>
        <v>2025</v>
      </c>
      <c r="C121" s="166" t="str">
        <f>TEXT(Detalles2025[[#This Row],[Fecha]],"MMMM")</f>
        <v>marzo</v>
      </c>
      <c r="D121" s="166" t="str">
        <f>TEXT(Detalles2025[[#This Row],[Fecha]],"DDDD")</f>
        <v>miércoles</v>
      </c>
      <c r="E121" s="192" t="s">
        <v>511</v>
      </c>
      <c r="F121" s="193">
        <v>1</v>
      </c>
      <c r="G121" s="194">
        <v>2</v>
      </c>
      <c r="H121" s="269" t="str">
        <f>IF(G121=1,Leyenda!$C$3,IF(G121=2,Leyenda!$C$4,IF(G121=3,Leyenda!$C$5,IF(G121=4,Leyenda!$C$6,IF(G121=5,Leyenda!$C$7,IF(G121=6,Leyenda!$C$8,IF(G121=7,Leyenda!$C$9,IF(G121=8,Leyenda!$C$10," "))))))))&amp;IF(G121=9,Leyenda!$C$11,IF(G121=10,Leyenda!$C$12,IF(G121=11,Leyenda!$C$13,IF(G121=12,Leyenda!$C$14," "))))</f>
        <v xml:space="preserve">GASTOS POR TRABAJOS, SUMINISTROS Y SERVICIOS </v>
      </c>
      <c r="I121" s="196" t="s">
        <v>1835</v>
      </c>
      <c r="K121" s="258">
        <v>202503</v>
      </c>
      <c r="L121" s="191">
        <v>19</v>
      </c>
      <c r="M121" s="191"/>
      <c r="O121" s="280">
        <v>0</v>
      </c>
      <c r="P121" s="76">
        <f>16243-1301.53</f>
        <v>14941.47</v>
      </c>
      <c r="Q121" s="198">
        <f t="shared" si="17"/>
        <v>14941.47</v>
      </c>
      <c r="R121" s="199">
        <v>1301.53</v>
      </c>
      <c r="S121" s="199"/>
      <c r="T121" s="199"/>
      <c r="U121" s="199">
        <v>0</v>
      </c>
      <c r="V121" s="199"/>
      <c r="W121" s="199"/>
      <c r="X121" s="199"/>
      <c r="Y121" s="199"/>
      <c r="Z121" s="199"/>
      <c r="AA121" s="199">
        <v>0</v>
      </c>
      <c r="AB121" s="199">
        <v>0</v>
      </c>
      <c r="AC121" s="199">
        <v>0</v>
      </c>
      <c r="AD121" s="199">
        <f>SUM(Detalles2025[[#This Row],[Monto Facturado]:[Monto Propina Legal]])</f>
        <v>16243</v>
      </c>
      <c r="AE121" s="283" t="s">
        <v>1714</v>
      </c>
      <c r="AF121" s="200" t="str">
        <f>IFERROR(VLOOKUP(E121,Tabla3[],2,0),"No Registrado")</f>
        <v>Bravo, S.A.//Supermercados Bravo</v>
      </c>
      <c r="AG121" s="200" t="s">
        <v>1751</v>
      </c>
      <c r="AH121" s="199" t="s">
        <v>1720</v>
      </c>
    </row>
    <row r="122" spans="1:34" ht="16.5" x14ac:dyDescent="0.3">
      <c r="A122" s="166">
        <f t="shared" si="19"/>
        <v>45744</v>
      </c>
      <c r="B122" s="166" t="str">
        <f>TEXT(Detalles2025[[#This Row],[Fecha]],"AAAA")</f>
        <v>2025</v>
      </c>
      <c r="C122" s="166" t="str">
        <f>TEXT(Detalles2025[[#This Row],[Fecha]],"MMMM")</f>
        <v>marzo</v>
      </c>
      <c r="D122" s="166" t="str">
        <f>TEXT(Detalles2025[[#This Row],[Fecha]],"DDDD")</f>
        <v>viernes</v>
      </c>
      <c r="E122" s="192" t="s">
        <v>507</v>
      </c>
      <c r="F122" s="193">
        <v>1</v>
      </c>
      <c r="G122" s="194">
        <v>2</v>
      </c>
      <c r="H122" s="269" t="str">
        <f>IF(G122=1,Leyenda!$C$3,IF(G122=2,Leyenda!$C$4,IF(G122=3,Leyenda!$C$5,IF(G122=4,Leyenda!$C$6,IF(G122=5,Leyenda!$C$7,IF(G122=6,Leyenda!$C$8,IF(G122=7,Leyenda!$C$9,IF(G122=8,Leyenda!$C$10," "))))))))&amp;IF(G122=9,Leyenda!$C$11,IF(G122=10,Leyenda!$C$12,IF(G122=11,Leyenda!$C$13,IF(G122=12,Leyenda!$C$14," "))))</f>
        <v xml:space="preserve">GASTOS POR TRABAJOS, SUMINISTROS Y SERVICIOS </v>
      </c>
      <c r="I122" s="196" t="s">
        <v>1836</v>
      </c>
      <c r="K122" s="258">
        <v>202503</v>
      </c>
      <c r="L122" s="191">
        <v>28</v>
      </c>
      <c r="M122" s="191"/>
      <c r="O122" s="280">
        <v>0</v>
      </c>
      <c r="P122" s="76">
        <f>5445.63-436.78</f>
        <v>5008.8500000000004</v>
      </c>
      <c r="Q122" s="198">
        <f t="shared" si="17"/>
        <v>5008.8500000000004</v>
      </c>
      <c r="R122" s="199">
        <v>436.78</v>
      </c>
      <c r="S122" s="199"/>
      <c r="T122" s="199"/>
      <c r="U122" s="199">
        <v>0</v>
      </c>
      <c r="V122" s="199"/>
      <c r="W122" s="199"/>
      <c r="X122" s="199"/>
      <c r="Y122" s="199"/>
      <c r="Z122" s="199"/>
      <c r="AA122" s="199">
        <v>0</v>
      </c>
      <c r="AB122" s="199">
        <v>0</v>
      </c>
      <c r="AC122" s="199">
        <v>0</v>
      </c>
      <c r="AD122" s="199">
        <f>SUM(Detalles2025[[#This Row],[Monto Facturado]:[Monto Propina Legal]])</f>
        <v>5445.63</v>
      </c>
      <c r="AE122" s="283" t="s">
        <v>1714</v>
      </c>
      <c r="AF122" s="200" t="str">
        <f>IFERROR(VLOOKUP(E122,Tabla3[],2,0),"No Registrado")</f>
        <v>Grupo Ramos, S. A.//Super Pola//La Sirena</v>
      </c>
      <c r="AG122" s="200" t="s">
        <v>1751</v>
      </c>
      <c r="AH122" s="199" t="s">
        <v>1720</v>
      </c>
    </row>
    <row r="123" spans="1:34" ht="16.5" x14ac:dyDescent="0.3">
      <c r="A123" s="166">
        <f t="shared" si="19"/>
        <v>45725</v>
      </c>
      <c r="B123" s="166" t="str">
        <f>TEXT(Detalles2025[[#This Row],[Fecha]],"AAAA")</f>
        <v>2025</v>
      </c>
      <c r="C123" s="166" t="str">
        <f>TEXT(Detalles2025[[#This Row],[Fecha]],"MMMM")</f>
        <v>marzo</v>
      </c>
      <c r="D123" s="166" t="str">
        <f>TEXT(Detalles2025[[#This Row],[Fecha]],"DDDD")</f>
        <v>domingo</v>
      </c>
      <c r="E123" s="192" t="s">
        <v>507</v>
      </c>
      <c r="F123" s="193">
        <v>1</v>
      </c>
      <c r="G123" s="194">
        <v>2</v>
      </c>
      <c r="H123" s="269" t="str">
        <f>IF(G123=1,Leyenda!$C$3,IF(G123=2,Leyenda!$C$4,IF(G123=3,Leyenda!$C$5,IF(G123=4,Leyenda!$C$6,IF(G123=5,Leyenda!$C$7,IF(G123=6,Leyenda!$C$8,IF(G123=7,Leyenda!$C$9,IF(G123=8,Leyenda!$C$10," "))))))))&amp;IF(G123=9,Leyenda!$C$11,IF(G123=10,Leyenda!$C$12,IF(G123=11,Leyenda!$C$13,IF(G123=12,Leyenda!$C$14," "))))</f>
        <v xml:space="preserve">GASTOS POR TRABAJOS, SUMINISTROS Y SERVICIOS </v>
      </c>
      <c r="I123" s="196" t="s">
        <v>1837</v>
      </c>
      <c r="K123" s="258">
        <v>202503</v>
      </c>
      <c r="L123" s="191">
        <v>9</v>
      </c>
      <c r="M123" s="191"/>
      <c r="O123" s="280">
        <v>0</v>
      </c>
      <c r="P123" s="76">
        <f>1755-267.72</f>
        <v>1487.28</v>
      </c>
      <c r="Q123" s="198">
        <f t="shared" si="17"/>
        <v>1487.28</v>
      </c>
      <c r="R123" s="199">
        <v>267.72000000000003</v>
      </c>
      <c r="S123" s="199"/>
      <c r="T123" s="199"/>
      <c r="U123" s="199">
        <v>0</v>
      </c>
      <c r="V123" s="199"/>
      <c r="W123" s="199"/>
      <c r="X123" s="199"/>
      <c r="Y123" s="199"/>
      <c r="Z123" s="199"/>
      <c r="AA123" s="199">
        <v>0</v>
      </c>
      <c r="AB123" s="199">
        <v>0</v>
      </c>
      <c r="AC123" s="199">
        <v>0</v>
      </c>
      <c r="AD123" s="199">
        <f>SUM(Detalles2025[[#This Row],[Monto Facturado]:[Monto Propina Legal]])</f>
        <v>1755</v>
      </c>
      <c r="AE123" s="283" t="s">
        <v>1714</v>
      </c>
      <c r="AF123" s="200" t="str">
        <f>IFERROR(VLOOKUP(E123,Tabla3[],2,0),"No Registrado")</f>
        <v>Grupo Ramos, S. A.//Super Pola//La Sirena</v>
      </c>
      <c r="AG123" s="200" t="s">
        <v>1838</v>
      </c>
      <c r="AH123" s="199" t="s">
        <v>1720</v>
      </c>
    </row>
    <row r="124" spans="1:34" ht="16.5" x14ac:dyDescent="0.3">
      <c r="A124" s="166">
        <f t="shared" si="19"/>
        <v>45721</v>
      </c>
      <c r="B124" s="166" t="str">
        <f>TEXT(Detalles2025[[#This Row],[Fecha]],"AAAA")</f>
        <v>2025</v>
      </c>
      <c r="C124" s="166" t="str">
        <f>TEXT(Detalles2025[[#This Row],[Fecha]],"MMMM")</f>
        <v>marzo</v>
      </c>
      <c r="D124" s="166" t="str">
        <f>TEXT(Detalles2025[[#This Row],[Fecha]],"DDDD")</f>
        <v>miércoles</v>
      </c>
      <c r="E124" s="192" t="s">
        <v>504</v>
      </c>
      <c r="F124" s="193">
        <v>1</v>
      </c>
      <c r="G124" s="194">
        <v>2</v>
      </c>
      <c r="H124" s="269" t="str">
        <f>IF(G124=1,Leyenda!$C$3,IF(G124=2,Leyenda!$C$4,IF(G124=3,Leyenda!$C$5,IF(G124=4,Leyenda!$C$6,IF(G124=5,Leyenda!$C$7,IF(G124=6,Leyenda!$C$8,IF(G124=7,Leyenda!$C$9,IF(G124=8,Leyenda!$C$10," "))))))))&amp;IF(G124=9,Leyenda!$C$11,IF(G124=10,Leyenda!$C$12,IF(G124=11,Leyenda!$C$13,IF(G124=12,Leyenda!$C$14," "))))</f>
        <v xml:space="preserve">GASTOS POR TRABAJOS, SUMINISTROS Y SERVICIOS </v>
      </c>
      <c r="I124" s="196" t="s">
        <v>1839</v>
      </c>
      <c r="K124" s="258">
        <v>202503</v>
      </c>
      <c r="L124" s="191">
        <v>5</v>
      </c>
      <c r="M124" s="191"/>
      <c r="O124" s="280">
        <v>0</v>
      </c>
      <c r="P124" s="76">
        <v>669.34</v>
      </c>
      <c r="Q124" s="198">
        <f t="shared" si="17"/>
        <v>669.34</v>
      </c>
      <c r="R124" s="199">
        <v>0</v>
      </c>
      <c r="S124" s="199"/>
      <c r="T124" s="199"/>
      <c r="U124" s="199">
        <v>0</v>
      </c>
      <c r="V124" s="199"/>
      <c r="W124" s="199"/>
      <c r="X124" s="199"/>
      <c r="Y124" s="199"/>
      <c r="Z124" s="199"/>
      <c r="AA124" s="199">
        <v>0</v>
      </c>
      <c r="AB124" s="199">
        <v>0</v>
      </c>
      <c r="AC124" s="199">
        <v>0</v>
      </c>
      <c r="AD124" s="199">
        <f>SUM(Detalles2025[[#This Row],[Monto Facturado]:[Monto Propina Legal]])</f>
        <v>669.34</v>
      </c>
      <c r="AE124" s="283" t="s">
        <v>1714</v>
      </c>
      <c r="AF124" s="200" t="str">
        <f>IFERROR(VLOOKUP(E124,Tabla3[],2,0),"No Registrado")</f>
        <v>Centro Cuesta Nacional S.A.S.//Supermercados Nacional//Casa Cuesta//Ferretería Cuesta//JUMBO//Bebemundo</v>
      </c>
      <c r="AG124" s="200" t="s">
        <v>1751</v>
      </c>
      <c r="AH124" s="199" t="s">
        <v>1720</v>
      </c>
    </row>
    <row r="125" spans="1:34" ht="16.5" x14ac:dyDescent="0.3">
      <c r="A125" s="166">
        <f t="shared" si="19"/>
        <v>45720</v>
      </c>
      <c r="B125" s="166" t="str">
        <f>TEXT(Detalles2025[[#This Row],[Fecha]],"AAAA")</f>
        <v>2025</v>
      </c>
      <c r="C125" s="166" t="str">
        <f>TEXT(Detalles2025[[#This Row],[Fecha]],"MMMM")</f>
        <v>marzo</v>
      </c>
      <c r="D125" s="166" t="str">
        <f>TEXT(Detalles2025[[#This Row],[Fecha]],"DDDD")</f>
        <v>martes</v>
      </c>
      <c r="E125" s="192" t="s">
        <v>1298</v>
      </c>
      <c r="F125" s="193">
        <v>1</v>
      </c>
      <c r="G125" s="194">
        <v>2</v>
      </c>
      <c r="H125" s="269" t="str">
        <f>IF(G125=1,Leyenda!$C$3,IF(G125=2,Leyenda!$C$4,IF(G125=3,Leyenda!$C$5,IF(G125=4,Leyenda!$C$6,IF(G125=5,Leyenda!$C$7,IF(G125=6,Leyenda!$C$8,IF(G125=7,Leyenda!$C$9,IF(G125=8,Leyenda!$C$10," "))))))))&amp;IF(G125=9,Leyenda!$C$11,IF(G125=10,Leyenda!$C$12,IF(G125=11,Leyenda!$C$13,IF(G125=12,Leyenda!$C$14," "))))</f>
        <v xml:space="preserve">GASTOS POR TRABAJOS, SUMINISTROS Y SERVICIOS </v>
      </c>
      <c r="I125" s="196" t="s">
        <v>1840</v>
      </c>
      <c r="K125" s="258">
        <v>202503</v>
      </c>
      <c r="L125" s="191">
        <v>4</v>
      </c>
      <c r="M125" s="191"/>
      <c r="O125" s="280">
        <v>0</v>
      </c>
      <c r="P125" s="76">
        <v>2161.02</v>
      </c>
      <c r="Q125" s="198">
        <f t="shared" si="17"/>
        <v>2161.02</v>
      </c>
      <c r="R125" s="199">
        <v>388.98</v>
      </c>
      <c r="S125" s="199"/>
      <c r="T125" s="199"/>
      <c r="U125" s="199">
        <v>0</v>
      </c>
      <c r="V125" s="199"/>
      <c r="W125" s="199"/>
      <c r="X125" s="199"/>
      <c r="Y125" s="199"/>
      <c r="Z125" s="199"/>
      <c r="AA125" s="199">
        <v>0</v>
      </c>
      <c r="AB125" s="199">
        <v>0</v>
      </c>
      <c r="AC125" s="199">
        <v>0</v>
      </c>
      <c r="AD125" s="199">
        <f>SUM(Detalles2025[[#This Row],[Monto Facturado]:[Monto Propina Legal]])</f>
        <v>2550</v>
      </c>
      <c r="AE125" s="283" t="s">
        <v>1714</v>
      </c>
      <c r="AF125" s="200" t="str">
        <f>IFERROR(VLOOKUP(E125,Tabla3[],2,0),"No Registrado")</f>
        <v>No Registrado</v>
      </c>
      <c r="AG125" s="200" t="s">
        <v>1841</v>
      </c>
      <c r="AH125" s="199" t="s">
        <v>1720</v>
      </c>
    </row>
    <row r="126" spans="1:34" ht="16.5" x14ac:dyDescent="0.3">
      <c r="A126" s="166">
        <f t="shared" si="19"/>
        <v>45720</v>
      </c>
      <c r="B126" s="166" t="str">
        <f>TEXT(Detalles2025[[#This Row],[Fecha]],"AAAA")</f>
        <v>2025</v>
      </c>
      <c r="C126" s="166" t="str">
        <f>TEXT(Detalles2025[[#This Row],[Fecha]],"MMMM")</f>
        <v>marzo</v>
      </c>
      <c r="D126" s="166" t="str">
        <f>TEXT(Detalles2025[[#This Row],[Fecha]],"DDDD")</f>
        <v>martes</v>
      </c>
      <c r="E126" s="192" t="s">
        <v>742</v>
      </c>
      <c r="F126" s="193">
        <v>1</v>
      </c>
      <c r="G126" s="194">
        <v>2</v>
      </c>
      <c r="H126" s="269" t="str">
        <f>IF(G126=1,Leyenda!$C$3,IF(G126=2,Leyenda!$C$4,IF(G126=3,Leyenda!$C$5,IF(G126=4,Leyenda!$C$6,IF(G126=5,Leyenda!$C$7,IF(G126=6,Leyenda!$C$8,IF(G126=7,Leyenda!$C$9,IF(G126=8,Leyenda!$C$10," "))))))))&amp;IF(G126=9,Leyenda!$C$11,IF(G126=10,Leyenda!$C$12,IF(G126=11,Leyenda!$C$13,IF(G126=12,Leyenda!$C$14," "))))</f>
        <v xml:space="preserve">GASTOS POR TRABAJOS, SUMINISTROS Y SERVICIOS </v>
      </c>
      <c r="I126" s="196" t="s">
        <v>1842</v>
      </c>
      <c r="K126" s="258">
        <v>202503</v>
      </c>
      <c r="L126" s="191">
        <v>4</v>
      </c>
      <c r="M126" s="191"/>
      <c r="O126" s="273">
        <v>0</v>
      </c>
      <c r="P126" s="274">
        <v>1847.44</v>
      </c>
      <c r="Q126" s="198">
        <f t="shared" si="17"/>
        <v>1847.44</v>
      </c>
      <c r="R126" s="275">
        <v>332.54</v>
      </c>
      <c r="S126" s="275"/>
      <c r="T126" s="275"/>
      <c r="U126" s="275">
        <v>0</v>
      </c>
      <c r="V126" s="275"/>
      <c r="W126" s="275"/>
      <c r="X126" s="275"/>
      <c r="Y126" s="275"/>
      <c r="Z126" s="275"/>
      <c r="AA126" s="275">
        <v>0</v>
      </c>
      <c r="AB126" s="275">
        <v>0</v>
      </c>
      <c r="AC126" s="275">
        <v>0</v>
      </c>
      <c r="AD126" s="199">
        <f>SUM(Detalles2025[[#This Row],[Monto Facturado]:[Monto Propina Legal]])</f>
        <v>2179.98</v>
      </c>
      <c r="AE126" s="283" t="s">
        <v>1714</v>
      </c>
      <c r="AF126" s="200" t="str">
        <f>IFERROR(VLOOKUP(E126,Tabla3[],2,0),"No Registrado")</f>
        <v>Narex, S.A.//Pizza Hut</v>
      </c>
      <c r="AG126" s="200" t="s">
        <v>1841</v>
      </c>
      <c r="AH126" s="199" t="s">
        <v>1720</v>
      </c>
    </row>
    <row r="127" spans="1:34" ht="16.5" x14ac:dyDescent="0.3">
      <c r="A127" s="166">
        <f>DATE(LEFT(K127,4),RIGHT(K127,2),L127)</f>
        <v>45722</v>
      </c>
      <c r="B127" s="166" t="str">
        <f>TEXT(Detalles2025[[#This Row],[Fecha]],"AAAA")</f>
        <v>2025</v>
      </c>
      <c r="C127" s="166" t="str">
        <f>TEXT(Detalles2025[[#This Row],[Fecha]],"MMMM")</f>
        <v>marzo</v>
      </c>
      <c r="D127" s="166" t="str">
        <f>TEXT(Detalles2025[[#This Row],[Fecha]],"DDDD")</f>
        <v>jueves</v>
      </c>
      <c r="E127" s="192" t="s">
        <v>511</v>
      </c>
      <c r="F127" s="193">
        <v>1</v>
      </c>
      <c r="G127" s="194">
        <v>2</v>
      </c>
      <c r="H127" s="272" t="str">
        <f>IF(G127=1,Leyenda!$C$3,IF(G127=2,Leyenda!$C$4,IF(G127=3,Leyenda!$C$5,IF(G127=4,Leyenda!$C$6,IF(G127=5,Leyenda!$C$7,IF(G127=6,Leyenda!$C$8,IF(G127=7,Leyenda!$C$9,IF(G127=8,Leyenda!$C$10," "))))))))&amp;IF(G127=9,Leyenda!$C$11,IF(G127=10,Leyenda!$C$12,IF(G127=11,Leyenda!$C$13,IF(G127=12,Leyenda!$C$14," "))))</f>
        <v xml:space="preserve">GASTOS POR TRABAJOS, SUMINISTROS Y SERVICIOS </v>
      </c>
      <c r="I127" s="196" t="s">
        <v>1843</v>
      </c>
      <c r="K127" s="258">
        <v>202503</v>
      </c>
      <c r="L127" s="191">
        <v>6</v>
      </c>
      <c r="M127" s="191"/>
      <c r="O127" s="273">
        <v>0</v>
      </c>
      <c r="P127" s="274">
        <f>15696-1180.87</f>
        <v>14515.130000000001</v>
      </c>
      <c r="Q127" s="198">
        <f t="shared" si="17"/>
        <v>14515.130000000001</v>
      </c>
      <c r="R127" s="275">
        <v>1180.8699999999999</v>
      </c>
      <c r="S127" s="275"/>
      <c r="T127" s="275"/>
      <c r="U127" s="275">
        <v>0</v>
      </c>
      <c r="V127" s="275"/>
      <c r="W127" s="275"/>
      <c r="X127" s="275"/>
      <c r="Y127" s="275"/>
      <c r="Z127" s="275"/>
      <c r="AA127" s="275">
        <v>0</v>
      </c>
      <c r="AB127" s="275">
        <v>0</v>
      </c>
      <c r="AC127" s="275">
        <v>0</v>
      </c>
      <c r="AD127" s="275">
        <f>SUM(Detalles2025[[#This Row],[Monto Facturado]:[Monto Propina Legal]])</f>
        <v>15696</v>
      </c>
      <c r="AE127" s="284" t="s">
        <v>1714</v>
      </c>
      <c r="AF127" s="200" t="str">
        <f>IFERROR(VLOOKUP(E127,Tabla3[],2,0),"No Registrado")</f>
        <v>Bravo, S.A.//Supermercados Bravo</v>
      </c>
      <c r="AG127" s="200" t="s">
        <v>1751</v>
      </c>
      <c r="AH127" s="275" t="s">
        <v>1720</v>
      </c>
    </row>
    <row r="128" spans="1:34" ht="16.5" x14ac:dyDescent="0.3">
      <c r="A128" s="166">
        <f>DATE(LEFT(K128,4),RIGHT(K128,2),L128)</f>
        <v>45730</v>
      </c>
      <c r="B128" s="166" t="str">
        <f>TEXT(Detalles2025[[#This Row],[Fecha]],"AAAA")</f>
        <v>2025</v>
      </c>
      <c r="C128" s="166" t="str">
        <f>TEXT(Detalles2025[[#This Row],[Fecha]],"MMMM")</f>
        <v>marzo</v>
      </c>
      <c r="D128" s="166" t="str">
        <f>TEXT(Detalles2025[[#This Row],[Fecha]],"DDDD")</f>
        <v>viernes</v>
      </c>
      <c r="E128" s="192" t="s">
        <v>507</v>
      </c>
      <c r="F128" s="193">
        <v>1</v>
      </c>
      <c r="G128" s="194">
        <v>2</v>
      </c>
      <c r="H128" s="272" t="str">
        <f>IF(G128=1,Leyenda!$C$3,IF(G128=2,Leyenda!$C$4,IF(G128=3,Leyenda!$C$5,IF(G128=4,Leyenda!$C$6,IF(G128=5,Leyenda!$C$7,IF(G128=6,Leyenda!$C$8,IF(G128=7,Leyenda!$C$9,IF(G128=8,Leyenda!$C$10," "))))))))&amp;IF(G128=9,Leyenda!$C$11,IF(G128=10,Leyenda!$C$12,IF(G128=11,Leyenda!$C$13,IF(G128=12,Leyenda!$C$14," "))))</f>
        <v xml:space="preserve">GASTOS POR TRABAJOS, SUMINISTROS Y SERVICIOS </v>
      </c>
      <c r="I128" s="196" t="s">
        <v>1844</v>
      </c>
      <c r="K128" s="258">
        <v>202503</v>
      </c>
      <c r="L128" s="191">
        <v>14</v>
      </c>
      <c r="M128" s="191"/>
      <c r="O128" s="273">
        <v>0</v>
      </c>
      <c r="P128" s="274">
        <f>2120.46-147.63</f>
        <v>1972.83</v>
      </c>
      <c r="Q128" s="198">
        <f t="shared" si="17"/>
        <v>1972.83</v>
      </c>
      <c r="R128" s="275">
        <v>147.63</v>
      </c>
      <c r="S128" s="275"/>
      <c r="T128" s="275"/>
      <c r="U128" s="275">
        <v>0</v>
      </c>
      <c r="V128" s="275"/>
      <c r="W128" s="275"/>
      <c r="X128" s="275"/>
      <c r="Y128" s="275"/>
      <c r="Z128" s="275"/>
      <c r="AA128" s="275">
        <v>0</v>
      </c>
      <c r="AB128" s="275">
        <v>0</v>
      </c>
      <c r="AC128" s="275">
        <v>0</v>
      </c>
      <c r="AD128" s="275">
        <f>SUM(Detalles2025[[#This Row],[Monto Facturado]:[Monto Propina Legal]])</f>
        <v>2120.46</v>
      </c>
      <c r="AE128" s="284" t="s">
        <v>1714</v>
      </c>
      <c r="AF128" s="200" t="str">
        <f>IFERROR(VLOOKUP(E128,Tabla3[],2,0),"No Registrado")</f>
        <v>Grupo Ramos, S. A.//Super Pola//La Sirena</v>
      </c>
      <c r="AG128" s="200" t="s">
        <v>1751</v>
      </c>
      <c r="AH128" s="275" t="s">
        <v>1720</v>
      </c>
    </row>
    <row r="129" spans="1:34" ht="16.5" x14ac:dyDescent="0.3">
      <c r="A129" s="166">
        <f>DATE(LEFT(K129,4),RIGHT(K129,2),L129)</f>
        <v>45731</v>
      </c>
      <c r="B129" s="166" t="str">
        <f>TEXT(Detalles2025[[#This Row],[Fecha]],"AAAA")</f>
        <v>2025</v>
      </c>
      <c r="C129" s="166" t="str">
        <f>TEXT(Detalles2025[[#This Row],[Fecha]],"MMMM")</f>
        <v>marzo</v>
      </c>
      <c r="D129" s="166" t="str">
        <f>TEXT(Detalles2025[[#This Row],[Fecha]],"DDDD")</f>
        <v>sábado</v>
      </c>
      <c r="E129" s="192" t="s">
        <v>507</v>
      </c>
      <c r="F129" s="193">
        <v>1</v>
      </c>
      <c r="G129" s="194">
        <v>2</v>
      </c>
      <c r="H129" s="272" t="str">
        <f>IF(G129=1,Leyenda!$C$3,IF(G129=2,Leyenda!$C$4,IF(G129=3,Leyenda!$C$5,IF(G129=4,Leyenda!$C$6,IF(G129=5,Leyenda!$C$7,IF(G129=6,Leyenda!$C$8,IF(G129=7,Leyenda!$C$9,IF(G129=8,Leyenda!$C$10," "))))))))&amp;IF(G129=9,Leyenda!$C$11,IF(G129=10,Leyenda!$C$12,IF(G129=11,Leyenda!$C$13,IF(G129=12,Leyenda!$C$14," "))))</f>
        <v xml:space="preserve">GASTOS POR TRABAJOS, SUMINISTROS Y SERVICIOS </v>
      </c>
      <c r="I129" s="196" t="s">
        <v>1845</v>
      </c>
      <c r="K129" s="258">
        <v>202503</v>
      </c>
      <c r="L129" s="191">
        <v>15</v>
      </c>
      <c r="M129" s="191"/>
      <c r="O129" s="273">
        <v>0</v>
      </c>
      <c r="P129" s="274">
        <f>3555.8-539.97</f>
        <v>3015.83</v>
      </c>
      <c r="Q129" s="198">
        <f t="shared" si="17"/>
        <v>3015.83</v>
      </c>
      <c r="R129" s="275">
        <v>539.97</v>
      </c>
      <c r="S129" s="275"/>
      <c r="T129" s="275"/>
      <c r="U129" s="275">
        <v>0</v>
      </c>
      <c r="V129" s="275"/>
      <c r="W129" s="275"/>
      <c r="X129" s="275"/>
      <c r="Y129" s="275"/>
      <c r="Z129" s="275"/>
      <c r="AA129" s="275">
        <v>0</v>
      </c>
      <c r="AB129" s="275">
        <v>0</v>
      </c>
      <c r="AC129" s="275">
        <v>0</v>
      </c>
      <c r="AD129" s="275">
        <f>SUM(Detalles2025[[#This Row],[Monto Facturado]:[Monto Propina Legal]])</f>
        <v>3555.8</v>
      </c>
      <c r="AE129" s="284" t="s">
        <v>1714</v>
      </c>
      <c r="AF129" s="200" t="str">
        <f>IFERROR(VLOOKUP(E129,Tabla3[],2,0),"No Registrado")</f>
        <v>Grupo Ramos, S. A.//Super Pola//La Sirena</v>
      </c>
      <c r="AG129" s="200" t="s">
        <v>1751</v>
      </c>
      <c r="AH129" s="275" t="s">
        <v>1720</v>
      </c>
    </row>
    <row r="130" spans="1:34" ht="16.5" x14ac:dyDescent="0.3">
      <c r="A130" s="166">
        <f t="shared" ref="A130:A131" si="20">DATE(LEFT(K130,4),RIGHT(K130,2),L130)</f>
        <v>45737</v>
      </c>
      <c r="B130" s="166" t="str">
        <f>TEXT(Detalles2025[[#This Row],[Fecha]],"AAAA")</f>
        <v>2025</v>
      </c>
      <c r="C130" s="166" t="str">
        <f>TEXT(Detalles2025[[#This Row],[Fecha]],"MMMM")</f>
        <v>marzo</v>
      </c>
      <c r="D130" s="166" t="str">
        <f>TEXT(Detalles2025[[#This Row],[Fecha]],"DDDD")</f>
        <v>viernes</v>
      </c>
      <c r="E130" s="192" t="s">
        <v>1114</v>
      </c>
      <c r="F130" s="193">
        <v>1</v>
      </c>
      <c r="G130" s="194">
        <v>2</v>
      </c>
      <c r="H130" s="269" t="str">
        <f>IF(G130=1,Leyenda!$C$3,IF(G130=2,Leyenda!$C$4,IF(G130=3,Leyenda!$C$5,IF(G130=4,Leyenda!$C$6,IF(G130=5,Leyenda!$C$7,IF(G130=6,Leyenda!$C$8,IF(G130=7,Leyenda!$C$9,IF(G130=8,Leyenda!$C$10," "))))))))&amp;IF(G130=9,Leyenda!$C$11,IF(G130=10,Leyenda!$C$12,IF(G130=11,Leyenda!$C$13,IF(G130=12,Leyenda!$C$14," "))))</f>
        <v xml:space="preserve">GASTOS POR TRABAJOS, SUMINISTROS Y SERVICIOS </v>
      </c>
      <c r="I130" s="196" t="s">
        <v>1846</v>
      </c>
      <c r="K130" s="258">
        <v>202503</v>
      </c>
      <c r="L130" s="191">
        <v>21</v>
      </c>
      <c r="M130" s="191"/>
      <c r="O130" s="280">
        <v>3190</v>
      </c>
      <c r="P130" s="76">
        <v>0</v>
      </c>
      <c r="Q130" s="198">
        <f>SUM(O130:O130)</f>
        <v>3190</v>
      </c>
      <c r="R130" s="199">
        <v>0</v>
      </c>
      <c r="S130" s="199"/>
      <c r="T130" s="199"/>
      <c r="U130" s="199">
        <v>0</v>
      </c>
      <c r="V130" s="199">
        <v>0</v>
      </c>
      <c r="W130" s="199">
        <v>0</v>
      </c>
      <c r="X130" s="199">
        <v>0</v>
      </c>
      <c r="Y130" s="199">
        <v>0</v>
      </c>
      <c r="Z130" s="199">
        <v>0</v>
      </c>
      <c r="AA130" s="199">
        <v>0</v>
      </c>
      <c r="AB130" s="199">
        <v>0</v>
      </c>
      <c r="AC130" s="199">
        <v>0</v>
      </c>
      <c r="AD130" s="199">
        <f>SUM(Detalles2025[[#This Row],[Monto Facturado]:[Monto Propina Legal]])</f>
        <v>3190</v>
      </c>
      <c r="AE130" s="199" t="s">
        <v>1714</v>
      </c>
      <c r="AF130" s="200" t="str">
        <f>IFERROR(VLOOKUP(E130,Tabla3[],2,0),"No Registrado")</f>
        <v>ACADEMIA EUROPEA</v>
      </c>
      <c r="AG130" s="200" t="s">
        <v>1767</v>
      </c>
      <c r="AH130" s="199" t="s">
        <v>1732</v>
      </c>
    </row>
    <row r="131" spans="1:34" ht="16.5" x14ac:dyDescent="0.3">
      <c r="A131" s="166">
        <f t="shared" si="20"/>
        <v>45730</v>
      </c>
      <c r="B131" s="166" t="str">
        <f>TEXT(Detalles2025[[#This Row],[Fecha]],"AAAA")</f>
        <v>2025</v>
      </c>
      <c r="C131" s="166" t="str">
        <f>TEXT(Detalles2025[[#This Row],[Fecha]],"MMMM")</f>
        <v>marzo</v>
      </c>
      <c r="D131" s="166" t="str">
        <f>TEXT(Detalles2025[[#This Row],[Fecha]],"DDDD")</f>
        <v>viernes</v>
      </c>
      <c r="E131" s="192" t="s">
        <v>1114</v>
      </c>
      <c r="F131" s="193">
        <v>1</v>
      </c>
      <c r="G131" s="194">
        <v>2</v>
      </c>
      <c r="H131" s="285" t="str">
        <f>IF(G131=1,Leyenda!$C$3,IF(G131=2,Leyenda!$C$4,IF(G131=3,Leyenda!$C$5,IF(G131=4,Leyenda!$C$6,IF(G131=5,Leyenda!$C$7,IF(G131=6,Leyenda!$C$8,IF(G131=7,Leyenda!$C$9,IF(G131=8,Leyenda!$C$10," "))))))))&amp;IF(G131=9,Leyenda!$C$11,IF(G131=10,Leyenda!$C$12,IF(G131=11,Leyenda!$C$13,IF(G131=12,Leyenda!$C$14," "))))</f>
        <v xml:space="preserve">GASTOS POR TRABAJOS, SUMINISTROS Y SERVICIOS </v>
      </c>
      <c r="I131" s="196" t="s">
        <v>1847</v>
      </c>
      <c r="K131" s="258">
        <v>202503</v>
      </c>
      <c r="L131" s="191">
        <v>14</v>
      </c>
      <c r="M131" s="191"/>
      <c r="O131" s="273">
        <v>2876</v>
      </c>
      <c r="P131" s="274">
        <v>0</v>
      </c>
      <c r="Q131" s="288">
        <f>SUM(O131:O131)</f>
        <v>2876</v>
      </c>
      <c r="R131" s="275">
        <v>0</v>
      </c>
      <c r="S131" s="275"/>
      <c r="T131" s="275"/>
      <c r="U131" s="275">
        <v>0</v>
      </c>
      <c r="V131" s="275">
        <v>0</v>
      </c>
      <c r="W131" s="275">
        <v>0</v>
      </c>
      <c r="X131" s="275">
        <v>0</v>
      </c>
      <c r="Y131" s="275">
        <v>0</v>
      </c>
      <c r="Z131" s="275">
        <v>0</v>
      </c>
      <c r="AA131" s="275">
        <v>0</v>
      </c>
      <c r="AB131" s="275">
        <v>0</v>
      </c>
      <c r="AC131" s="275">
        <v>0</v>
      </c>
      <c r="AD131" s="275">
        <f>SUM(Detalles2025[[#This Row],[Monto Facturado]:[Monto Propina Legal]])</f>
        <v>2876</v>
      </c>
      <c r="AE131" s="275" t="s">
        <v>1714</v>
      </c>
      <c r="AF131" s="200" t="str">
        <f>IFERROR(VLOOKUP(E131,Tabla3[],2,0),"No Registrado")</f>
        <v>ACADEMIA EUROPEA</v>
      </c>
      <c r="AG131" s="200" t="s">
        <v>1767</v>
      </c>
      <c r="AH131" s="275" t="s">
        <v>1732</v>
      </c>
    </row>
    <row r="132" spans="1:34" ht="16.5" x14ac:dyDescent="0.3">
      <c r="A132" s="166">
        <f t="shared" ref="A132:A144" si="21">DATE(LEFT(K132,4),RIGHT(K132,2),L132)</f>
        <v>45744</v>
      </c>
      <c r="B132" s="166" t="str">
        <f>TEXT(Detalles2025[[#This Row],[Fecha]],"AAAA")</f>
        <v>2025</v>
      </c>
      <c r="C132" s="166" t="str">
        <f>TEXT(Detalles2025[[#This Row],[Fecha]],"MMMM")</f>
        <v>marzo</v>
      </c>
      <c r="D132" s="166" t="str">
        <f>TEXT(Detalles2025[[#This Row],[Fecha]],"DDDD")</f>
        <v>viernes</v>
      </c>
      <c r="E132" s="192" t="s">
        <v>1114</v>
      </c>
      <c r="F132" s="193">
        <v>1</v>
      </c>
      <c r="G132" s="194">
        <v>2</v>
      </c>
      <c r="H132" s="269" t="str">
        <f>IF(G132=1,Leyenda!$C$3,IF(G132=2,Leyenda!$C$4,IF(G132=3,Leyenda!$C$5,IF(G132=4,Leyenda!$C$6,IF(G132=5,Leyenda!$C$7,IF(G132=6,Leyenda!$C$8,IF(G132=7,Leyenda!$C$9,IF(G132=8,Leyenda!$C$10," "))))))))&amp;IF(G132=9,Leyenda!$C$11,IF(G132=10,Leyenda!$C$12,IF(G132=11,Leyenda!$C$13,IF(G132=12,Leyenda!$C$14," "))))</f>
        <v xml:space="preserve">GASTOS POR TRABAJOS, SUMINISTROS Y SERVICIOS </v>
      </c>
      <c r="I132" s="196" t="s">
        <v>1848</v>
      </c>
      <c r="K132" s="258">
        <v>202503</v>
      </c>
      <c r="L132" s="191">
        <v>28</v>
      </c>
      <c r="M132" s="191"/>
      <c r="O132" s="280">
        <v>3195</v>
      </c>
      <c r="P132" s="76">
        <v>0</v>
      </c>
      <c r="Q132" s="198">
        <f>SUM(O132:O132)</f>
        <v>3195</v>
      </c>
      <c r="R132" s="199">
        <v>0</v>
      </c>
      <c r="S132" s="199"/>
      <c r="T132" s="199"/>
      <c r="U132" s="199">
        <v>0</v>
      </c>
      <c r="V132" s="199">
        <v>0</v>
      </c>
      <c r="W132" s="199">
        <v>0</v>
      </c>
      <c r="X132" s="199">
        <v>0</v>
      </c>
      <c r="Y132" s="199">
        <v>0</v>
      </c>
      <c r="Z132" s="199">
        <v>0</v>
      </c>
      <c r="AA132" s="199">
        <v>0</v>
      </c>
      <c r="AB132" s="199">
        <v>0</v>
      </c>
      <c r="AC132" s="199">
        <v>0</v>
      </c>
      <c r="AD132" s="199">
        <f>SUM(Detalles2025[[#This Row],[Monto Facturado]:[Monto Propina Legal]])</f>
        <v>3195</v>
      </c>
      <c r="AE132" s="199" t="s">
        <v>1714</v>
      </c>
      <c r="AF132" s="200" t="str">
        <f>IFERROR(VLOOKUP(E132,Tabla3[],2,0),"No Registrado")</f>
        <v>ACADEMIA EUROPEA</v>
      </c>
      <c r="AG132" s="200" t="s">
        <v>1767</v>
      </c>
      <c r="AH132" s="199" t="s">
        <v>1168</v>
      </c>
    </row>
    <row r="133" spans="1:34" ht="16.5" x14ac:dyDescent="0.3">
      <c r="A133" s="166">
        <f t="shared" si="21"/>
        <v>45744</v>
      </c>
      <c r="B133" s="166" t="str">
        <f>TEXT(Detalles2025[[#This Row],[Fecha]],"AAAA")</f>
        <v>2025</v>
      </c>
      <c r="C133" s="166" t="str">
        <f>TEXT(Detalles2025[[#This Row],[Fecha]],"MMMM")</f>
        <v>marzo</v>
      </c>
      <c r="D133" s="166" t="str">
        <f>TEXT(Detalles2025[[#This Row],[Fecha]],"DDDD")</f>
        <v>viernes</v>
      </c>
      <c r="E133" s="192" t="s">
        <v>1114</v>
      </c>
      <c r="F133" s="193">
        <v>1</v>
      </c>
      <c r="G133" s="194">
        <v>2</v>
      </c>
      <c r="H133" s="285" t="str">
        <f>IF(G133=1,Leyenda!$C$3,IF(G133=2,Leyenda!$C$4,IF(G133=3,Leyenda!$C$5,IF(G133=4,Leyenda!$C$6,IF(G133=5,Leyenda!$C$7,IF(G133=6,Leyenda!$C$8,IF(G133=7,Leyenda!$C$9,IF(G133=8,Leyenda!$C$10," "))))))))&amp;IF(G133=9,Leyenda!$C$11,IF(G133=10,Leyenda!$C$12,IF(G133=11,Leyenda!$C$13,IF(G133=12,Leyenda!$C$14," "))))</f>
        <v xml:space="preserve">GASTOS POR TRABAJOS, SUMINISTROS Y SERVICIOS </v>
      </c>
      <c r="I133" s="196" t="s">
        <v>1848</v>
      </c>
      <c r="K133" s="258">
        <v>202503</v>
      </c>
      <c r="L133" s="191">
        <v>28</v>
      </c>
      <c r="M133" s="191"/>
      <c r="O133" s="273">
        <v>2606</v>
      </c>
      <c r="P133" s="274">
        <v>0</v>
      </c>
      <c r="Q133" s="288">
        <f>SUM(O133:O133)</f>
        <v>2606</v>
      </c>
      <c r="R133" s="275">
        <v>0</v>
      </c>
      <c r="S133" s="275"/>
      <c r="T133" s="275"/>
      <c r="U133" s="275">
        <v>0</v>
      </c>
      <c r="V133" s="275">
        <v>0</v>
      </c>
      <c r="W133" s="275">
        <v>0</v>
      </c>
      <c r="X133" s="275">
        <v>0</v>
      </c>
      <c r="Y133" s="275">
        <v>0</v>
      </c>
      <c r="Z133" s="275">
        <v>0</v>
      </c>
      <c r="AA133" s="275">
        <v>0</v>
      </c>
      <c r="AB133" s="275">
        <v>0</v>
      </c>
      <c r="AC133" s="275">
        <v>0</v>
      </c>
      <c r="AD133" s="275">
        <f>SUM(Detalles2025[[#This Row],[Monto Facturado]:[Monto Propina Legal]])</f>
        <v>2606</v>
      </c>
      <c r="AE133" s="275" t="s">
        <v>1714</v>
      </c>
      <c r="AF133" s="200" t="str">
        <f>IFERROR(VLOOKUP(E133,Tabla3[],2,0),"No Registrado")</f>
        <v>ACADEMIA EUROPEA</v>
      </c>
      <c r="AG133" s="200" t="s">
        <v>1767</v>
      </c>
      <c r="AH133" s="275" t="s">
        <v>1165</v>
      </c>
    </row>
    <row r="134" spans="1:34" ht="16.5" x14ac:dyDescent="0.3">
      <c r="A134" s="166">
        <f t="shared" si="21"/>
        <v>45722</v>
      </c>
      <c r="B134" s="166" t="str">
        <f>TEXT(Detalles2025[[#This Row],[Fecha]],"AAAA")</f>
        <v>2025</v>
      </c>
      <c r="C134" s="166" t="str">
        <f>TEXT(Detalles2025[[#This Row],[Fecha]],"MMMM")</f>
        <v>marzo</v>
      </c>
      <c r="D134" s="166" t="str">
        <f>TEXT(Detalles2025[[#This Row],[Fecha]],"DDDD")</f>
        <v>jueves</v>
      </c>
      <c r="E134" s="192" t="s">
        <v>1116</v>
      </c>
      <c r="F134" s="193">
        <v>1</v>
      </c>
      <c r="G134" s="194">
        <v>2</v>
      </c>
      <c r="H134" s="269" t="str">
        <f>IF(G134=1,Leyenda!$C$3,IF(G134=2,Leyenda!$C$4,IF(G134=3,Leyenda!$C$5,IF(G134=4,Leyenda!$C$6,IF(G134=5,Leyenda!$C$7,IF(G134=6,Leyenda!$C$8,IF(G134=7,Leyenda!$C$9,IF(G134=8,Leyenda!$C$10," "))))))))&amp;IF(G134=9,Leyenda!$C$11,IF(G134=10,Leyenda!$C$12,IF(G134=11,Leyenda!$C$13,IF(G134=12,Leyenda!$C$14," "))))</f>
        <v xml:space="preserve">GASTOS POR TRABAJOS, SUMINISTROS Y SERVICIOS </v>
      </c>
      <c r="I134" s="196" t="s">
        <v>1849</v>
      </c>
      <c r="K134" s="258">
        <v>202503</v>
      </c>
      <c r="L134" s="191">
        <v>6</v>
      </c>
      <c r="M134" s="191"/>
      <c r="O134" s="280">
        <v>7600</v>
      </c>
      <c r="P134" s="76">
        <v>0</v>
      </c>
      <c r="Q134" s="198">
        <f>SUM(O134:P134)</f>
        <v>7600</v>
      </c>
      <c r="R134" s="199">
        <v>0</v>
      </c>
      <c r="S134" s="199"/>
      <c r="T134" s="199"/>
      <c r="U134" s="199">
        <v>0</v>
      </c>
      <c r="V134" s="199">
        <v>0</v>
      </c>
      <c r="W134" s="199">
        <v>0</v>
      </c>
      <c r="X134" s="199">
        <v>0</v>
      </c>
      <c r="Y134" s="199">
        <v>0</v>
      </c>
      <c r="Z134" s="199">
        <v>0</v>
      </c>
      <c r="AA134" s="199">
        <v>0</v>
      </c>
      <c r="AB134" s="199">
        <v>0</v>
      </c>
      <c r="AC134" s="199">
        <v>0</v>
      </c>
      <c r="AD134" s="199">
        <f>SUM(Detalles2025[[#This Row],[Monto Facturado]:[Monto Propina Legal]])</f>
        <v>7600</v>
      </c>
      <c r="AE134" s="199" t="s">
        <v>1714</v>
      </c>
      <c r="AF134" s="200" t="str">
        <f>IFERROR(VLOOKUP(E134,Tabla3[],2,0),"No Registrado")</f>
        <v>COLEGIO SANTA ROSA DE LIMA</v>
      </c>
      <c r="AG134" s="200" t="s">
        <v>1770</v>
      </c>
      <c r="AH134" s="199" t="s">
        <v>1161</v>
      </c>
    </row>
    <row r="135" spans="1:34" ht="16.5" x14ac:dyDescent="0.3">
      <c r="A135" s="166">
        <f t="shared" si="21"/>
        <v>45722</v>
      </c>
      <c r="B135" s="166" t="str">
        <f>TEXT(Detalles2025[[#This Row],[Fecha]],"AAAA")</f>
        <v>2025</v>
      </c>
      <c r="C135" s="166" t="str">
        <f>TEXT(Detalles2025[[#This Row],[Fecha]],"MMMM")</f>
        <v>marzo</v>
      </c>
      <c r="D135" s="166" t="str">
        <f>TEXT(Detalles2025[[#This Row],[Fecha]],"DDDD")</f>
        <v>jueves</v>
      </c>
      <c r="E135" s="192" t="s">
        <v>1116</v>
      </c>
      <c r="F135" s="193">
        <v>1</v>
      </c>
      <c r="G135" s="194">
        <v>2</v>
      </c>
      <c r="H135" s="269" t="str">
        <f>IF(G135=1,Leyenda!$C$3,IF(G135=2,Leyenda!$C$4,IF(G135=3,Leyenda!$C$5,IF(G135=4,Leyenda!$C$6,IF(G135=5,Leyenda!$C$7,IF(G135=6,Leyenda!$C$8,IF(G135=7,Leyenda!$C$9,IF(G135=8,Leyenda!$C$10," "))))))))&amp;IF(G135=9,Leyenda!$C$11,IF(G135=10,Leyenda!$C$12,IF(G135=11,Leyenda!$C$13,IF(G135=12,Leyenda!$C$14," "))))</f>
        <v xml:space="preserve">GASTOS POR TRABAJOS, SUMINISTROS Y SERVICIOS </v>
      </c>
      <c r="I135" s="196" t="s">
        <v>1850</v>
      </c>
      <c r="K135" s="258">
        <v>202503</v>
      </c>
      <c r="L135" s="191">
        <v>6</v>
      </c>
      <c r="M135" s="191"/>
      <c r="O135" s="280">
        <v>7300</v>
      </c>
      <c r="P135" s="76">
        <v>0</v>
      </c>
      <c r="Q135" s="198">
        <f t="shared" ref="Q135:Q139" si="22">SUM(O135:P135)</f>
        <v>7300</v>
      </c>
      <c r="R135" s="199">
        <v>0</v>
      </c>
      <c r="S135" s="199"/>
      <c r="T135" s="199"/>
      <c r="U135" s="199">
        <v>0</v>
      </c>
      <c r="V135" s="199">
        <v>0</v>
      </c>
      <c r="W135" s="199">
        <v>0</v>
      </c>
      <c r="X135" s="199">
        <v>0</v>
      </c>
      <c r="Y135" s="199">
        <v>0</v>
      </c>
      <c r="Z135" s="199">
        <v>0</v>
      </c>
      <c r="AA135" s="199">
        <v>0</v>
      </c>
      <c r="AB135" s="199">
        <v>0</v>
      </c>
      <c r="AC135" s="199">
        <v>0</v>
      </c>
      <c r="AD135" s="199">
        <f>SUM(Detalles2025[[#This Row],[Monto Facturado]:[Monto Propina Legal]])</f>
        <v>7300</v>
      </c>
      <c r="AE135" s="199" t="s">
        <v>1714</v>
      </c>
      <c r="AF135" s="200" t="str">
        <f>IFERROR(VLOOKUP(E135,Tabla3[],2,0),"No Registrado")</f>
        <v>COLEGIO SANTA ROSA DE LIMA</v>
      </c>
      <c r="AG135" s="200" t="s">
        <v>1770</v>
      </c>
      <c r="AH135" s="199" t="s">
        <v>1168</v>
      </c>
    </row>
    <row r="136" spans="1:34" ht="16.5" x14ac:dyDescent="0.3">
      <c r="A136" s="166">
        <f t="shared" si="21"/>
        <v>45722</v>
      </c>
      <c r="B136" s="166" t="str">
        <f>TEXT(Detalles2025[[#This Row],[Fecha]],"AAAA")</f>
        <v>2025</v>
      </c>
      <c r="C136" s="166" t="str">
        <f>TEXT(Detalles2025[[#This Row],[Fecha]],"MMMM")</f>
        <v>marzo</v>
      </c>
      <c r="D136" s="166" t="str">
        <f>TEXT(Detalles2025[[#This Row],[Fecha]],"DDDD")</f>
        <v>jueves</v>
      </c>
      <c r="E136" s="192" t="s">
        <v>1116</v>
      </c>
      <c r="F136" s="193">
        <v>1</v>
      </c>
      <c r="G136" s="194">
        <v>2</v>
      </c>
      <c r="H136" s="269" t="str">
        <f>IF(G136=1,Leyenda!$C$3,IF(G136=2,Leyenda!$C$4,IF(G136=3,Leyenda!$C$5,IF(G136=4,Leyenda!$C$6,IF(G136=5,Leyenda!$C$7,IF(G136=6,Leyenda!$C$8,IF(G136=7,Leyenda!$C$9,IF(G136=8,Leyenda!$C$10," "))))))))&amp;IF(G136=9,Leyenda!$C$11,IF(G136=10,Leyenda!$C$12,IF(G136=11,Leyenda!$C$13,IF(G136=12,Leyenda!$C$14," "))))</f>
        <v xml:space="preserve">GASTOS POR TRABAJOS, SUMINISTROS Y SERVICIOS </v>
      </c>
      <c r="I136" s="196" t="s">
        <v>1851</v>
      </c>
      <c r="K136" s="258">
        <v>202503</v>
      </c>
      <c r="L136" s="191">
        <v>6</v>
      </c>
      <c r="M136" s="191"/>
      <c r="O136" s="280">
        <v>7300</v>
      </c>
      <c r="P136" s="76">
        <v>0</v>
      </c>
      <c r="Q136" s="198">
        <f t="shared" si="22"/>
        <v>7300</v>
      </c>
      <c r="R136" s="199">
        <v>0</v>
      </c>
      <c r="S136" s="199"/>
      <c r="T136" s="199"/>
      <c r="U136" s="199">
        <v>0</v>
      </c>
      <c r="V136" s="199"/>
      <c r="W136" s="199"/>
      <c r="X136" s="199"/>
      <c r="Y136" s="199"/>
      <c r="Z136" s="199"/>
      <c r="AA136" s="199">
        <v>0</v>
      </c>
      <c r="AB136" s="199">
        <v>0</v>
      </c>
      <c r="AC136" s="199"/>
      <c r="AD136" s="199">
        <f>SUM(Detalles2025[[#This Row],[Monto Facturado]:[Monto Propina Legal]])</f>
        <v>7300</v>
      </c>
      <c r="AE136" s="199" t="s">
        <v>1714</v>
      </c>
      <c r="AF136" s="200" t="str">
        <f>IFERROR(VLOOKUP(E136,Tabla3[],2,0),"No Registrado")</f>
        <v>COLEGIO SANTA ROSA DE LIMA</v>
      </c>
      <c r="AG136" s="200" t="s">
        <v>1770</v>
      </c>
      <c r="AH136" s="199" t="s">
        <v>1732</v>
      </c>
    </row>
    <row r="137" spans="1:34" ht="16.5" x14ac:dyDescent="0.3">
      <c r="A137" s="166">
        <f t="shared" si="21"/>
        <v>45747</v>
      </c>
      <c r="B137" s="166" t="str">
        <f>TEXT(Detalles2025[[#This Row],[Fecha]],"AAAA")</f>
        <v>2025</v>
      </c>
      <c r="C137" s="166" t="str">
        <f>TEXT(Detalles2025[[#This Row],[Fecha]],"MMMM")</f>
        <v>marzo</v>
      </c>
      <c r="D137" s="166" t="str">
        <f>TEXT(Detalles2025[[#This Row],[Fecha]],"DDDD")</f>
        <v>lunes</v>
      </c>
      <c r="E137" s="192" t="s">
        <v>1116</v>
      </c>
      <c r="F137" s="193">
        <v>2</v>
      </c>
      <c r="G137" s="194">
        <v>2</v>
      </c>
      <c r="H137" s="269" t="str">
        <f>IF(G137=1,Leyenda!$C$3,IF(G137=2,Leyenda!$C$4,IF(G137=3,Leyenda!$C$5,IF(G137=4,Leyenda!$C$6,IF(G137=5,Leyenda!$C$7,IF(G137=6,Leyenda!$C$8,IF(G137=7,Leyenda!$C$9,IF(G137=8,Leyenda!$C$10," "))))))))&amp;IF(G137=9,Leyenda!$C$11,IF(G137=10,Leyenda!$C$12,IF(G137=11,Leyenda!$C$13,IF(G137=12,Leyenda!$C$14," "))))</f>
        <v xml:space="preserve">GASTOS POR TRABAJOS, SUMINISTROS Y SERVICIOS </v>
      </c>
      <c r="I137" s="196" t="s">
        <v>1852</v>
      </c>
      <c r="J137" s="329"/>
      <c r="K137" s="258">
        <v>202503</v>
      </c>
      <c r="L137" s="203">
        <v>31</v>
      </c>
      <c r="M137" s="204"/>
      <c r="N137" s="204"/>
      <c r="O137" s="280">
        <v>7600</v>
      </c>
      <c r="P137" s="76"/>
      <c r="Q137" s="198">
        <f t="shared" si="22"/>
        <v>7600</v>
      </c>
      <c r="R137" s="199">
        <v>0</v>
      </c>
      <c r="S137" s="199"/>
      <c r="T137" s="199"/>
      <c r="U137" s="199">
        <v>0</v>
      </c>
      <c r="V137" s="199"/>
      <c r="W137" s="199"/>
      <c r="X137" s="199"/>
      <c r="Y137" s="199"/>
      <c r="Z137" s="199"/>
      <c r="AA137" s="199">
        <v>0</v>
      </c>
      <c r="AB137" s="199">
        <v>0</v>
      </c>
      <c r="AC137" s="199">
        <v>0</v>
      </c>
      <c r="AD137" s="199">
        <f>SUM(Detalles2025[[#This Row],[Monto Facturado]:[Monto Propina Legal]])</f>
        <v>7600</v>
      </c>
      <c r="AE137" s="199" t="s">
        <v>1714</v>
      </c>
      <c r="AF137" s="200" t="str">
        <f>IFERROR(VLOOKUP(E137,Tabla3[],2,0),"No Registrado")</f>
        <v>COLEGIO SANTA ROSA DE LIMA</v>
      </c>
      <c r="AG137" s="200" t="s">
        <v>1770</v>
      </c>
      <c r="AH137" s="199" t="s">
        <v>1161</v>
      </c>
    </row>
    <row r="138" spans="1:34" ht="16.5" x14ac:dyDescent="0.3">
      <c r="A138" s="166">
        <f t="shared" si="21"/>
        <v>45747</v>
      </c>
      <c r="B138" s="166" t="str">
        <f>TEXT(Detalles2025[[#This Row],[Fecha]],"AAAA")</f>
        <v>2025</v>
      </c>
      <c r="C138" s="166" t="str">
        <f>TEXT(Detalles2025[[#This Row],[Fecha]],"MMMM")</f>
        <v>marzo</v>
      </c>
      <c r="D138" s="166" t="str">
        <f>TEXT(Detalles2025[[#This Row],[Fecha]],"DDDD")</f>
        <v>lunes</v>
      </c>
      <c r="E138" s="192" t="s">
        <v>1116</v>
      </c>
      <c r="F138" s="193">
        <v>1</v>
      </c>
      <c r="G138" s="194">
        <v>2</v>
      </c>
      <c r="H138" s="269" t="str">
        <f>IF(G138=1,Leyenda!$C$3,IF(G138=2,Leyenda!$C$4,IF(G138=3,Leyenda!$C$5,IF(G138=4,Leyenda!$C$6,IF(G138=5,Leyenda!$C$7,IF(G138=6,Leyenda!$C$8,IF(G138=7,Leyenda!$C$9,IF(G138=8,Leyenda!$C$10," "))))))))&amp;IF(G138=9,Leyenda!$C$11,IF(G138=10,Leyenda!$C$12,IF(G138=11,Leyenda!$C$13,IF(G138=12,Leyenda!$C$14," "))))</f>
        <v xml:space="preserve">GASTOS POR TRABAJOS, SUMINISTROS Y SERVICIOS </v>
      </c>
      <c r="I138" s="196" t="s">
        <v>1853</v>
      </c>
      <c r="K138" s="258">
        <v>202503</v>
      </c>
      <c r="L138" s="191">
        <v>31</v>
      </c>
      <c r="M138" s="191"/>
      <c r="O138" s="280">
        <v>7300</v>
      </c>
      <c r="P138" s="76"/>
      <c r="Q138" s="198">
        <f t="shared" si="22"/>
        <v>7300</v>
      </c>
      <c r="R138" s="199">
        <v>0</v>
      </c>
      <c r="S138" s="199"/>
      <c r="T138" s="199"/>
      <c r="U138" s="199"/>
      <c r="V138" s="199"/>
      <c r="W138" s="199"/>
      <c r="X138" s="199"/>
      <c r="Y138" s="199"/>
      <c r="Z138" s="199"/>
      <c r="AA138" s="199">
        <v>0</v>
      </c>
      <c r="AB138" s="199">
        <v>0</v>
      </c>
      <c r="AC138" s="199"/>
      <c r="AD138" s="199">
        <f>SUM(Detalles2025[[#This Row],[Monto Facturado]:[Monto Propina Legal]])</f>
        <v>7300</v>
      </c>
      <c r="AE138" s="199" t="s">
        <v>1714</v>
      </c>
      <c r="AF138" s="200" t="str">
        <f>IFERROR(VLOOKUP(E138,Tabla3[],2,0),"No Registrado")</f>
        <v>COLEGIO SANTA ROSA DE LIMA</v>
      </c>
      <c r="AG138" s="200" t="s">
        <v>1770</v>
      </c>
      <c r="AH138" s="199" t="s">
        <v>1168</v>
      </c>
    </row>
    <row r="139" spans="1:34" ht="16.5" x14ac:dyDescent="0.3">
      <c r="A139" s="166">
        <f t="shared" si="21"/>
        <v>45747</v>
      </c>
      <c r="B139" s="166" t="str">
        <f>TEXT(Detalles2025[[#This Row],[Fecha]],"AAAA")</f>
        <v>2025</v>
      </c>
      <c r="C139" s="166" t="str">
        <f>TEXT(Detalles2025[[#This Row],[Fecha]],"MMMM")</f>
        <v>marzo</v>
      </c>
      <c r="D139" s="166" t="str">
        <f>TEXT(Detalles2025[[#This Row],[Fecha]],"DDDD")</f>
        <v>lunes</v>
      </c>
      <c r="E139" s="192" t="s">
        <v>1116</v>
      </c>
      <c r="F139" s="193">
        <v>1</v>
      </c>
      <c r="G139" s="194">
        <v>2</v>
      </c>
      <c r="H139" s="269" t="str">
        <f>IF(G139=1,Leyenda!$C$3,IF(G139=2,Leyenda!$C$4,IF(G139=3,Leyenda!$C$5,IF(G139=4,Leyenda!$C$6,IF(G139=5,Leyenda!$C$7,IF(G139=6,Leyenda!$C$8,IF(G139=7,Leyenda!$C$9,IF(G139=8,Leyenda!$C$10," "))))))))&amp;IF(G139=9,Leyenda!$C$11,IF(G139=10,Leyenda!$C$12,IF(G139=11,Leyenda!$C$13,IF(G139=12,Leyenda!$C$14," "))))</f>
        <v xml:space="preserve">GASTOS POR TRABAJOS, SUMINISTROS Y SERVICIOS </v>
      </c>
      <c r="I139" s="196" t="s">
        <v>1854</v>
      </c>
      <c r="K139" s="258">
        <v>202503</v>
      </c>
      <c r="L139" s="191">
        <v>31</v>
      </c>
      <c r="M139" s="191"/>
      <c r="O139" s="280">
        <v>7300</v>
      </c>
      <c r="P139" s="76"/>
      <c r="Q139" s="198">
        <f t="shared" si="22"/>
        <v>7300</v>
      </c>
      <c r="R139" s="199">
        <v>0</v>
      </c>
      <c r="S139" s="199"/>
      <c r="T139" s="199"/>
      <c r="U139" s="199"/>
      <c r="V139" s="199"/>
      <c r="W139" s="199"/>
      <c r="X139" s="199"/>
      <c r="Y139" s="199"/>
      <c r="Z139" s="199"/>
      <c r="AA139" s="199">
        <v>0</v>
      </c>
      <c r="AB139" s="199">
        <v>0</v>
      </c>
      <c r="AC139" s="199"/>
      <c r="AD139" s="199">
        <f>SUM(Detalles2025[[#This Row],[Monto Facturado]:[Monto Propina Legal]])</f>
        <v>7300</v>
      </c>
      <c r="AE139" s="199" t="s">
        <v>1714</v>
      </c>
      <c r="AF139" s="200" t="str">
        <f>IFERROR(VLOOKUP(E139,Tabla3[],2,0),"No Registrado")</f>
        <v>COLEGIO SANTA ROSA DE LIMA</v>
      </c>
      <c r="AG139" s="200" t="s">
        <v>1770</v>
      </c>
      <c r="AH139" s="199" t="s">
        <v>1732</v>
      </c>
    </row>
    <row r="140" spans="1:34" ht="16.5" x14ac:dyDescent="0.3">
      <c r="A140" s="166">
        <f t="shared" si="21"/>
        <v>45747</v>
      </c>
      <c r="B140" s="166" t="s">
        <v>376</v>
      </c>
      <c r="C140" s="166" t="s">
        <v>1776</v>
      </c>
      <c r="D140" s="166" t="s">
        <v>1777</v>
      </c>
      <c r="E140" s="192" t="s">
        <v>1116</v>
      </c>
      <c r="F140" s="193">
        <v>1</v>
      </c>
      <c r="G140" s="194">
        <v>2</v>
      </c>
      <c r="H140" s="285" t="s">
        <v>1778</v>
      </c>
      <c r="I140" s="196" t="s">
        <v>1854</v>
      </c>
      <c r="J140" s="258">
        <v>202501</v>
      </c>
      <c r="K140" s="258">
        <v>202503</v>
      </c>
      <c r="L140" s="191">
        <v>31</v>
      </c>
      <c r="M140" s="289"/>
      <c r="N140" s="290">
        <v>7300</v>
      </c>
      <c r="O140" s="273">
        <v>0</v>
      </c>
      <c r="P140" s="274">
        <v>0</v>
      </c>
      <c r="Q140" s="288">
        <v>0</v>
      </c>
      <c r="R140" s="275">
        <v>0</v>
      </c>
      <c r="S140" s="275"/>
      <c r="T140" s="275">
        <v>7300</v>
      </c>
      <c r="U140" s="275">
        <v>0</v>
      </c>
      <c r="V140" s="284" t="s">
        <v>1117</v>
      </c>
      <c r="W140" s="284" t="s">
        <v>1770</v>
      </c>
      <c r="X140" s="275" t="s">
        <v>1732</v>
      </c>
      <c r="Y140" s="275"/>
      <c r="Z140" s="275"/>
      <c r="AA140" s="275">
        <v>0</v>
      </c>
      <c r="AB140" s="275">
        <v>0</v>
      </c>
      <c r="AC140" s="275">
        <v>0</v>
      </c>
      <c r="AD140" s="275">
        <v>0</v>
      </c>
      <c r="AE140" s="275" t="s">
        <v>1714</v>
      </c>
      <c r="AF140" s="200" t="str">
        <f>IFERROR(VLOOKUP(E140,Tabla3[],2,0),"No Registrado")</f>
        <v>COLEGIO SANTA ROSA DE LIMA</v>
      </c>
      <c r="AG140" s="200" t="s">
        <v>1770</v>
      </c>
      <c r="AH140" s="275" t="s">
        <v>1165</v>
      </c>
    </row>
    <row r="141" spans="1:34" ht="16.5" x14ac:dyDescent="0.3">
      <c r="A141" s="166">
        <f t="shared" si="21"/>
        <v>45723</v>
      </c>
      <c r="B141" s="166" t="str">
        <f>TEXT(Detalles2025[[#This Row],[Fecha]],"AAAA")</f>
        <v>2025</v>
      </c>
      <c r="C141" s="166" t="str">
        <f>TEXT(Detalles2025[[#This Row],[Fecha]],"MMMM")</f>
        <v>marzo</v>
      </c>
      <c r="D141" s="166" t="str">
        <f>TEXT(Detalles2025[[#This Row],[Fecha]],"DDDD")</f>
        <v>viernes</v>
      </c>
      <c r="E141" s="192" t="s">
        <v>495</v>
      </c>
      <c r="F141" s="193">
        <v>1</v>
      </c>
      <c r="G141" s="194">
        <v>2</v>
      </c>
      <c r="H141" s="278" t="str">
        <f>IF(G141=1,Leyenda!$C$3,IF(G141=2,Leyenda!$C$4,IF(G141=3,Leyenda!$C$5,IF(G141=4,Leyenda!$C$6,IF(G141=5,Leyenda!$C$7,IF(G141=6,Leyenda!$C$8,IF(G141=7,Leyenda!$C$9,IF(G141=8,Leyenda!$C$10," "))))))))&amp;IF(G141=9,Leyenda!$C$11,IF(G141=10,Leyenda!$C$12,IF(G141=11,Leyenda!$C$13,IF(G141=12,Leyenda!$C$14," "))))</f>
        <v xml:space="preserve">GASTOS POR TRABAJOS, SUMINISTROS Y SERVICIOS </v>
      </c>
      <c r="I141" s="196" t="s">
        <v>1855</v>
      </c>
      <c r="K141" s="258">
        <v>202503</v>
      </c>
      <c r="L141" s="191">
        <v>7</v>
      </c>
      <c r="M141" s="191"/>
      <c r="O141" s="280">
        <v>1153.08</v>
      </c>
      <c r="P141" s="76">
        <v>0</v>
      </c>
      <c r="Q141" s="198">
        <f t="shared" ref="Q141:Q145" si="23">SUM(O141:P141)</f>
        <v>1153.08</v>
      </c>
      <c r="R141" s="199">
        <v>207.55</v>
      </c>
      <c r="S141" s="199"/>
      <c r="T141" s="199"/>
      <c r="U141" s="199">
        <v>0</v>
      </c>
      <c r="V141" s="199"/>
      <c r="W141" s="199"/>
      <c r="X141" s="199"/>
      <c r="Y141" s="199"/>
      <c r="Z141" s="199"/>
      <c r="AA141" s="199">
        <v>115.31</v>
      </c>
      <c r="AB141" s="199">
        <v>23.06</v>
      </c>
      <c r="AC141" s="199">
        <v>0</v>
      </c>
      <c r="AD141" s="199">
        <f>SUM(Detalles2025[[#This Row],[Monto Facturado]:[Monto Propina Legal]])</f>
        <v>1498.9999999999998</v>
      </c>
      <c r="AE141" s="199" t="s">
        <v>1714</v>
      </c>
      <c r="AF141" s="200" t="str">
        <f>IFERROR(VLOOKUP(E141,Tabla3[],2,0),"No Registrado")</f>
        <v>CLARO//CODETEL</v>
      </c>
      <c r="AG141" s="200" t="s">
        <v>1783</v>
      </c>
      <c r="AH141" s="199" t="s">
        <v>1720</v>
      </c>
    </row>
    <row r="142" spans="1:34" ht="16.5" x14ac:dyDescent="0.3">
      <c r="A142" s="166">
        <f t="shared" si="21"/>
        <v>45723</v>
      </c>
      <c r="B142" s="166" t="str">
        <f>TEXT(Detalles2025[[#This Row],[Fecha]],"AAAA")</f>
        <v>2025</v>
      </c>
      <c r="C142" s="166" t="str">
        <f>TEXT(Detalles2025[[#This Row],[Fecha]],"MMMM")</f>
        <v>marzo</v>
      </c>
      <c r="D142" s="166" t="str">
        <f>TEXT(Detalles2025[[#This Row],[Fecha]],"DDDD")</f>
        <v>viernes</v>
      </c>
      <c r="E142" s="192" t="s">
        <v>495</v>
      </c>
      <c r="F142" s="193">
        <v>1</v>
      </c>
      <c r="G142" s="194">
        <v>2</v>
      </c>
      <c r="H142" s="272" t="str">
        <f>IF(G142=1,Leyenda!$C$3,IF(G142=2,Leyenda!$C$4,IF(G142=3,Leyenda!$C$5,IF(G142=4,Leyenda!$C$6,IF(G142=5,Leyenda!$C$7,IF(G142=6,Leyenda!$C$8,IF(G142=7,Leyenda!$C$9,IF(G142=8,Leyenda!$C$10," "))))))))&amp;IF(G142=9,Leyenda!$C$11,IF(G142=10,Leyenda!$C$12,IF(G142=11,Leyenda!$C$13,IF(G142=12,Leyenda!$C$14," "))))</f>
        <v xml:space="preserve">GASTOS POR TRABAJOS, SUMINISTROS Y SERVICIOS </v>
      </c>
      <c r="I142" s="196" t="s">
        <v>1856</v>
      </c>
      <c r="K142" s="258">
        <v>202503</v>
      </c>
      <c r="L142" s="191">
        <v>7</v>
      </c>
      <c r="M142" s="191"/>
      <c r="O142" s="273">
        <v>2407.69</v>
      </c>
      <c r="P142" s="274">
        <v>0</v>
      </c>
      <c r="Q142" s="288">
        <f t="shared" si="23"/>
        <v>2407.69</v>
      </c>
      <c r="R142" s="275">
        <v>433.39</v>
      </c>
      <c r="S142" s="275"/>
      <c r="T142" s="275"/>
      <c r="U142" s="275">
        <v>0</v>
      </c>
      <c r="V142" s="275"/>
      <c r="W142" s="275"/>
      <c r="X142" s="275"/>
      <c r="Y142" s="275"/>
      <c r="Z142" s="275"/>
      <c r="AA142" s="275">
        <v>240.77</v>
      </c>
      <c r="AB142" s="275">
        <v>48.15</v>
      </c>
      <c r="AC142" s="275">
        <v>0</v>
      </c>
      <c r="AD142" s="275">
        <f>SUM(Detalles2025[[#This Row],[Monto Facturado]:[Monto Propina Legal]])</f>
        <v>3130</v>
      </c>
      <c r="AE142" s="275" t="s">
        <v>1714</v>
      </c>
      <c r="AF142" s="200" t="str">
        <f>IFERROR(VLOOKUP(E142,Tabla3[],2,0),"No Registrado")</f>
        <v>CLARO//CODETEL</v>
      </c>
      <c r="AG142" s="200" t="s">
        <v>1785</v>
      </c>
      <c r="AH142" s="275" t="s">
        <v>1170</v>
      </c>
    </row>
    <row r="143" spans="1:34" ht="16.5" x14ac:dyDescent="0.3">
      <c r="A143" s="166">
        <f t="shared" si="21"/>
        <v>45726</v>
      </c>
      <c r="B143" s="166" t="str">
        <f>TEXT(Detalles2025[[#This Row],[Fecha]],"AAAA")</f>
        <v>2025</v>
      </c>
      <c r="C143" s="166" t="str">
        <f>TEXT(Detalles2025[[#This Row],[Fecha]],"MMMM")</f>
        <v>marzo</v>
      </c>
      <c r="D143" s="166" t="str">
        <f>TEXT(Detalles2025[[#This Row],[Fecha]],"DDDD")</f>
        <v>lunes</v>
      </c>
      <c r="E143" s="192" t="s">
        <v>495</v>
      </c>
      <c r="F143" s="193">
        <v>1</v>
      </c>
      <c r="G143" s="194">
        <v>12</v>
      </c>
      <c r="H143" s="272" t="str">
        <f>IF(G143=1,Leyenda!$C$3,IF(G143=2,Leyenda!$C$4,IF(G143=3,Leyenda!$C$5,IF(G143=4,Leyenda!$C$6,IF(G143=5,Leyenda!$C$7,IF(G143=6,Leyenda!$C$8,IF(G143=7,Leyenda!$C$9,IF(G143=8,Leyenda!$C$10," "))))))))&amp;IF(G143=9,Leyenda!$C$11,IF(G143=10,Leyenda!$C$12,IF(G143=11,Leyenda!$C$13,IF(G143=12,Leyenda!$C$14," "))))</f>
        <v xml:space="preserve"> GASTOS MENORES</v>
      </c>
      <c r="I143" s="277">
        <v>0</v>
      </c>
      <c r="K143" s="258">
        <v>202503</v>
      </c>
      <c r="L143" s="191">
        <v>10</v>
      </c>
      <c r="M143" s="191"/>
      <c r="O143" s="273">
        <v>1085.01</v>
      </c>
      <c r="P143" s="274">
        <v>0</v>
      </c>
      <c r="Q143" s="288">
        <f t="shared" si="23"/>
        <v>1085.01</v>
      </c>
      <c r="R143" s="275">
        <v>0</v>
      </c>
      <c r="S143" s="275"/>
      <c r="T143" s="275"/>
      <c r="U143" s="275">
        <v>0</v>
      </c>
      <c r="V143" s="275"/>
      <c r="W143" s="275"/>
      <c r="X143" s="275"/>
      <c r="Y143" s="275"/>
      <c r="Z143" s="275"/>
      <c r="AA143" s="275">
        <v>0</v>
      </c>
      <c r="AB143" s="275">
        <v>0</v>
      </c>
      <c r="AC143" s="275">
        <v>0</v>
      </c>
      <c r="AD143" s="275">
        <f>SUM(Detalles2025[[#This Row],[Monto Facturado]:[Monto Propina Legal]])</f>
        <v>1085.01</v>
      </c>
      <c r="AE143" s="275" t="s">
        <v>1714</v>
      </c>
      <c r="AF143" s="200" t="str">
        <f>IFERROR(VLOOKUP(E143,Tabla3[],2,0),"No Registrado")</f>
        <v>CLARO//CODETEL</v>
      </c>
      <c r="AG143" s="200" t="s">
        <v>1785</v>
      </c>
      <c r="AH143" s="275" t="s">
        <v>1727</v>
      </c>
    </row>
    <row r="144" spans="1:34" ht="16.5" x14ac:dyDescent="0.3">
      <c r="A144" s="166">
        <f t="shared" si="21"/>
        <v>45737</v>
      </c>
      <c r="B144" s="166" t="str">
        <f>TEXT(Detalles2025[[#This Row],[Fecha]],"AAAA")</f>
        <v>2025</v>
      </c>
      <c r="C144" s="166" t="str">
        <f>TEXT(Detalles2025[[#This Row],[Fecha]],"MMMM")</f>
        <v>marzo</v>
      </c>
      <c r="D144" s="166" t="str">
        <f>TEXT(Detalles2025[[#This Row],[Fecha]],"DDDD")</f>
        <v>viernes</v>
      </c>
      <c r="E144" s="192" t="s">
        <v>1112</v>
      </c>
      <c r="F144" s="193">
        <v>1</v>
      </c>
      <c r="G144" s="194">
        <v>2</v>
      </c>
      <c r="H144" s="285" t="str">
        <f>IF(G144=1,Leyenda!$C$3,IF(G144=2,Leyenda!$C$4,IF(G144=3,Leyenda!$C$5,IF(G144=4,Leyenda!$C$6,IF(G144=5,Leyenda!$C$7,IF(G144=6,Leyenda!$C$8,IF(G144=7,Leyenda!$C$9,IF(G144=8,Leyenda!$C$10," "))))))))&amp;IF(G144=9,Leyenda!$C$11,IF(G144=10,Leyenda!$C$12,IF(G144=11,Leyenda!$C$13,IF(G144=12,Leyenda!$C$14," "))))</f>
        <v xml:space="preserve">GASTOS POR TRABAJOS, SUMINISTROS Y SERVICIOS </v>
      </c>
      <c r="I144" s="196" t="s">
        <v>1857</v>
      </c>
      <c r="K144" s="258">
        <v>202503</v>
      </c>
      <c r="L144" s="191">
        <v>21</v>
      </c>
      <c r="M144" s="191"/>
      <c r="O144" s="273">
        <v>4932.1099999999997</v>
      </c>
      <c r="P144" s="274">
        <v>0</v>
      </c>
      <c r="Q144" s="288">
        <f t="shared" si="23"/>
        <v>4932.1099999999997</v>
      </c>
      <c r="R144" s="275">
        <v>0</v>
      </c>
      <c r="S144" s="275"/>
      <c r="T144" s="275"/>
      <c r="U144" s="275">
        <v>0</v>
      </c>
      <c r="V144" s="275"/>
      <c r="W144" s="275"/>
      <c r="X144" s="275"/>
      <c r="Y144" s="275"/>
      <c r="Z144" s="275"/>
      <c r="AA144" s="275">
        <v>0</v>
      </c>
      <c r="AB144" s="275">
        <v>0</v>
      </c>
      <c r="AC144" s="275">
        <v>0</v>
      </c>
      <c r="AD144" s="275">
        <f>SUM(Detalles2025[[#This Row],[Monto Facturado]:[Monto Propina Legal]])</f>
        <v>4932.1099999999997</v>
      </c>
      <c r="AE144" s="275" t="s">
        <v>1714</v>
      </c>
      <c r="AF144" s="200" t="str">
        <f>IFERROR(VLOOKUP(E144,Tabla3[],2,0),"No Registrado")</f>
        <v>EDEESTE</v>
      </c>
      <c r="AG144" s="200" t="s">
        <v>1787</v>
      </c>
      <c r="AH144" s="275" t="s">
        <v>1720</v>
      </c>
    </row>
    <row r="145" spans="1:34" ht="16.5" x14ac:dyDescent="0.3">
      <c r="A145" s="166">
        <f t="shared" ref="A145:A167" si="24">DATE(LEFT(K145,4),RIGHT(K145,2),L145)</f>
        <v>45758</v>
      </c>
      <c r="B145" s="166" t="str">
        <f>TEXT(Detalles2025[[#This Row],[Fecha]],"AAAA")</f>
        <v>2025</v>
      </c>
      <c r="C145" s="166" t="str">
        <f>TEXT(Detalles2025[[#This Row],[Fecha]],"MMMM")</f>
        <v>abril</v>
      </c>
      <c r="D145" s="166" t="str">
        <f>TEXT(Detalles2025[[#This Row],[Fecha]],"DDDD")</f>
        <v>viernes</v>
      </c>
      <c r="E145" s="192" t="s">
        <v>1858</v>
      </c>
      <c r="F145" s="193">
        <v>1</v>
      </c>
      <c r="G145" s="194">
        <v>12</v>
      </c>
      <c r="H145" s="272" t="str">
        <f>IF(G145=1,Leyenda!$C$3,IF(G145=2,Leyenda!$C$4,IF(G145=3,Leyenda!$C$5,IF(G145=4,Leyenda!$C$6,IF(G145=5,Leyenda!$C$7,IF(G145=6,Leyenda!$C$8,IF(G145=7,Leyenda!$C$9,IF(G145=8,Leyenda!$C$10," "))))))))&amp;IF(G145=9,Leyenda!$C$11,IF(G145=10,Leyenda!$C$12,IF(G145=11,Leyenda!$C$13,IF(G145=12,Leyenda!$C$14," "))))</f>
        <v xml:space="preserve"> GASTOS MENORES</v>
      </c>
      <c r="I145" s="196">
        <v>0</v>
      </c>
      <c r="K145" s="258">
        <v>202504</v>
      </c>
      <c r="L145" s="191">
        <v>11</v>
      </c>
      <c r="M145" s="191"/>
      <c r="O145" s="273">
        <v>0</v>
      </c>
      <c r="P145" s="274">
        <v>1000</v>
      </c>
      <c r="Q145" s="288">
        <f t="shared" si="23"/>
        <v>1000</v>
      </c>
      <c r="R145" s="275">
        <v>0</v>
      </c>
      <c r="S145" s="275"/>
      <c r="T145" s="275"/>
      <c r="U145" s="275">
        <v>0</v>
      </c>
      <c r="V145" s="275"/>
      <c r="W145" s="275"/>
      <c r="X145" s="275"/>
      <c r="Y145" s="275"/>
      <c r="Z145" s="275"/>
      <c r="AA145" s="275">
        <v>0</v>
      </c>
      <c r="AB145" s="275">
        <v>0</v>
      </c>
      <c r="AC145" s="275">
        <v>0</v>
      </c>
      <c r="AD145" s="275">
        <f>SUM(Detalles2025[[#This Row],[Monto Facturado]:[Monto Propina Legal]])</f>
        <v>1000</v>
      </c>
      <c r="AE145" s="284" t="s">
        <v>1714</v>
      </c>
      <c r="AF145" s="200" t="str">
        <f>IFERROR(VLOOKUP(E145,Tabla3[],2,0),"No Registrado")</f>
        <v>No Registrado</v>
      </c>
      <c r="AG145" s="200" t="s">
        <v>1791</v>
      </c>
      <c r="AH145" s="275" t="s">
        <v>1859</v>
      </c>
    </row>
    <row r="146" spans="1:34" ht="16.5" x14ac:dyDescent="0.3">
      <c r="A146" s="166">
        <f t="shared" si="24"/>
        <v>45773</v>
      </c>
      <c r="B146" s="166" t="str">
        <f>TEXT(Detalles2025[[#This Row],[Fecha]],"AAAA")</f>
        <v>2025</v>
      </c>
      <c r="C146" s="166" t="str">
        <f>TEXT(Detalles2025[[#This Row],[Fecha]],"MMMM")</f>
        <v>abril</v>
      </c>
      <c r="D146" s="166" t="str">
        <f>TEXT(Detalles2025[[#This Row],[Fecha]],"DDDD")</f>
        <v>sábado</v>
      </c>
      <c r="E146" s="192" t="s">
        <v>1724</v>
      </c>
      <c r="F146" s="193">
        <v>1</v>
      </c>
      <c r="G146" s="194">
        <v>12</v>
      </c>
      <c r="H146" s="269" t="str">
        <f>IF(G146=1,Leyenda!$C$3,IF(G146=2,Leyenda!$C$4,IF(G146=3,Leyenda!$C$5,IF(G146=4,Leyenda!$C$6,IF(G146=5,Leyenda!$C$7,IF(G146=6,Leyenda!$C$8,IF(G146=7,Leyenda!$C$9,IF(G146=8,Leyenda!$C$10," "))))))))&amp;IF(G146=9,Leyenda!$C$11,IF(G146=10,Leyenda!$C$12,IF(G146=11,Leyenda!$C$13,IF(G146=12,Leyenda!$C$14," "))))</f>
        <v xml:space="preserve"> GASTOS MENORES</v>
      </c>
      <c r="I146" s="196">
        <v>0</v>
      </c>
      <c r="K146" s="258">
        <v>202504</v>
      </c>
      <c r="L146" s="191">
        <v>26</v>
      </c>
      <c r="M146" s="191"/>
      <c r="O146" s="280">
        <v>0</v>
      </c>
      <c r="P146" s="76">
        <v>6000</v>
      </c>
      <c r="Q146" s="198">
        <f t="shared" ref="Q146:Q177" si="25">SUM(O146:P146)</f>
        <v>6000</v>
      </c>
      <c r="R146" s="199">
        <v>0</v>
      </c>
      <c r="S146" s="199">
        <v>0</v>
      </c>
      <c r="T146" s="199">
        <v>0</v>
      </c>
      <c r="U146" s="199">
        <v>0</v>
      </c>
      <c r="V146" s="199">
        <v>0</v>
      </c>
      <c r="W146" s="199">
        <v>0</v>
      </c>
      <c r="X146" s="199">
        <v>0</v>
      </c>
      <c r="Y146" s="199">
        <v>0</v>
      </c>
      <c r="Z146" s="199">
        <v>0</v>
      </c>
      <c r="AA146" s="199">
        <v>0</v>
      </c>
      <c r="AB146" s="199">
        <v>0</v>
      </c>
      <c r="AC146" s="199">
        <v>0</v>
      </c>
      <c r="AD146" s="199">
        <f>SUM(Detalles2025[[#This Row],[Monto Facturado]:[Monto Propina Legal]])</f>
        <v>6000</v>
      </c>
      <c r="AE146" s="199" t="s">
        <v>1725</v>
      </c>
      <c r="AF146" s="200" t="str">
        <f>IFERROR(VLOOKUP(E146,Tabla3[],2,0),"No Registrado")</f>
        <v>No Registrado</v>
      </c>
      <c r="AG146" s="200" t="s">
        <v>1726</v>
      </c>
      <c r="AH146" s="199" t="s">
        <v>1727</v>
      </c>
    </row>
    <row r="147" spans="1:34" ht="16.5" x14ac:dyDescent="0.3">
      <c r="A147" s="166">
        <f t="shared" si="24"/>
        <v>45773</v>
      </c>
      <c r="B147" s="166" t="str">
        <f>TEXT(Detalles2025[[#This Row],[Fecha]],"AAAA")</f>
        <v>2025</v>
      </c>
      <c r="C147" s="166" t="str">
        <f>TEXT(Detalles2025[[#This Row],[Fecha]],"MMMM")</f>
        <v>abril</v>
      </c>
      <c r="D147" s="166" t="str">
        <f>TEXT(Detalles2025[[#This Row],[Fecha]],"DDDD")</f>
        <v>sábado</v>
      </c>
      <c r="E147" s="192" t="s">
        <v>1728</v>
      </c>
      <c r="F147" s="193">
        <v>1</v>
      </c>
      <c r="G147" s="194">
        <v>12</v>
      </c>
      <c r="H147" s="269" t="str">
        <f>IF(G147=1,Leyenda!$C$3,IF(G147=2,Leyenda!$C$4,IF(G147=3,Leyenda!$C$5,IF(G147=4,Leyenda!$C$6,IF(G147=5,Leyenda!$C$7,IF(G147=6,Leyenda!$C$8,IF(G147=7,Leyenda!$C$9,IF(G147=8,Leyenda!$C$10," "))))))))&amp;IF(G147=9,Leyenda!$C$11,IF(G147=10,Leyenda!$C$12,IF(G147=11,Leyenda!$C$13,IF(G147=12,Leyenda!$C$14," "))))</f>
        <v xml:space="preserve"> GASTOS MENORES</v>
      </c>
      <c r="I147" s="196">
        <v>0</v>
      </c>
      <c r="K147" s="258">
        <v>202504</v>
      </c>
      <c r="L147" s="191">
        <v>26</v>
      </c>
      <c r="M147" s="191"/>
      <c r="O147" s="280">
        <v>0</v>
      </c>
      <c r="P147" s="76">
        <v>3000</v>
      </c>
      <c r="Q147" s="198">
        <f t="shared" si="25"/>
        <v>3000</v>
      </c>
      <c r="R147" s="199">
        <v>0</v>
      </c>
      <c r="S147" s="199">
        <v>0</v>
      </c>
      <c r="T147" s="199">
        <v>0</v>
      </c>
      <c r="U147" s="199">
        <v>0</v>
      </c>
      <c r="V147" s="199">
        <v>0</v>
      </c>
      <c r="W147" s="199">
        <v>0</v>
      </c>
      <c r="X147" s="199">
        <v>0</v>
      </c>
      <c r="Y147" s="199">
        <v>0</v>
      </c>
      <c r="Z147" s="199">
        <v>0</v>
      </c>
      <c r="AA147" s="199">
        <v>0</v>
      </c>
      <c r="AB147" s="199">
        <v>0</v>
      </c>
      <c r="AC147" s="199">
        <v>0</v>
      </c>
      <c r="AD147" s="199">
        <f>SUM(Detalles2025[[#This Row],[Monto Facturado]:[Monto Propina Legal]])</f>
        <v>3000</v>
      </c>
      <c r="AE147" s="199" t="s">
        <v>1725</v>
      </c>
      <c r="AF147" s="200" t="str">
        <f>IFERROR(VLOOKUP(E147,Tabla3[],2,0),"No Registrado")</f>
        <v>No Registrado</v>
      </c>
      <c r="AG147" s="200" t="s">
        <v>1726</v>
      </c>
      <c r="AH147" s="199" t="s">
        <v>1161</v>
      </c>
    </row>
    <row r="148" spans="1:34" ht="16.5" x14ac:dyDescent="0.3">
      <c r="A148" s="166">
        <f t="shared" si="24"/>
        <v>45773</v>
      </c>
      <c r="B148" s="166" t="str">
        <f>TEXT(Detalles2025[[#This Row],[Fecha]],"AAAA")</f>
        <v>2025</v>
      </c>
      <c r="C148" s="166" t="str">
        <f>TEXT(Detalles2025[[#This Row],[Fecha]],"MMMM")</f>
        <v>abril</v>
      </c>
      <c r="D148" s="166" t="str">
        <f>TEXT(Detalles2025[[#This Row],[Fecha]],"DDDD")</f>
        <v>sábado</v>
      </c>
      <c r="E148" s="192" t="s">
        <v>1729</v>
      </c>
      <c r="F148" s="193">
        <v>1</v>
      </c>
      <c r="G148" s="194">
        <v>12</v>
      </c>
      <c r="H148" s="269" t="str">
        <f>IF(G148=1,Leyenda!$C$3,IF(G148=2,Leyenda!$C$4,IF(G148=3,Leyenda!$C$5,IF(G148=4,Leyenda!$C$6,IF(G148=5,Leyenda!$C$7,IF(G148=6,Leyenda!$C$8,IF(G148=7,Leyenda!$C$9,IF(G148=8,Leyenda!$C$10," "))))))))&amp;IF(G148=9,Leyenda!$C$11,IF(G148=10,Leyenda!$C$12,IF(G148=11,Leyenda!$C$13,IF(G148=12,Leyenda!$C$14," "))))</f>
        <v xml:space="preserve"> GASTOS MENORES</v>
      </c>
      <c r="I148" s="196">
        <v>0</v>
      </c>
      <c r="K148" s="258">
        <v>202504</v>
      </c>
      <c r="L148" s="191">
        <v>26</v>
      </c>
      <c r="M148" s="191"/>
      <c r="O148" s="280">
        <v>0</v>
      </c>
      <c r="P148" s="76">
        <v>1500</v>
      </c>
      <c r="Q148" s="198">
        <f t="shared" si="25"/>
        <v>1500</v>
      </c>
      <c r="R148" s="199">
        <v>0</v>
      </c>
      <c r="S148" s="199">
        <v>0</v>
      </c>
      <c r="T148" s="199">
        <v>0</v>
      </c>
      <c r="U148" s="199">
        <v>0</v>
      </c>
      <c r="V148" s="199">
        <v>0</v>
      </c>
      <c r="W148" s="199">
        <v>0</v>
      </c>
      <c r="X148" s="199">
        <v>0</v>
      </c>
      <c r="Y148" s="199">
        <v>0</v>
      </c>
      <c r="Z148" s="199">
        <v>0</v>
      </c>
      <c r="AA148" s="199">
        <v>0</v>
      </c>
      <c r="AB148" s="199">
        <v>0</v>
      </c>
      <c r="AC148" s="199">
        <v>0</v>
      </c>
      <c r="AD148" s="199">
        <f>SUM(Detalles2025[[#This Row],[Monto Facturado]:[Monto Propina Legal]])</f>
        <v>1500</v>
      </c>
      <c r="AE148" s="199" t="s">
        <v>1730</v>
      </c>
      <c r="AF148" s="200" t="str">
        <f>IFERROR(VLOOKUP(E148,Tabla3[],2,0),"No Registrado")</f>
        <v>No Registrado</v>
      </c>
      <c r="AG148" s="200" t="s">
        <v>1726</v>
      </c>
      <c r="AH148" s="199" t="s">
        <v>1168</v>
      </c>
    </row>
    <row r="149" spans="1:34" ht="16.5" x14ac:dyDescent="0.3">
      <c r="A149" s="166">
        <f t="shared" si="24"/>
        <v>45773</v>
      </c>
      <c r="B149" s="166" t="str">
        <f>TEXT(Detalles2025[[#This Row],[Fecha]],"AAAA")</f>
        <v>2025</v>
      </c>
      <c r="C149" s="166" t="str">
        <f>TEXT(Detalles2025[[#This Row],[Fecha]],"MMMM")</f>
        <v>abril</v>
      </c>
      <c r="D149" s="166" t="str">
        <f>TEXT(Detalles2025[[#This Row],[Fecha]],"DDDD")</f>
        <v>sábado</v>
      </c>
      <c r="E149" s="192" t="s">
        <v>1731</v>
      </c>
      <c r="F149" s="193">
        <v>1</v>
      </c>
      <c r="G149" s="194">
        <v>12</v>
      </c>
      <c r="H149" s="269" t="str">
        <f>IF(G149=1,Leyenda!$C$3,IF(G149=2,Leyenda!$C$4,IF(G149=3,Leyenda!$C$5,IF(G149=4,Leyenda!$C$6,IF(G149=5,Leyenda!$C$7,IF(G149=6,Leyenda!$C$8,IF(G149=7,Leyenda!$C$9,IF(G149=8,Leyenda!$C$10," "))))))))&amp;IF(G149=9,Leyenda!$C$11,IF(G149=10,Leyenda!$C$12,IF(G149=11,Leyenda!$C$13,IF(G149=12,Leyenda!$C$14," "))))</f>
        <v xml:space="preserve"> GASTOS MENORES</v>
      </c>
      <c r="I149" s="196">
        <v>0</v>
      </c>
      <c r="K149" s="258">
        <v>202504</v>
      </c>
      <c r="L149" s="191">
        <v>26</v>
      </c>
      <c r="M149" s="191"/>
      <c r="O149" s="280">
        <v>0</v>
      </c>
      <c r="P149" s="76">
        <v>500</v>
      </c>
      <c r="Q149" s="198">
        <f t="shared" si="25"/>
        <v>500</v>
      </c>
      <c r="R149" s="199">
        <v>0</v>
      </c>
      <c r="S149" s="199">
        <v>0</v>
      </c>
      <c r="T149" s="199">
        <v>0</v>
      </c>
      <c r="U149" s="199">
        <v>0</v>
      </c>
      <c r="V149" s="199">
        <v>0</v>
      </c>
      <c r="W149" s="199">
        <v>0</v>
      </c>
      <c r="X149" s="199">
        <v>0</v>
      </c>
      <c r="Y149" s="199">
        <v>0</v>
      </c>
      <c r="Z149" s="199">
        <v>0</v>
      </c>
      <c r="AA149" s="199">
        <v>0</v>
      </c>
      <c r="AB149" s="199">
        <v>0</v>
      </c>
      <c r="AC149" s="199">
        <v>0</v>
      </c>
      <c r="AD149" s="199">
        <f>SUM(Detalles2025[[#This Row],[Monto Facturado]:[Monto Propina Legal]])</f>
        <v>500</v>
      </c>
      <c r="AE149" s="199" t="s">
        <v>1730</v>
      </c>
      <c r="AF149" s="200" t="str">
        <f>IFERROR(VLOOKUP(E149,Tabla3[],2,0),"No Registrado")</f>
        <v>No Registrado</v>
      </c>
      <c r="AG149" s="200" t="s">
        <v>1726</v>
      </c>
      <c r="AH149" s="199" t="s">
        <v>1732</v>
      </c>
    </row>
    <row r="150" spans="1:34" ht="16.5" x14ac:dyDescent="0.3">
      <c r="A150" s="166">
        <f t="shared" si="24"/>
        <v>45773</v>
      </c>
      <c r="B150" s="166" t="str">
        <f>TEXT(Detalles2025[[#This Row],[Fecha]],"AAAA")</f>
        <v>2025</v>
      </c>
      <c r="C150" s="166" t="str">
        <f>TEXT(Detalles2025[[#This Row],[Fecha]],"MMMM")</f>
        <v>abril</v>
      </c>
      <c r="D150" s="166" t="str">
        <f>TEXT(Detalles2025[[#This Row],[Fecha]],"DDDD")</f>
        <v>sábado</v>
      </c>
      <c r="E150" s="192" t="s">
        <v>1733</v>
      </c>
      <c r="F150" s="193">
        <v>1</v>
      </c>
      <c r="G150" s="194">
        <v>12</v>
      </c>
      <c r="H150" s="285" t="str">
        <f>IF(G150=1,Leyenda!$C$3,IF(G150=2,Leyenda!$C$4,IF(G150=3,Leyenda!$C$5,IF(G150=4,Leyenda!$C$6,IF(G150=5,Leyenda!$C$7,IF(G150=6,Leyenda!$C$8,IF(G150=7,Leyenda!$C$9,IF(G150=8,Leyenda!$C$10," "))))))))&amp;IF(G150=9,Leyenda!$C$11,IF(G150=10,Leyenda!$C$12,IF(G150=11,Leyenda!$C$13,IF(G150=12,Leyenda!$C$14," "))))</f>
        <v xml:space="preserve"> GASTOS MENORES</v>
      </c>
      <c r="I150" s="196">
        <v>0</v>
      </c>
      <c r="K150" s="258">
        <v>202504</v>
      </c>
      <c r="L150" s="191">
        <v>26</v>
      </c>
      <c r="M150" s="191"/>
      <c r="O150" s="273">
        <v>0</v>
      </c>
      <c r="P150" s="274">
        <v>500</v>
      </c>
      <c r="Q150" s="288">
        <f t="shared" si="25"/>
        <v>500</v>
      </c>
      <c r="R150" s="275">
        <v>0</v>
      </c>
      <c r="S150" s="275">
        <v>0</v>
      </c>
      <c r="T150" s="275">
        <v>0</v>
      </c>
      <c r="U150" s="275">
        <v>0</v>
      </c>
      <c r="V150" s="275">
        <v>0</v>
      </c>
      <c r="W150" s="275">
        <v>0</v>
      </c>
      <c r="X150" s="275">
        <v>0</v>
      </c>
      <c r="Y150" s="275">
        <v>0</v>
      </c>
      <c r="Z150" s="275">
        <v>0</v>
      </c>
      <c r="AA150" s="275">
        <v>0</v>
      </c>
      <c r="AB150" s="275">
        <v>0</v>
      </c>
      <c r="AC150" s="275">
        <v>0</v>
      </c>
      <c r="AD150" s="275">
        <f>SUM(Detalles2025[[#This Row],[Monto Facturado]:[Monto Propina Legal]])</f>
        <v>500</v>
      </c>
      <c r="AE150" s="275" t="s">
        <v>1730</v>
      </c>
      <c r="AF150" s="200" t="str">
        <f>IFERROR(VLOOKUP(E150,Tabla3[],2,0),"No Registrado")</f>
        <v>No Registrado</v>
      </c>
      <c r="AG150" s="200" t="s">
        <v>1726</v>
      </c>
      <c r="AH150" s="275" t="s">
        <v>1165</v>
      </c>
    </row>
    <row r="151" spans="1:34" ht="16.5" x14ac:dyDescent="0.3">
      <c r="A151" s="166">
        <f t="shared" si="24"/>
        <v>45768</v>
      </c>
      <c r="B151" s="166" t="str">
        <f>TEXT(Detalles2025[[#This Row],[Fecha]],"AAAA")</f>
        <v>2025</v>
      </c>
      <c r="C151" s="166" t="str">
        <f>TEXT(Detalles2025[[#This Row],[Fecha]],"MMMM")</f>
        <v>abril</v>
      </c>
      <c r="D151" s="166" t="str">
        <f>TEXT(Detalles2025[[#This Row],[Fecha]],"DDDD")</f>
        <v>lunes</v>
      </c>
      <c r="E151" s="192" t="s">
        <v>1140</v>
      </c>
      <c r="F151" s="193">
        <v>1</v>
      </c>
      <c r="G151" s="194">
        <v>2</v>
      </c>
      <c r="H151" s="272" t="str">
        <f>IF(G151=1,Leyenda!$C$3,IF(G151=2,Leyenda!$C$4,IF(G151=3,Leyenda!$C$5,IF(G151=4,Leyenda!$C$6,IF(G151=5,Leyenda!$C$7,IF(G151=6,Leyenda!$C$8,IF(G151=7,Leyenda!$C$9,IF(G151=8,Leyenda!$C$10," "))))))))&amp;IF(G151=9,Leyenda!$C$11,IF(G151=10,Leyenda!$C$12,IF(G151=11,Leyenda!$C$13,IF(G151=12,Leyenda!$C$14," "))))</f>
        <v xml:space="preserve">GASTOS POR TRABAJOS, SUMINISTROS Y SERVICIOS </v>
      </c>
      <c r="I151" s="196" t="s">
        <v>1860</v>
      </c>
      <c r="K151" s="258">
        <v>202504</v>
      </c>
      <c r="L151" s="191">
        <v>21</v>
      </c>
      <c r="M151" s="191"/>
      <c r="O151" s="273">
        <v>0</v>
      </c>
      <c r="P151" s="274">
        <v>745.76</v>
      </c>
      <c r="Q151" s="288">
        <f t="shared" si="25"/>
        <v>745.76</v>
      </c>
      <c r="R151" s="275">
        <v>134.24</v>
      </c>
      <c r="S151" s="275"/>
      <c r="T151" s="275"/>
      <c r="U151" s="275">
        <v>0</v>
      </c>
      <c r="V151" s="275"/>
      <c r="W151" s="275"/>
      <c r="X151" s="275"/>
      <c r="Y151" s="275"/>
      <c r="Z151" s="275"/>
      <c r="AA151" s="275">
        <v>0</v>
      </c>
      <c r="AB151" s="275">
        <v>0</v>
      </c>
      <c r="AC151" s="275">
        <v>0</v>
      </c>
      <c r="AD151" s="275">
        <f>SUM(Detalles2025[[#This Row],[Monto Facturado]:[Monto Propina Legal]])</f>
        <v>880</v>
      </c>
      <c r="AE151" s="284" t="s">
        <v>1714</v>
      </c>
      <c r="AF151" s="200" t="str">
        <f>IFERROR(VLOOKUP(E151,Tabla3[],2,0),"No Registrado")</f>
        <v>Ferreziro SRL</v>
      </c>
      <c r="AG151" s="200" t="s">
        <v>1861</v>
      </c>
      <c r="AH151" s="275" t="s">
        <v>1720</v>
      </c>
    </row>
    <row r="152" spans="1:34" ht="16.5" x14ac:dyDescent="0.3">
      <c r="A152" s="166">
        <f t="shared" si="24"/>
        <v>45755</v>
      </c>
      <c r="B152" s="166" t="str">
        <f>TEXT(Detalles2025[[#This Row],[Fecha]],"AAAA")</f>
        <v>2025</v>
      </c>
      <c r="C152" s="166" t="str">
        <f>TEXT(Detalles2025[[#This Row],[Fecha]],"MMMM")</f>
        <v>abril</v>
      </c>
      <c r="D152" s="166" t="str">
        <f>TEXT(Detalles2025[[#This Row],[Fecha]],"DDDD")</f>
        <v>martes</v>
      </c>
      <c r="E152" s="192" t="s">
        <v>909</v>
      </c>
      <c r="F152" s="193">
        <v>1</v>
      </c>
      <c r="G152" s="194">
        <v>2</v>
      </c>
      <c r="H152" s="272" t="str">
        <f>IF(G152=1,Leyenda!$C$3,IF(G152=2,Leyenda!$C$4,IF(G152=3,Leyenda!$C$5,IF(G152=4,Leyenda!$C$6,IF(G152=5,Leyenda!$C$7,IF(G152=6,Leyenda!$C$8,IF(G152=7,Leyenda!$C$9,IF(G152=8,Leyenda!$C$10," "))))))))&amp;IF(G152=9,Leyenda!$C$11,IF(G152=10,Leyenda!$C$12,IF(G152=11,Leyenda!$C$13,IF(G152=12,Leyenda!$C$14," "))))</f>
        <v xml:space="preserve">GASTOS POR TRABAJOS, SUMINISTROS Y SERVICIOS </v>
      </c>
      <c r="I152" s="196" t="s">
        <v>1862</v>
      </c>
      <c r="K152" s="258">
        <v>202504</v>
      </c>
      <c r="L152" s="191">
        <v>8</v>
      </c>
      <c r="M152" s="191"/>
      <c r="O152" s="273">
        <v>0</v>
      </c>
      <c r="P152" s="274">
        <v>3450</v>
      </c>
      <c r="Q152" s="288">
        <f t="shared" si="25"/>
        <v>3450</v>
      </c>
      <c r="R152" s="275">
        <v>0</v>
      </c>
      <c r="S152" s="275"/>
      <c r="T152" s="275"/>
      <c r="U152" s="275">
        <v>0</v>
      </c>
      <c r="V152" s="275"/>
      <c r="W152" s="275"/>
      <c r="X152" s="275"/>
      <c r="Y152" s="275"/>
      <c r="Z152" s="275"/>
      <c r="AA152" s="275">
        <v>0</v>
      </c>
      <c r="AB152" s="275">
        <v>0</v>
      </c>
      <c r="AC152" s="275">
        <v>0</v>
      </c>
      <c r="AD152" s="275">
        <f>SUM(Detalles2025[[#This Row],[Monto Facturado]:[Monto Propina Legal]])</f>
        <v>3450</v>
      </c>
      <c r="AE152" s="284" t="s">
        <v>1714</v>
      </c>
      <c r="AF152" s="200" t="str">
        <f>IFERROR(VLOOKUP(E152,Tabla3[],2,0),"No Registrado")</f>
        <v>Strata, S.R.L.</v>
      </c>
      <c r="AG152" s="200" t="s">
        <v>1715</v>
      </c>
      <c r="AH152" s="275" t="s">
        <v>1716</v>
      </c>
    </row>
    <row r="153" spans="1:34" ht="16.5" x14ac:dyDescent="0.3">
      <c r="A153" s="166">
        <f t="shared" si="24"/>
        <v>45763</v>
      </c>
      <c r="B153" s="166" t="str">
        <f>TEXT(Detalles2025[[#This Row],[Fecha]],"AAAA")</f>
        <v>2025</v>
      </c>
      <c r="C153" s="166" t="str">
        <f>TEXT(Detalles2025[[#This Row],[Fecha]],"MMMM")</f>
        <v>abril</v>
      </c>
      <c r="D153" s="166" t="str">
        <f>TEXT(Detalles2025[[#This Row],[Fecha]],"DDDD")</f>
        <v>miércoles</v>
      </c>
      <c r="E153" s="192" t="s">
        <v>909</v>
      </c>
      <c r="F153" s="193">
        <v>1</v>
      </c>
      <c r="G153" s="194">
        <v>2</v>
      </c>
      <c r="H153" s="272" t="str">
        <f>IF(G153=1,Leyenda!$C$3,IF(G153=2,Leyenda!$C$4,IF(G153=3,Leyenda!$C$5,IF(G153=4,Leyenda!$C$6,IF(G153=5,Leyenda!$C$7,IF(G153=6,Leyenda!$C$8,IF(G153=7,Leyenda!$C$9,IF(G153=8,Leyenda!$C$10," "))))))))&amp;IF(G153=9,Leyenda!$C$11,IF(G153=10,Leyenda!$C$12,IF(G153=11,Leyenda!$C$13,IF(G153=12,Leyenda!$C$14," "))))</f>
        <v xml:space="preserve">GASTOS POR TRABAJOS, SUMINISTROS Y SERVICIOS </v>
      </c>
      <c r="I153" s="196" t="s">
        <v>1172</v>
      </c>
      <c r="K153" s="258">
        <v>202504</v>
      </c>
      <c r="L153" s="191">
        <v>16</v>
      </c>
      <c r="M153" s="191"/>
      <c r="O153" s="273">
        <v>0</v>
      </c>
      <c r="P153" s="274">
        <v>4662</v>
      </c>
      <c r="Q153" s="288">
        <f t="shared" si="25"/>
        <v>4662</v>
      </c>
      <c r="R153" s="275">
        <v>0</v>
      </c>
      <c r="S153" s="275"/>
      <c r="T153" s="275"/>
      <c r="U153" s="275">
        <v>0</v>
      </c>
      <c r="V153" s="275"/>
      <c r="W153" s="275"/>
      <c r="X153" s="275"/>
      <c r="Y153" s="275"/>
      <c r="Z153" s="275"/>
      <c r="AA153" s="275">
        <v>0</v>
      </c>
      <c r="AB153" s="275">
        <v>0</v>
      </c>
      <c r="AC153" s="275">
        <v>0</v>
      </c>
      <c r="AD153" s="275">
        <f>SUM(Detalles2025[[#This Row],[Monto Facturado]:[Monto Propina Legal]])</f>
        <v>4662</v>
      </c>
      <c r="AE153" s="284" t="s">
        <v>1714</v>
      </c>
      <c r="AF153" s="200" t="str">
        <f>IFERROR(VLOOKUP(E153,Tabla3[],2,0),"No Registrado")</f>
        <v>Strata, S.R.L.</v>
      </c>
      <c r="AG153" s="200" t="s">
        <v>1173</v>
      </c>
      <c r="AH153" s="275" t="s">
        <v>1717</v>
      </c>
    </row>
    <row r="154" spans="1:34" ht="16.5" x14ac:dyDescent="0.3">
      <c r="A154" s="166">
        <f t="shared" si="24"/>
        <v>45766</v>
      </c>
      <c r="B154" s="166" t="str">
        <f>TEXT(Detalles2025[[#This Row],[Fecha]],"AAAA")</f>
        <v>2025</v>
      </c>
      <c r="C154" s="166" t="str">
        <f>TEXT(Detalles2025[[#This Row],[Fecha]],"MMMM")</f>
        <v>abril</v>
      </c>
      <c r="D154" s="166" t="str">
        <f>TEXT(Detalles2025[[#This Row],[Fecha]],"DDDD")</f>
        <v>sábado</v>
      </c>
      <c r="E154" s="192" t="s">
        <v>1459</v>
      </c>
      <c r="F154" s="193">
        <v>1</v>
      </c>
      <c r="G154" s="194">
        <v>2</v>
      </c>
      <c r="H154" s="272" t="str">
        <f>IF(G154=1,Leyenda!$C$3,IF(G154=2,Leyenda!$C$4,IF(G154=3,Leyenda!$C$5,IF(G154=4,Leyenda!$C$6,IF(G154=5,Leyenda!$C$7,IF(G154=6,Leyenda!$C$8,IF(G154=7,Leyenda!$C$9,IF(G154=8,Leyenda!$C$10," "))))))))&amp;IF(G154=9,Leyenda!$C$11,IF(G154=10,Leyenda!$C$12,IF(G154=11,Leyenda!$C$13,IF(G154=12,Leyenda!$C$14," "))))</f>
        <v xml:space="preserve">GASTOS POR TRABAJOS, SUMINISTROS Y SERVICIOS </v>
      </c>
      <c r="I154" s="196" t="s">
        <v>1863</v>
      </c>
      <c r="K154" s="258">
        <v>202504</v>
      </c>
      <c r="L154" s="191">
        <v>19</v>
      </c>
      <c r="M154" s="191"/>
      <c r="O154" s="273">
        <v>0</v>
      </c>
      <c r="P154" s="274">
        <v>1737.29</v>
      </c>
      <c r="Q154" s="288">
        <f t="shared" si="25"/>
        <v>1737.29</v>
      </c>
      <c r="R154" s="275">
        <v>312.70999999999998</v>
      </c>
      <c r="S154" s="275"/>
      <c r="T154" s="275"/>
      <c r="U154" s="275">
        <v>0</v>
      </c>
      <c r="V154" s="275"/>
      <c r="W154" s="275"/>
      <c r="X154" s="275"/>
      <c r="Y154" s="275"/>
      <c r="Z154" s="275"/>
      <c r="AA154" s="275">
        <v>0</v>
      </c>
      <c r="AB154" s="275">
        <v>0</v>
      </c>
      <c r="AC154" s="275">
        <v>0</v>
      </c>
      <c r="AD154" s="275">
        <f>SUM(Detalles2025[[#This Row],[Monto Facturado]:[Monto Propina Legal]])</f>
        <v>2050</v>
      </c>
      <c r="AE154" s="284" t="s">
        <v>1714</v>
      </c>
      <c r="AF154" s="200" t="str">
        <f>IFERROR(VLOOKUP(E154,Tabla3[],2,0),"No Registrado")</f>
        <v>No Registrado</v>
      </c>
      <c r="AG154" s="200" t="s">
        <v>1722</v>
      </c>
      <c r="AH154" s="275" t="s">
        <v>1723</v>
      </c>
    </row>
    <row r="155" spans="1:34" ht="16.5" x14ac:dyDescent="0.3">
      <c r="A155" s="166">
        <f t="shared" si="24"/>
        <v>45763</v>
      </c>
      <c r="B155" s="166" t="str">
        <f>TEXT(Detalles2025[[#This Row],[Fecha]],"AAAA")</f>
        <v>2025</v>
      </c>
      <c r="C155" s="166" t="str">
        <f>TEXT(Detalles2025[[#This Row],[Fecha]],"MMMM")</f>
        <v>abril</v>
      </c>
      <c r="D155" s="166" t="str">
        <f>TEXT(Detalles2025[[#This Row],[Fecha]],"DDDD")</f>
        <v>miércoles</v>
      </c>
      <c r="E155" s="192" t="s">
        <v>533</v>
      </c>
      <c r="F155" s="193">
        <v>1</v>
      </c>
      <c r="G155" s="194">
        <v>2</v>
      </c>
      <c r="H155" s="272" t="str">
        <f>IF(G155=1,Leyenda!$C$3,IF(G155=2,Leyenda!$C$4,IF(G155=3,Leyenda!$C$5,IF(G155=4,Leyenda!$C$6,IF(G155=5,Leyenda!$C$7,IF(G155=6,Leyenda!$C$8,IF(G155=7,Leyenda!$C$9,IF(G155=8,Leyenda!$C$10," "))))))))&amp;IF(G155=9,Leyenda!$C$11,IF(G155=10,Leyenda!$C$12,IF(G155=11,Leyenda!$C$13,IF(G155=12,Leyenda!$C$14," "))))</f>
        <v xml:space="preserve">GASTOS POR TRABAJOS, SUMINISTROS Y SERVICIOS </v>
      </c>
      <c r="I155" s="196" t="s">
        <v>1864</v>
      </c>
      <c r="K155" s="258">
        <v>202504</v>
      </c>
      <c r="L155" s="191">
        <v>16</v>
      </c>
      <c r="M155" s="191"/>
      <c r="O155" s="273">
        <v>0</v>
      </c>
      <c r="P155" s="274">
        <v>2041.62</v>
      </c>
      <c r="Q155" s="288">
        <f t="shared" si="25"/>
        <v>2041.62</v>
      </c>
      <c r="R155" s="275">
        <v>0</v>
      </c>
      <c r="S155" s="275"/>
      <c r="T155" s="275"/>
      <c r="U155" s="275">
        <v>0</v>
      </c>
      <c r="V155" s="275"/>
      <c r="W155" s="275"/>
      <c r="X155" s="275"/>
      <c r="Y155" s="275"/>
      <c r="Z155" s="275"/>
      <c r="AA155" s="275">
        <v>0</v>
      </c>
      <c r="AB155" s="275">
        <v>0</v>
      </c>
      <c r="AC155" s="275">
        <v>0</v>
      </c>
      <c r="AD155" s="275">
        <f>SUM(Detalles2025[[#This Row],[Monto Facturado]:[Monto Propina Legal]])</f>
        <v>2041.62</v>
      </c>
      <c r="AE155" s="284" t="s">
        <v>1714</v>
      </c>
      <c r="AF155" s="200" t="str">
        <f>IFERROR(VLOOKUP(E155,Tabla3[],2,0),"No Registrado")</f>
        <v>Farmacía Medicar GBC, A. H.</v>
      </c>
      <c r="AG155" s="200" t="s">
        <v>1744</v>
      </c>
      <c r="AH155" s="275" t="s">
        <v>1720</v>
      </c>
    </row>
    <row r="156" spans="1:34" ht="16.5" x14ac:dyDescent="0.3">
      <c r="A156" s="166">
        <f t="shared" si="24"/>
        <v>45758</v>
      </c>
      <c r="B156" s="166" t="str">
        <f>TEXT(Detalles2025[[#This Row],[Fecha]],"AAAA")</f>
        <v>2025</v>
      </c>
      <c r="C156" s="166" t="str">
        <f>TEXT(Detalles2025[[#This Row],[Fecha]],"MMMM")</f>
        <v>abril</v>
      </c>
      <c r="D156" s="166" t="str">
        <f>TEXT(Detalles2025[[#This Row],[Fecha]],"DDDD")</f>
        <v>viernes</v>
      </c>
      <c r="E156" s="192" t="s">
        <v>1467</v>
      </c>
      <c r="F156" s="193">
        <v>1</v>
      </c>
      <c r="G156" s="194">
        <v>2</v>
      </c>
      <c r="H156" s="272" t="str">
        <f>IF(G156=1,Leyenda!$C$3,IF(G156=2,Leyenda!$C$4,IF(G156=3,Leyenda!$C$5,IF(G156=4,Leyenda!$C$6,IF(G156=5,Leyenda!$C$7,IF(G156=6,Leyenda!$C$8,IF(G156=7,Leyenda!$C$9,IF(G156=8,Leyenda!$C$10," "))))))))&amp;IF(G156=9,Leyenda!$C$11,IF(G156=10,Leyenda!$C$12,IF(G156=11,Leyenda!$C$13,IF(G156=12,Leyenda!$C$14," "))))</f>
        <v xml:space="preserve">GASTOS POR TRABAJOS, SUMINISTROS Y SERVICIOS </v>
      </c>
      <c r="I156" s="196" t="s">
        <v>1865</v>
      </c>
      <c r="K156" s="258">
        <v>202504</v>
      </c>
      <c r="L156" s="191">
        <v>11</v>
      </c>
      <c r="M156" s="191"/>
      <c r="O156" s="273">
        <v>0</v>
      </c>
      <c r="P156" s="274">
        <v>1005</v>
      </c>
      <c r="Q156" s="288">
        <f t="shared" si="25"/>
        <v>1005</v>
      </c>
      <c r="R156" s="275">
        <v>0</v>
      </c>
      <c r="S156" s="275"/>
      <c r="T156" s="275"/>
      <c r="U156" s="275">
        <v>0</v>
      </c>
      <c r="V156" s="275"/>
      <c r="W156" s="275"/>
      <c r="X156" s="275"/>
      <c r="Y156" s="275"/>
      <c r="Z156" s="275"/>
      <c r="AA156" s="275">
        <v>0</v>
      </c>
      <c r="AB156" s="275">
        <v>0</v>
      </c>
      <c r="AC156" s="275">
        <v>0</v>
      </c>
      <c r="AD156" s="275">
        <f>SUM(Detalles2025[[#This Row],[Monto Facturado]:[Monto Propina Legal]])</f>
        <v>1005</v>
      </c>
      <c r="AE156" s="284" t="s">
        <v>1714</v>
      </c>
      <c r="AF156" s="200" t="str">
        <f>IFERROR(VLOOKUP(E156,Tabla3[],2,0),"No Registrado")</f>
        <v>No Registrado</v>
      </c>
      <c r="AG156" s="200" t="s">
        <v>1866</v>
      </c>
      <c r="AH156" s="275" t="s">
        <v>1727</v>
      </c>
    </row>
    <row r="157" spans="1:34" ht="16.5" x14ac:dyDescent="0.3">
      <c r="A157" s="166">
        <f t="shared" si="24"/>
        <v>45758</v>
      </c>
      <c r="B157" s="166" t="str">
        <f>TEXT(Detalles2025[[#This Row],[Fecha]],"AAAA")</f>
        <v>2025</v>
      </c>
      <c r="C157" s="166" t="str">
        <f>TEXT(Detalles2025[[#This Row],[Fecha]],"MMMM")</f>
        <v>abril</v>
      </c>
      <c r="D157" s="166" t="str">
        <f>TEXT(Detalles2025[[#This Row],[Fecha]],"DDDD")</f>
        <v>viernes</v>
      </c>
      <c r="E157" s="192" t="s">
        <v>504</v>
      </c>
      <c r="F157" s="193">
        <v>1</v>
      </c>
      <c r="G157" s="194">
        <v>2</v>
      </c>
      <c r="H157" s="272" t="str">
        <f>IF(G157=1,Leyenda!$C$3,IF(G157=2,Leyenda!$C$4,IF(G157=3,Leyenda!$C$5,IF(G157=4,Leyenda!$C$6,IF(G157=5,Leyenda!$C$7,IF(G157=6,Leyenda!$C$8,IF(G157=7,Leyenda!$C$9,IF(G157=8,Leyenda!$C$10," "))))))))&amp;IF(G157=9,Leyenda!$C$11,IF(G157=10,Leyenda!$C$12,IF(G157=11,Leyenda!$C$13,IF(G157=12,Leyenda!$C$14," "))))</f>
        <v xml:space="preserve">GASTOS POR TRABAJOS, SUMINISTROS Y SERVICIOS </v>
      </c>
      <c r="I157" s="196" t="s">
        <v>1867</v>
      </c>
      <c r="K157" s="258">
        <v>202504</v>
      </c>
      <c r="L157" s="191">
        <v>11</v>
      </c>
      <c r="M157" s="191"/>
      <c r="O157" s="273">
        <v>0</v>
      </c>
      <c r="P157" s="274">
        <f>828.85-126.43</f>
        <v>702.42000000000007</v>
      </c>
      <c r="Q157" s="288">
        <f t="shared" si="25"/>
        <v>702.42000000000007</v>
      </c>
      <c r="R157" s="275">
        <v>126.43</v>
      </c>
      <c r="S157" s="275"/>
      <c r="T157" s="275"/>
      <c r="U157" s="275">
        <v>0</v>
      </c>
      <c r="V157" s="275"/>
      <c r="W157" s="275"/>
      <c r="X157" s="275"/>
      <c r="Y157" s="275"/>
      <c r="Z157" s="275"/>
      <c r="AA157" s="275">
        <v>0</v>
      </c>
      <c r="AB157" s="275">
        <v>0</v>
      </c>
      <c r="AC157" s="275">
        <v>0</v>
      </c>
      <c r="AD157" s="275">
        <f>SUM(Detalles2025[[#This Row],[Monto Facturado]:[Monto Propina Legal]])</f>
        <v>828.85000000000014</v>
      </c>
      <c r="AE157" s="284" t="s">
        <v>1714</v>
      </c>
      <c r="AF157" s="200" t="str">
        <f>IFERROR(VLOOKUP(E157,Tabla3[],2,0),"No Registrado")</f>
        <v>Centro Cuesta Nacional S.A.S.//Supermercados Nacional//Casa Cuesta//Ferretería Cuesta//JUMBO//Bebemundo</v>
      </c>
      <c r="AG157" s="200" t="s">
        <v>1868</v>
      </c>
      <c r="AH157" s="275" t="s">
        <v>1720</v>
      </c>
    </row>
    <row r="158" spans="1:34" ht="16.5" x14ac:dyDescent="0.3">
      <c r="A158" s="166">
        <f t="shared" si="24"/>
        <v>45750</v>
      </c>
      <c r="B158" s="166" t="str">
        <f>TEXT(Detalles2025[[#This Row],[Fecha]],"AAAA")</f>
        <v>2025</v>
      </c>
      <c r="C158" s="166" t="str">
        <f>TEXT(Detalles2025[[#This Row],[Fecha]],"MMMM")</f>
        <v>abril</v>
      </c>
      <c r="D158" s="166" t="str">
        <f>TEXT(Detalles2025[[#This Row],[Fecha]],"DDDD")</f>
        <v>jueves</v>
      </c>
      <c r="E158" s="192" t="s">
        <v>504</v>
      </c>
      <c r="F158" s="193">
        <v>1</v>
      </c>
      <c r="G158" s="194">
        <v>2</v>
      </c>
      <c r="H158" s="272" t="str">
        <f>IF(G158=1,Leyenda!$C$3,IF(G158=2,Leyenda!$C$4,IF(G158=3,Leyenda!$C$5,IF(G158=4,Leyenda!$C$6,IF(G158=5,Leyenda!$C$7,IF(G158=6,Leyenda!$C$8,IF(G158=7,Leyenda!$C$9,IF(G158=8,Leyenda!$C$10," "))))))))&amp;IF(G158=9,Leyenda!$C$11,IF(G158=10,Leyenda!$C$12,IF(G158=11,Leyenda!$C$13,IF(G158=12,Leyenda!$C$14," "))))</f>
        <v xml:space="preserve">GASTOS POR TRABAJOS, SUMINISTROS Y SERVICIOS </v>
      </c>
      <c r="I158" s="196" t="s">
        <v>1869</v>
      </c>
      <c r="K158" s="258">
        <v>202504</v>
      </c>
      <c r="L158" s="191">
        <v>3</v>
      </c>
      <c r="M158" s="191"/>
      <c r="O158" s="273">
        <v>0</v>
      </c>
      <c r="P158" s="274">
        <f>1177.8-179.66</f>
        <v>998.14</v>
      </c>
      <c r="Q158" s="288">
        <f t="shared" si="25"/>
        <v>998.14</v>
      </c>
      <c r="R158" s="275">
        <v>179.66</v>
      </c>
      <c r="S158" s="275"/>
      <c r="T158" s="275"/>
      <c r="U158" s="275">
        <v>0</v>
      </c>
      <c r="V158" s="275"/>
      <c r="W158" s="275"/>
      <c r="X158" s="275"/>
      <c r="Y158" s="275"/>
      <c r="Z158" s="275"/>
      <c r="AA158" s="275">
        <v>0</v>
      </c>
      <c r="AB158" s="275">
        <v>0</v>
      </c>
      <c r="AC158" s="275">
        <v>0</v>
      </c>
      <c r="AD158" s="275">
        <f>SUM(Detalles2025[[#This Row],[Monto Facturado]:[Monto Propina Legal]])</f>
        <v>1177.8</v>
      </c>
      <c r="AE158" s="284" t="s">
        <v>1714</v>
      </c>
      <c r="AF158" s="200" t="str">
        <f>IFERROR(VLOOKUP(E158,Tabla3[],2,0),"No Registrado")</f>
        <v>Centro Cuesta Nacional S.A.S.//Supermercados Nacional//Casa Cuesta//Ferretería Cuesta//JUMBO//Bebemundo</v>
      </c>
      <c r="AG158" s="200" t="s">
        <v>1751</v>
      </c>
      <c r="AH158" s="275" t="s">
        <v>1720</v>
      </c>
    </row>
    <row r="159" spans="1:34" ht="16.5" x14ac:dyDescent="0.3">
      <c r="A159" s="166">
        <f t="shared" si="24"/>
        <v>45750</v>
      </c>
      <c r="B159" s="166" t="str">
        <f>TEXT(Detalles2025[[#This Row],[Fecha]],"AAAA")</f>
        <v>2025</v>
      </c>
      <c r="C159" s="166" t="str">
        <f>TEXT(Detalles2025[[#This Row],[Fecha]],"MMMM")</f>
        <v>abril</v>
      </c>
      <c r="D159" s="166" t="str">
        <f>TEXT(Detalles2025[[#This Row],[Fecha]],"DDDD")</f>
        <v>jueves</v>
      </c>
      <c r="E159" s="192" t="s">
        <v>504</v>
      </c>
      <c r="F159" s="193">
        <v>1</v>
      </c>
      <c r="G159" s="194">
        <v>2</v>
      </c>
      <c r="H159" s="272" t="str">
        <f>IF(G159=1,Leyenda!$C$3,IF(G159=2,Leyenda!$C$4,IF(G159=3,Leyenda!$C$5,IF(G159=4,Leyenda!$C$6,IF(G159=5,Leyenda!$C$7,IF(G159=6,Leyenda!$C$8,IF(G159=7,Leyenda!$C$9,IF(G159=8,Leyenda!$C$10," "))))))))&amp;IF(G159=9,Leyenda!$C$11,IF(G159=10,Leyenda!$C$12,IF(G159=11,Leyenda!$C$13,IF(G159=12,Leyenda!$C$14," "))))</f>
        <v xml:space="preserve">GASTOS POR TRABAJOS, SUMINISTROS Y SERVICIOS </v>
      </c>
      <c r="I159" s="196" t="s">
        <v>1870</v>
      </c>
      <c r="K159" s="258">
        <v>202504</v>
      </c>
      <c r="L159" s="191">
        <v>3</v>
      </c>
      <c r="M159" s="191"/>
      <c r="O159" s="273">
        <v>0</v>
      </c>
      <c r="P159" s="274">
        <v>1600</v>
      </c>
      <c r="Q159" s="288">
        <f t="shared" si="25"/>
        <v>1600</v>
      </c>
      <c r="R159" s="275">
        <v>0</v>
      </c>
      <c r="S159" s="275"/>
      <c r="T159" s="275"/>
      <c r="U159" s="275">
        <v>0</v>
      </c>
      <c r="V159" s="275"/>
      <c r="W159" s="275"/>
      <c r="X159" s="275"/>
      <c r="Y159" s="275"/>
      <c r="Z159" s="275"/>
      <c r="AA159" s="275">
        <v>0</v>
      </c>
      <c r="AB159" s="275">
        <v>0</v>
      </c>
      <c r="AC159" s="275">
        <v>0</v>
      </c>
      <c r="AD159" s="275">
        <f>SUM(Detalles2025[[#This Row],[Monto Facturado]:[Monto Propina Legal]])</f>
        <v>1600</v>
      </c>
      <c r="AE159" s="284" t="s">
        <v>1714</v>
      </c>
      <c r="AF159" s="200" t="str">
        <f>IFERROR(VLOOKUP(E159,Tabla3[],2,0),"No Registrado")</f>
        <v>Centro Cuesta Nacional S.A.S.//Supermercados Nacional//Casa Cuesta//Ferretería Cuesta//JUMBO//Bebemundo</v>
      </c>
      <c r="AG159" s="200" t="s">
        <v>1871</v>
      </c>
      <c r="AH159" s="275" t="s">
        <v>1161</v>
      </c>
    </row>
    <row r="160" spans="1:34" ht="16.5" x14ac:dyDescent="0.3">
      <c r="A160" s="166">
        <f t="shared" si="24"/>
        <v>45757</v>
      </c>
      <c r="B160" s="166" t="str">
        <f>TEXT(Detalles2025[[#This Row],[Fecha]],"AAAA")</f>
        <v>2025</v>
      </c>
      <c r="C160" s="166" t="str">
        <f>TEXT(Detalles2025[[#This Row],[Fecha]],"MMMM")</f>
        <v>abril</v>
      </c>
      <c r="D160" s="166" t="str">
        <f>TEXT(Detalles2025[[#This Row],[Fecha]],"DDDD")</f>
        <v>jueves</v>
      </c>
      <c r="E160" s="192" t="s">
        <v>742</v>
      </c>
      <c r="F160" s="193">
        <v>1</v>
      </c>
      <c r="G160" s="194">
        <v>2</v>
      </c>
      <c r="H160" s="272" t="str">
        <f>IF(G160=1,Leyenda!$C$3,IF(G160=2,Leyenda!$C$4,IF(G160=3,Leyenda!$C$5,IF(G160=4,Leyenda!$C$6,IF(G160=5,Leyenda!$C$7,IF(G160=6,Leyenda!$C$8,IF(G160=7,Leyenda!$C$9,IF(G160=8,Leyenda!$C$10," "))))))))&amp;IF(G160=9,Leyenda!$C$11,IF(G160=10,Leyenda!$C$12,IF(G160=11,Leyenda!$C$13,IF(G160=12,Leyenda!$C$14," "))))</f>
        <v xml:space="preserve">GASTOS POR TRABAJOS, SUMINISTROS Y SERVICIOS </v>
      </c>
      <c r="I160" s="196" t="s">
        <v>1872</v>
      </c>
      <c r="K160" s="258">
        <v>202504</v>
      </c>
      <c r="L160" s="191">
        <v>10</v>
      </c>
      <c r="M160" s="191"/>
      <c r="O160" s="273">
        <v>0</v>
      </c>
      <c r="P160" s="274">
        <v>923.72</v>
      </c>
      <c r="Q160" s="288">
        <f t="shared" si="25"/>
        <v>923.72</v>
      </c>
      <c r="R160" s="275">
        <v>166.27</v>
      </c>
      <c r="S160" s="275"/>
      <c r="T160" s="275"/>
      <c r="U160" s="275">
        <v>0</v>
      </c>
      <c r="V160" s="275"/>
      <c r="W160" s="275"/>
      <c r="X160" s="275"/>
      <c r="Y160" s="275"/>
      <c r="Z160" s="275"/>
      <c r="AA160" s="275">
        <v>0</v>
      </c>
      <c r="AB160" s="275">
        <v>0</v>
      </c>
      <c r="AC160" s="275">
        <v>0</v>
      </c>
      <c r="AD160" s="275">
        <f>SUM(Detalles2025[[#This Row],[Monto Facturado]:[Monto Propina Legal]])</f>
        <v>1089.99</v>
      </c>
      <c r="AE160" s="284" t="s">
        <v>1714</v>
      </c>
      <c r="AF160" s="200" t="str">
        <f>IFERROR(VLOOKUP(E160,Tabla3[],2,0),"No Registrado")</f>
        <v>Narex, S.A.//Pizza Hut</v>
      </c>
      <c r="AG160" s="200" t="s">
        <v>1722</v>
      </c>
      <c r="AH160" s="275" t="s">
        <v>1178</v>
      </c>
    </row>
    <row r="161" spans="1:34" ht="16.5" x14ac:dyDescent="0.3">
      <c r="A161" s="166">
        <f t="shared" si="24"/>
        <v>45752</v>
      </c>
      <c r="B161" s="166" t="str">
        <f>TEXT(Detalles2025[[#This Row],[Fecha]],"AAAA")</f>
        <v>2025</v>
      </c>
      <c r="C161" s="166" t="str">
        <f>TEXT(Detalles2025[[#This Row],[Fecha]],"MMMM")</f>
        <v>abril</v>
      </c>
      <c r="D161" s="166" t="str">
        <f>TEXT(Detalles2025[[#This Row],[Fecha]],"DDDD")</f>
        <v>sábado</v>
      </c>
      <c r="E161" s="192" t="s">
        <v>1873</v>
      </c>
      <c r="F161" s="193">
        <v>1</v>
      </c>
      <c r="G161" s="194">
        <v>2</v>
      </c>
      <c r="H161" s="272" t="str">
        <f>IF(G161=1,Leyenda!$C$3,IF(G161=2,Leyenda!$C$4,IF(G161=3,Leyenda!$C$5,IF(G161=4,Leyenda!$C$6,IF(G161=5,Leyenda!$C$7,IF(G161=6,Leyenda!$C$8,IF(G161=7,Leyenda!$C$9,IF(G161=8,Leyenda!$C$10," "))))))))&amp;IF(G161=9,Leyenda!$C$11,IF(G161=10,Leyenda!$C$12,IF(G161=11,Leyenda!$C$13,IF(G161=12,Leyenda!$C$14," "))))</f>
        <v xml:space="preserve">GASTOS POR TRABAJOS, SUMINISTROS Y SERVICIOS </v>
      </c>
      <c r="I161" s="196" t="s">
        <v>1874</v>
      </c>
      <c r="K161" s="258">
        <v>202504</v>
      </c>
      <c r="L161" s="191">
        <v>5</v>
      </c>
      <c r="M161" s="191"/>
      <c r="O161" s="273">
        <v>0</v>
      </c>
      <c r="P161" s="274">
        <v>2542.38</v>
      </c>
      <c r="Q161" s="288">
        <f t="shared" si="25"/>
        <v>2542.38</v>
      </c>
      <c r="R161" s="275">
        <v>457.62</v>
      </c>
      <c r="S161" s="275"/>
      <c r="T161" s="275"/>
      <c r="U161" s="275">
        <v>0</v>
      </c>
      <c r="V161" s="275"/>
      <c r="W161" s="275"/>
      <c r="X161" s="275"/>
      <c r="Y161" s="275"/>
      <c r="Z161" s="275"/>
      <c r="AA161" s="275">
        <v>0</v>
      </c>
      <c r="AB161" s="275">
        <v>0</v>
      </c>
      <c r="AC161" s="275">
        <v>0</v>
      </c>
      <c r="AD161" s="275">
        <f>SUM(Detalles2025[[#This Row],[Monto Facturado]:[Monto Propina Legal]])</f>
        <v>3000</v>
      </c>
      <c r="AE161" s="284" t="s">
        <v>1714</v>
      </c>
      <c r="AF161" s="200" t="str">
        <f>IFERROR(VLOOKUP(E161,Tabla3[],2,0),"No Registrado")</f>
        <v>No Registrado</v>
      </c>
      <c r="AG161" s="200" t="s">
        <v>1831</v>
      </c>
      <c r="AH161" s="275" t="s">
        <v>1161</v>
      </c>
    </row>
    <row r="162" spans="1:34" ht="16.5" x14ac:dyDescent="0.3">
      <c r="A162" s="166">
        <f t="shared" si="24"/>
        <v>45760</v>
      </c>
      <c r="B162" s="166" t="str">
        <f>TEXT(Detalles2025[[#This Row],[Fecha]],"AAAA")</f>
        <v>2025</v>
      </c>
      <c r="C162" s="166" t="str">
        <f>TEXT(Detalles2025[[#This Row],[Fecha]],"MMMM")</f>
        <v>abril</v>
      </c>
      <c r="D162" s="166" t="str">
        <f>TEXT(Detalles2025[[#This Row],[Fecha]],"DDDD")</f>
        <v>domingo</v>
      </c>
      <c r="E162" s="192" t="s">
        <v>641</v>
      </c>
      <c r="F162" s="193">
        <v>1</v>
      </c>
      <c r="G162" s="194">
        <v>2</v>
      </c>
      <c r="H162" s="272" t="str">
        <f>IF(G162=1,Leyenda!$C$3,IF(G162=2,Leyenda!$C$4,IF(G162=3,Leyenda!$C$5,IF(G162=4,Leyenda!$C$6,IF(G162=5,Leyenda!$C$7,IF(G162=6,Leyenda!$C$8,IF(G162=7,Leyenda!$C$9,IF(G162=8,Leyenda!$C$10," "))))))))&amp;IF(G162=9,Leyenda!$C$11,IF(G162=10,Leyenda!$C$12,IF(G162=11,Leyenda!$C$13,IF(G162=12,Leyenda!$C$14," "))))</f>
        <v xml:space="preserve">GASTOS POR TRABAJOS, SUMINISTROS Y SERVICIOS </v>
      </c>
      <c r="I162" s="196" t="s">
        <v>1875</v>
      </c>
      <c r="K162" s="258">
        <v>202504</v>
      </c>
      <c r="L162" s="191">
        <v>13</v>
      </c>
      <c r="M162" s="191"/>
      <c r="O162" s="273">
        <v>0</v>
      </c>
      <c r="P162" s="274">
        <v>1677.97</v>
      </c>
      <c r="Q162" s="288">
        <f t="shared" si="25"/>
        <v>1677.97</v>
      </c>
      <c r="R162" s="275">
        <v>302.02999999999997</v>
      </c>
      <c r="S162" s="275"/>
      <c r="T162" s="275"/>
      <c r="U162" s="275">
        <v>0</v>
      </c>
      <c r="V162" s="275"/>
      <c r="W162" s="275"/>
      <c r="X162" s="275"/>
      <c r="Y162" s="275"/>
      <c r="Z162" s="275"/>
      <c r="AA162" s="275">
        <v>0</v>
      </c>
      <c r="AB162" s="275">
        <v>0</v>
      </c>
      <c r="AC162" s="275">
        <v>0</v>
      </c>
      <c r="AD162" s="275">
        <f>SUM(Detalles2025[[#This Row],[Monto Facturado]:[Monto Propina Legal]])</f>
        <v>1980</v>
      </c>
      <c r="AE162" s="284" t="s">
        <v>1714</v>
      </c>
      <c r="AF162" s="200" t="str">
        <f>IFERROR(VLOOKUP(E162,Tabla3[],2,0),"No Registrado")</f>
        <v>Mc Donalds Los Pinos</v>
      </c>
      <c r="AG162" s="200" t="s">
        <v>1876</v>
      </c>
      <c r="AH162" s="275" t="s">
        <v>1178</v>
      </c>
    </row>
    <row r="163" spans="1:34" ht="16.5" x14ac:dyDescent="0.3">
      <c r="A163" s="166">
        <f t="shared" si="24"/>
        <v>45760</v>
      </c>
      <c r="B163" s="166" t="str">
        <f>TEXT(Detalles2025[[#This Row],[Fecha]],"AAAA")</f>
        <v>2025</v>
      </c>
      <c r="C163" s="166" t="str">
        <f>TEXT(Detalles2025[[#This Row],[Fecha]],"MMMM")</f>
        <v>abril</v>
      </c>
      <c r="D163" s="166" t="str">
        <f>TEXT(Detalles2025[[#This Row],[Fecha]],"DDDD")</f>
        <v>domingo</v>
      </c>
      <c r="E163" s="192" t="s">
        <v>507</v>
      </c>
      <c r="F163" s="193">
        <v>1</v>
      </c>
      <c r="G163" s="194">
        <v>2</v>
      </c>
      <c r="H163" s="272" t="str">
        <f>IF(G163=1,Leyenda!$C$3,IF(G163=2,Leyenda!$C$4,IF(G163=3,Leyenda!$C$5,IF(G163=4,Leyenda!$C$6,IF(G163=5,Leyenda!$C$7,IF(G163=6,Leyenda!$C$8,IF(G163=7,Leyenda!$C$9,IF(G163=8,Leyenda!$C$10," "))))))))&amp;IF(G163=9,Leyenda!$C$11,IF(G163=10,Leyenda!$C$12,IF(G163=11,Leyenda!$C$13,IF(G163=12,Leyenda!$C$14," "))))</f>
        <v xml:space="preserve">GASTOS POR TRABAJOS, SUMINISTROS Y SERVICIOS </v>
      </c>
      <c r="I163" s="196" t="s">
        <v>1877</v>
      </c>
      <c r="K163" s="258">
        <v>202504</v>
      </c>
      <c r="L163" s="191">
        <v>13</v>
      </c>
      <c r="M163" s="191"/>
      <c r="O163" s="273">
        <v>0</v>
      </c>
      <c r="P163" s="274">
        <f>6035.65-514.8</f>
        <v>5520.8499999999995</v>
      </c>
      <c r="Q163" s="288">
        <f t="shared" si="25"/>
        <v>5520.8499999999995</v>
      </c>
      <c r="R163" s="275">
        <v>514.79999999999995</v>
      </c>
      <c r="S163" s="275"/>
      <c r="T163" s="275"/>
      <c r="U163" s="275">
        <v>0</v>
      </c>
      <c r="V163" s="275"/>
      <c r="W163" s="275"/>
      <c r="X163" s="275"/>
      <c r="Y163" s="275"/>
      <c r="Z163" s="275"/>
      <c r="AA163" s="275">
        <v>0</v>
      </c>
      <c r="AB163" s="275">
        <v>0</v>
      </c>
      <c r="AC163" s="275">
        <v>0</v>
      </c>
      <c r="AD163" s="275">
        <f>SUM(Detalles2025[[#This Row],[Monto Facturado]:[Monto Propina Legal]])</f>
        <v>6035.65</v>
      </c>
      <c r="AE163" s="284" t="s">
        <v>1714</v>
      </c>
      <c r="AF163" s="200" t="str">
        <f>IFERROR(VLOOKUP(E163,Tabla3[],2,0),"No Registrado")</f>
        <v>Grupo Ramos, S. A.//Super Pola//La Sirena</v>
      </c>
      <c r="AG163" s="200" t="s">
        <v>1751</v>
      </c>
      <c r="AH163" s="275" t="s">
        <v>1178</v>
      </c>
    </row>
    <row r="164" spans="1:34" ht="16.5" x14ac:dyDescent="0.3">
      <c r="A164" s="166">
        <f t="shared" si="24"/>
        <v>45761</v>
      </c>
      <c r="B164" s="166" t="str">
        <f>TEXT(Detalles2025[[#This Row],[Fecha]],"AAAA")</f>
        <v>2025</v>
      </c>
      <c r="C164" s="166" t="str">
        <f>TEXT(Detalles2025[[#This Row],[Fecha]],"MMMM")</f>
        <v>abril</v>
      </c>
      <c r="D164" s="166" t="str">
        <f>TEXT(Detalles2025[[#This Row],[Fecha]],"DDDD")</f>
        <v>lunes</v>
      </c>
      <c r="E164" s="192" t="s">
        <v>511</v>
      </c>
      <c r="F164" s="193">
        <v>1</v>
      </c>
      <c r="G164" s="194">
        <v>2</v>
      </c>
      <c r="H164" s="272" t="str">
        <f>IF(G164=1,Leyenda!$C$3,IF(G164=2,Leyenda!$C$4,IF(G164=3,Leyenda!$C$5,IF(G164=4,Leyenda!$C$6,IF(G164=5,Leyenda!$C$7,IF(G164=6,Leyenda!$C$8,IF(G164=7,Leyenda!$C$9,IF(G164=8,Leyenda!$C$10," "))))))))&amp;IF(G164=9,Leyenda!$C$11,IF(G164=10,Leyenda!$C$12,IF(G164=11,Leyenda!$C$13,IF(G164=12,Leyenda!$C$14," "))))</f>
        <v xml:space="preserve">GASTOS POR TRABAJOS, SUMINISTROS Y SERVICIOS </v>
      </c>
      <c r="I164" s="196" t="s">
        <v>1878</v>
      </c>
      <c r="K164" s="258">
        <v>202504</v>
      </c>
      <c r="L164" s="191">
        <v>14</v>
      </c>
      <c r="M164" s="191"/>
      <c r="O164" s="273">
        <v>0</v>
      </c>
      <c r="P164" s="274">
        <f>1144-110.21</f>
        <v>1033.79</v>
      </c>
      <c r="Q164" s="288">
        <f t="shared" si="25"/>
        <v>1033.79</v>
      </c>
      <c r="R164" s="275">
        <v>110.21</v>
      </c>
      <c r="S164" s="275"/>
      <c r="T164" s="275"/>
      <c r="U164" s="275">
        <v>0</v>
      </c>
      <c r="V164" s="275"/>
      <c r="W164" s="275"/>
      <c r="X164" s="275"/>
      <c r="Y164" s="275"/>
      <c r="Z164" s="275"/>
      <c r="AA164" s="275">
        <v>0</v>
      </c>
      <c r="AB164" s="275">
        <v>0</v>
      </c>
      <c r="AC164" s="275">
        <v>0</v>
      </c>
      <c r="AD164" s="275">
        <f>SUM(Detalles2025[[#This Row],[Monto Facturado]:[Monto Propina Legal]])</f>
        <v>1144</v>
      </c>
      <c r="AE164" s="284" t="s">
        <v>1714</v>
      </c>
      <c r="AF164" s="200" t="str">
        <f>IFERROR(VLOOKUP(E164,Tabla3[],2,0),"No Registrado")</f>
        <v>Bravo, S.A.//Supermercados Bravo</v>
      </c>
      <c r="AG164" s="200" t="s">
        <v>1751</v>
      </c>
      <c r="AH164" s="275" t="s">
        <v>1178</v>
      </c>
    </row>
    <row r="165" spans="1:34" ht="16.5" x14ac:dyDescent="0.3">
      <c r="A165" s="166">
        <f t="shared" si="24"/>
        <v>45757</v>
      </c>
      <c r="B165" s="166" t="str">
        <f>TEXT(Detalles2025[[#This Row],[Fecha]],"AAAA")</f>
        <v>2025</v>
      </c>
      <c r="C165" s="166" t="str">
        <f>TEXT(Detalles2025[[#This Row],[Fecha]],"MMMM")</f>
        <v>abril</v>
      </c>
      <c r="D165" s="166" t="str">
        <f>TEXT(Detalles2025[[#This Row],[Fecha]],"DDDD")</f>
        <v>jueves</v>
      </c>
      <c r="E165" s="192" t="s">
        <v>1114</v>
      </c>
      <c r="F165" s="193">
        <v>1</v>
      </c>
      <c r="G165" s="194">
        <v>2</v>
      </c>
      <c r="H165" s="272" t="str">
        <f>IF(G165=1,Leyenda!$C$3,IF(G165=2,Leyenda!$C$4,IF(G165=3,Leyenda!$C$5,IF(G165=4,Leyenda!$C$6,IF(G165=5,Leyenda!$C$7,IF(G165=6,Leyenda!$C$8,IF(G165=7,Leyenda!$C$9,IF(G165=8,Leyenda!$C$10," "))))))))&amp;IF(G165=9,Leyenda!$C$11,IF(G165=10,Leyenda!$C$12,IF(G165=11,Leyenda!$C$13,IF(G165=12,Leyenda!$C$14," "))))</f>
        <v xml:space="preserve">GASTOS POR TRABAJOS, SUMINISTROS Y SERVICIOS </v>
      </c>
      <c r="I165" s="196" t="s">
        <v>1879</v>
      </c>
      <c r="K165" s="258">
        <v>202504</v>
      </c>
      <c r="L165" s="191">
        <v>10</v>
      </c>
      <c r="M165" s="191"/>
      <c r="O165" s="273">
        <v>2876</v>
      </c>
      <c r="P165" s="274">
        <v>0</v>
      </c>
      <c r="Q165" s="288">
        <f t="shared" si="25"/>
        <v>2876</v>
      </c>
      <c r="R165" s="275">
        <v>0</v>
      </c>
      <c r="S165" s="275"/>
      <c r="T165" s="275"/>
      <c r="U165" s="275">
        <v>0</v>
      </c>
      <c r="V165" s="275"/>
      <c r="W165" s="275"/>
      <c r="X165" s="275"/>
      <c r="Y165" s="275"/>
      <c r="Z165" s="275"/>
      <c r="AA165" s="275">
        <v>0</v>
      </c>
      <c r="AB165" s="275">
        <v>0</v>
      </c>
      <c r="AC165" s="275">
        <v>0</v>
      </c>
      <c r="AD165" s="275">
        <f>SUM(Detalles2025[[#This Row],[Monto Facturado]:[Monto Propina Legal]])</f>
        <v>2876</v>
      </c>
      <c r="AE165" s="284" t="s">
        <v>1714</v>
      </c>
      <c r="AF165" s="200" t="str">
        <f>IFERROR(VLOOKUP(E165,Tabla3[],2,0),"No Registrado")</f>
        <v>ACADEMIA EUROPEA</v>
      </c>
      <c r="AG165" s="200" t="s">
        <v>1767</v>
      </c>
      <c r="AH165" s="275" t="s">
        <v>1732</v>
      </c>
    </row>
    <row r="166" spans="1:34" ht="16.5" x14ac:dyDescent="0.3">
      <c r="A166" s="166">
        <f t="shared" si="24"/>
        <v>45771</v>
      </c>
      <c r="B166" s="166" t="str">
        <f>TEXT(Detalles2025[[#This Row],[Fecha]],"AAAA")</f>
        <v>2025</v>
      </c>
      <c r="C166" s="166" t="str">
        <f>TEXT(Detalles2025[[#This Row],[Fecha]],"MMMM")</f>
        <v>abril</v>
      </c>
      <c r="D166" s="166" t="str">
        <f>TEXT(Detalles2025[[#This Row],[Fecha]],"DDDD")</f>
        <v>jueves</v>
      </c>
      <c r="E166" s="192" t="s">
        <v>1736</v>
      </c>
      <c r="F166" s="193">
        <v>1</v>
      </c>
      <c r="G166" s="194">
        <v>7</v>
      </c>
      <c r="H166" s="269" t="str">
        <f>IF(G166=1,Leyenda!$C$3,IF(G166=2,Leyenda!$C$4,IF(G166=3,Leyenda!$C$5,IF(G166=4,Leyenda!$C$6,IF(G166=5,Leyenda!$C$7,IF(G166=6,Leyenda!$C$8,IF(G166=7,Leyenda!$C$9,IF(G166=8,Leyenda!$C$10," "))))))))&amp;IF(G166=9,Leyenda!$C$11,IF(G166=10,Leyenda!$C$12,IF(G166=11,Leyenda!$C$13,IF(G166=12,Leyenda!$C$14," "))))</f>
        <v xml:space="preserve">GASTOS FINANCIEROS </v>
      </c>
      <c r="I166" s="196"/>
      <c r="K166" s="258">
        <v>202504</v>
      </c>
      <c r="L166" s="191">
        <v>24</v>
      </c>
      <c r="M166" s="191"/>
      <c r="O166" s="280">
        <v>0</v>
      </c>
      <c r="P166" s="76">
        <v>23443.75</v>
      </c>
      <c r="Q166" s="198">
        <f t="shared" si="25"/>
        <v>23443.75</v>
      </c>
      <c r="R166" s="199">
        <v>0</v>
      </c>
      <c r="S166" s="199"/>
      <c r="T166" s="199"/>
      <c r="U166" s="199">
        <v>0</v>
      </c>
      <c r="V166" s="199"/>
      <c r="W166" s="199"/>
      <c r="X166" s="199"/>
      <c r="Y166" s="199"/>
      <c r="Z166" s="199"/>
      <c r="AA166" s="199">
        <v>0</v>
      </c>
      <c r="AB166" s="199">
        <v>0</v>
      </c>
      <c r="AC166" s="199">
        <v>0</v>
      </c>
      <c r="AD166" s="199">
        <f>SUM(Detalles2025[[#This Row],[Monto Facturado]:[Monto Propina Legal]])</f>
        <v>23443.75</v>
      </c>
      <c r="AE166" s="199" t="s">
        <v>1725</v>
      </c>
      <c r="AF166" s="200" t="str">
        <f>IFERROR(VLOOKUP(E166,Tabla3[],2,0),"No Registrado")</f>
        <v>No Registrado</v>
      </c>
      <c r="AG166" s="200" t="s">
        <v>1737</v>
      </c>
      <c r="AH166" s="199" t="s">
        <v>1735</v>
      </c>
    </row>
    <row r="167" spans="1:34" ht="16.5" x14ac:dyDescent="0.3">
      <c r="A167" s="166">
        <f t="shared" si="24"/>
        <v>45751</v>
      </c>
      <c r="B167" s="166" t="str">
        <f>TEXT(Detalles2025[[#This Row],[Fecha]],"AAAA")</f>
        <v>2025</v>
      </c>
      <c r="C167" s="166" t="str">
        <f>TEXT(Detalles2025[[#This Row],[Fecha]],"MMMM")</f>
        <v>abril</v>
      </c>
      <c r="D167" s="166" t="str">
        <f>TEXT(Detalles2025[[#This Row],[Fecha]],"DDDD")</f>
        <v>viernes</v>
      </c>
      <c r="E167" s="192" t="s">
        <v>1740</v>
      </c>
      <c r="F167" s="193">
        <v>1</v>
      </c>
      <c r="G167" s="194">
        <v>7</v>
      </c>
      <c r="H167" s="285" t="str">
        <f>IF(G167=1,Leyenda!$C$3,IF(G167=2,Leyenda!$C$4,IF(G167=3,Leyenda!$C$5,IF(G167=4,Leyenda!$C$6,IF(G167=5,Leyenda!$C$7,IF(G167=6,Leyenda!$C$8,IF(G167=7,Leyenda!$C$9,IF(G167=8,Leyenda!$C$10," "))))))))&amp;IF(G167=9,Leyenda!$C$11,IF(G167=10,Leyenda!$C$12,IF(G167=11,Leyenda!$C$13,IF(G167=12,Leyenda!$C$14," "))))</f>
        <v xml:space="preserve">GASTOS FINANCIEROS </v>
      </c>
      <c r="I167" s="196"/>
      <c r="K167" s="258">
        <v>202504</v>
      </c>
      <c r="L167" s="191">
        <v>4</v>
      </c>
      <c r="M167" s="191"/>
      <c r="O167" s="273">
        <v>0</v>
      </c>
      <c r="P167" s="274">
        <v>15208.33</v>
      </c>
      <c r="Q167" s="288">
        <f t="shared" si="25"/>
        <v>15208.33</v>
      </c>
      <c r="R167" s="275">
        <v>0</v>
      </c>
      <c r="S167" s="275"/>
      <c r="T167" s="275"/>
      <c r="U167" s="275">
        <v>0</v>
      </c>
      <c r="V167" s="275"/>
      <c r="W167" s="275"/>
      <c r="X167" s="275"/>
      <c r="Y167" s="275"/>
      <c r="Z167" s="275"/>
      <c r="AA167" s="275">
        <v>0</v>
      </c>
      <c r="AB167" s="275">
        <v>0</v>
      </c>
      <c r="AC167" s="275">
        <v>0</v>
      </c>
      <c r="AD167" s="275">
        <f>SUM(Detalles2025[[#This Row],[Monto Facturado]:[Monto Propina Legal]])</f>
        <v>15208.33</v>
      </c>
      <c r="AE167" s="275" t="s">
        <v>1725</v>
      </c>
      <c r="AF167" s="200" t="str">
        <f>IFERROR(VLOOKUP(E167,Tabla3[],2,0),"No Registrado")</f>
        <v>No Registrado</v>
      </c>
      <c r="AG167" s="200" t="s">
        <v>1737</v>
      </c>
      <c r="AH167" s="275" t="s">
        <v>1735</v>
      </c>
    </row>
    <row r="168" spans="1:34" ht="16.5" x14ac:dyDescent="0.3">
      <c r="A168" s="166">
        <f t="shared" ref="A168:A169" si="26">DATE(LEFT(K168,4),RIGHT(K168,2),L168)</f>
        <v>45763</v>
      </c>
      <c r="B168" s="166" t="str">
        <f>TEXT(Detalles2025[[#This Row],[Fecha]],"AAAA")</f>
        <v>2025</v>
      </c>
      <c r="C168" s="166" t="str">
        <f>TEXT(Detalles2025[[#This Row],[Fecha]],"MMMM")</f>
        <v>abril</v>
      </c>
      <c r="D168" s="166" t="str">
        <f>TEXT(Detalles2025[[#This Row],[Fecha]],"DDDD")</f>
        <v>miércoles</v>
      </c>
      <c r="E168" s="192" t="s">
        <v>492</v>
      </c>
      <c r="F168" s="193">
        <v>1</v>
      </c>
      <c r="G168" s="194">
        <v>7</v>
      </c>
      <c r="H168" s="269" t="str">
        <f>IF(G168=1,Leyenda!$C$3,IF(G168=2,Leyenda!$C$4,IF(G168=3,Leyenda!$C$5,IF(G168=4,Leyenda!$C$6,IF(G168=5,Leyenda!$C$7,IF(G168=6,Leyenda!$C$8,IF(G168=7,Leyenda!$C$9,IF(G168=8,Leyenda!$C$10," "))))))))&amp;IF(G168=9,Leyenda!$C$11,IF(G168=10,Leyenda!$C$12,IF(G168=11,Leyenda!$C$13,IF(G168=12,Leyenda!$C$14," "))))</f>
        <v xml:space="preserve">GASTOS FINANCIEROS </v>
      </c>
      <c r="I168" s="196" t="s">
        <v>1697</v>
      </c>
      <c r="K168" s="258">
        <v>202504</v>
      </c>
      <c r="L168" s="191">
        <v>16</v>
      </c>
      <c r="M168" s="191"/>
      <c r="O168" s="280">
        <v>0</v>
      </c>
      <c r="P168" s="76">
        <v>48000</v>
      </c>
      <c r="Q168" s="198">
        <f t="shared" si="25"/>
        <v>48000</v>
      </c>
      <c r="R168" s="199">
        <v>0</v>
      </c>
      <c r="S168" s="199"/>
      <c r="T168" s="199"/>
      <c r="U168" s="199">
        <v>0</v>
      </c>
      <c r="V168" s="199"/>
      <c r="W168" s="199"/>
      <c r="X168" s="199"/>
      <c r="Y168" s="199"/>
      <c r="Z168" s="199"/>
      <c r="AA168" s="199">
        <v>0</v>
      </c>
      <c r="AB168" s="199">
        <v>0</v>
      </c>
      <c r="AC168" s="199">
        <v>0</v>
      </c>
      <c r="AD168" s="199">
        <f>SUM(Detalles2025[[#This Row],[Monto Facturado]:[Monto Propina Legal]])</f>
        <v>48000</v>
      </c>
      <c r="AE168" s="199" t="s">
        <v>1725</v>
      </c>
      <c r="AF168" s="200" t="str">
        <f>IFERROR(VLOOKUP(E168,Tabla3[],2,0),"No Registrado")</f>
        <v>Banco Dominicano del Progreso, S. A.//Banco Multiple</v>
      </c>
      <c r="AG168" s="200" t="s">
        <v>1734</v>
      </c>
      <c r="AH168" s="199" t="s">
        <v>1735</v>
      </c>
    </row>
    <row r="169" spans="1:34" ht="16.5" x14ac:dyDescent="0.3">
      <c r="A169" s="166">
        <f t="shared" si="26"/>
        <v>45748</v>
      </c>
      <c r="B169" s="166" t="str">
        <f>TEXT(Detalles2025[[#This Row],[Fecha]],"AAAA")</f>
        <v>2025</v>
      </c>
      <c r="C169" s="166" t="str">
        <f>TEXT(Detalles2025[[#This Row],[Fecha]],"MMMM")</f>
        <v>abril</v>
      </c>
      <c r="D169" s="166" t="str">
        <f>TEXT(Detalles2025[[#This Row],[Fecha]],"DDDD")</f>
        <v>martes</v>
      </c>
      <c r="E169" s="192" t="s">
        <v>1738</v>
      </c>
      <c r="F169" s="193">
        <v>1</v>
      </c>
      <c r="G169" s="194">
        <v>7</v>
      </c>
      <c r="H169" s="285" t="str">
        <f>IF(G169=1,Leyenda!$C$3,IF(G169=2,Leyenda!$C$4,IF(G169=3,Leyenda!$C$5,IF(G169=4,Leyenda!$C$6,IF(G169=5,Leyenda!$C$7,IF(G169=6,Leyenda!$C$8,IF(G169=7,Leyenda!$C$9,IF(G169=8,Leyenda!$C$10," "))))))))&amp;IF(G169=9,Leyenda!$C$11,IF(G169=10,Leyenda!$C$12,IF(G169=11,Leyenda!$C$13,IF(G169=12,Leyenda!$C$14," "))))</f>
        <v xml:space="preserve">GASTOS FINANCIEROS </v>
      </c>
      <c r="I169" s="196"/>
      <c r="K169" s="258">
        <v>202504</v>
      </c>
      <c r="L169" s="191">
        <v>1</v>
      </c>
      <c r="M169" s="191"/>
      <c r="O169" s="273">
        <v>0</v>
      </c>
      <c r="P169" s="274">
        <v>25404.27</v>
      </c>
      <c r="Q169" s="288">
        <f t="shared" si="25"/>
        <v>25404.27</v>
      </c>
      <c r="R169" s="275">
        <v>0</v>
      </c>
      <c r="S169" s="275"/>
      <c r="T169" s="275"/>
      <c r="U169" s="275">
        <v>0</v>
      </c>
      <c r="V169" s="275"/>
      <c r="W169" s="275"/>
      <c r="X169" s="275"/>
      <c r="Y169" s="275"/>
      <c r="Z169" s="275"/>
      <c r="AA169" s="275">
        <v>0</v>
      </c>
      <c r="AB169" s="275">
        <v>0</v>
      </c>
      <c r="AC169" s="275">
        <v>0</v>
      </c>
      <c r="AD169" s="275">
        <f>SUM(Detalles2025[[#This Row],[Monto Facturado]:[Monto Propina Legal]])</f>
        <v>25404.27</v>
      </c>
      <c r="AE169" s="275" t="s">
        <v>1725</v>
      </c>
      <c r="AF169" s="200" t="str">
        <f>IFERROR(VLOOKUP(E169,Tabla3[],2,0),"No Registrado")</f>
        <v>No Registrado</v>
      </c>
      <c r="AG169" s="200" t="s">
        <v>1739</v>
      </c>
      <c r="AH169" s="275" t="s">
        <v>1735</v>
      </c>
    </row>
    <row r="170" spans="1:34" ht="16.5" x14ac:dyDescent="0.3">
      <c r="A170" s="166">
        <f>DATE(LEFT(K170,4),RIGHT(K170,2),L170)</f>
        <v>45765</v>
      </c>
      <c r="B170" s="166" t="str">
        <f>TEXT(Detalles2025[[#This Row],[Fecha]],"AAAA")</f>
        <v>2025</v>
      </c>
      <c r="C170" s="166" t="str">
        <f>TEXT(Detalles2025[[#This Row],[Fecha]],"MMMM")</f>
        <v>abril</v>
      </c>
      <c r="D170" s="166" t="str">
        <f>TEXT(Detalles2025[[#This Row],[Fecha]],"DDDD")</f>
        <v>viernes</v>
      </c>
      <c r="E170" s="192" t="s">
        <v>1880</v>
      </c>
      <c r="F170" s="193">
        <v>1</v>
      </c>
      <c r="G170" s="194">
        <v>12</v>
      </c>
      <c r="H170" s="272" t="str">
        <f>IF(G170=1,Leyenda!$C$3,IF(G170=2,Leyenda!$C$4,IF(G170=3,Leyenda!$C$5,IF(G170=4,Leyenda!$C$6,IF(G170=5,Leyenda!$C$7,IF(G170=6,Leyenda!$C$8,IF(G170=7,Leyenda!$C$9,IF(G170=8,Leyenda!$C$10," "))))))))&amp;IF(G170=9,Leyenda!$C$11,IF(G170=10,Leyenda!$C$12,IF(G170=11,Leyenda!$C$13,IF(G170=12,Leyenda!$C$14," "))))</f>
        <v xml:space="preserve"> GASTOS MENORES</v>
      </c>
      <c r="I170" s="196">
        <v>0</v>
      </c>
      <c r="K170" s="258">
        <v>202504</v>
      </c>
      <c r="L170" s="191">
        <v>18</v>
      </c>
      <c r="M170" s="191"/>
      <c r="O170" s="273">
        <v>0</v>
      </c>
      <c r="P170" s="274">
        <v>3000</v>
      </c>
      <c r="Q170" s="288">
        <f t="shared" si="25"/>
        <v>3000</v>
      </c>
      <c r="R170" s="275">
        <v>0</v>
      </c>
      <c r="S170" s="275"/>
      <c r="T170" s="275"/>
      <c r="U170" s="275">
        <v>0</v>
      </c>
      <c r="V170" s="275"/>
      <c r="W170" s="275"/>
      <c r="X170" s="275"/>
      <c r="Y170" s="275"/>
      <c r="Z170" s="275"/>
      <c r="AA170" s="275">
        <v>0</v>
      </c>
      <c r="AB170" s="275">
        <v>0</v>
      </c>
      <c r="AC170" s="275">
        <v>0</v>
      </c>
      <c r="AD170" s="275">
        <f>SUM(Detalles2025[[#This Row],[Monto Facturado]:[Monto Propina Legal]])</f>
        <v>3000</v>
      </c>
      <c r="AE170" s="284" t="s">
        <v>1725</v>
      </c>
      <c r="AF170" s="200" t="str">
        <f>IFERROR(VLOOKUP(E170,Tabla3[],2,0),"No Registrado")</f>
        <v>No Registrado</v>
      </c>
      <c r="AG170" s="200" t="s">
        <v>1881</v>
      </c>
      <c r="AH170" s="275" t="s">
        <v>1170</v>
      </c>
    </row>
    <row r="171" spans="1:34" ht="16.5" x14ac:dyDescent="0.3">
      <c r="A171" s="166">
        <f>DATE(LEFT(K171,4),RIGHT(K171,2),L171)</f>
        <v>45769</v>
      </c>
      <c r="B171" s="166" t="str">
        <f>TEXT(Detalles2025[[#This Row],[Fecha]],"AAAA")</f>
        <v>2025</v>
      </c>
      <c r="C171" s="166" t="str">
        <f>TEXT(Detalles2025[[#This Row],[Fecha]],"MMMM")</f>
        <v>abril</v>
      </c>
      <c r="D171" s="166" t="str">
        <f>TEXT(Detalles2025[[#This Row],[Fecha]],"DDDD")</f>
        <v>martes</v>
      </c>
      <c r="E171" s="192" t="s">
        <v>1126</v>
      </c>
      <c r="F171" s="193">
        <v>1</v>
      </c>
      <c r="G171" s="194">
        <v>2</v>
      </c>
      <c r="H171" s="272" t="str">
        <f>IF(G171=1,Leyenda!$C$3,IF(G171=2,Leyenda!$C$4,IF(G171=3,Leyenda!$C$5,IF(G171=4,Leyenda!$C$6,IF(G171=5,Leyenda!$C$7,IF(G171=6,Leyenda!$C$8,IF(G171=7,Leyenda!$C$9,IF(G171=8,Leyenda!$C$10," "))))))))&amp;IF(G171=9,Leyenda!$C$11,IF(G171=10,Leyenda!$C$12,IF(G171=11,Leyenda!$C$13,IF(G171=12,Leyenda!$C$14," "))))</f>
        <v xml:space="preserve">GASTOS POR TRABAJOS, SUMINISTROS Y SERVICIOS </v>
      </c>
      <c r="I171" s="196" t="s">
        <v>1882</v>
      </c>
      <c r="K171" s="258">
        <v>202504</v>
      </c>
      <c r="L171" s="191">
        <v>22</v>
      </c>
      <c r="M171" s="191"/>
      <c r="O171" s="273">
        <v>0</v>
      </c>
      <c r="P171" s="274">
        <f>250+169.49</f>
        <v>419.49</v>
      </c>
      <c r="Q171" s="288">
        <f t="shared" si="25"/>
        <v>419.49</v>
      </c>
      <c r="R171" s="275">
        <v>30.51</v>
      </c>
      <c r="S171" s="275"/>
      <c r="T171" s="275"/>
      <c r="U171" s="275">
        <v>0</v>
      </c>
      <c r="V171" s="275"/>
      <c r="W171" s="275"/>
      <c r="X171" s="275"/>
      <c r="Y171" s="275"/>
      <c r="Z171" s="275"/>
      <c r="AA171" s="275">
        <v>0</v>
      </c>
      <c r="AB171" s="275">
        <v>0</v>
      </c>
      <c r="AC171" s="275">
        <v>0</v>
      </c>
      <c r="AD171" s="275">
        <f>SUM(Detalles2025[[#This Row],[Monto Facturado]:[Monto Propina Legal]])</f>
        <v>450</v>
      </c>
      <c r="AE171" s="284" t="s">
        <v>1714</v>
      </c>
      <c r="AF171" s="200" t="str">
        <f>IFERROR(VLOOKUP(E171,Tabla3[],2,0),"No Registrado")</f>
        <v>Floremch Importaciones SRL</v>
      </c>
      <c r="AG171" s="200" t="s">
        <v>1883</v>
      </c>
      <c r="AH171" s="275" t="s">
        <v>1720</v>
      </c>
    </row>
    <row r="172" spans="1:34" ht="16.5" x14ac:dyDescent="0.3">
      <c r="A172" s="166">
        <f>DATE(LEFT(K172,4),RIGHT(K172,2),L172)</f>
        <v>45770</v>
      </c>
      <c r="B172" s="166" t="str">
        <f>TEXT(Detalles2025[[#This Row],[Fecha]],"AAAA")</f>
        <v>2025</v>
      </c>
      <c r="C172" s="166" t="str">
        <f>TEXT(Detalles2025[[#This Row],[Fecha]],"MMMM")</f>
        <v>abril</v>
      </c>
      <c r="D172" s="166" t="str">
        <f>TEXT(Detalles2025[[#This Row],[Fecha]],"DDDD")</f>
        <v>miércoles</v>
      </c>
      <c r="E172" s="192" t="s">
        <v>675</v>
      </c>
      <c r="F172" s="193">
        <v>1</v>
      </c>
      <c r="G172" s="194">
        <v>2</v>
      </c>
      <c r="H172" s="272" t="str">
        <f>IF(G172=1,Leyenda!$C$3,IF(G172=2,Leyenda!$C$4,IF(G172=3,Leyenda!$C$5,IF(G172=4,Leyenda!$C$6,IF(G172=5,Leyenda!$C$7,IF(G172=6,Leyenda!$C$8,IF(G172=7,Leyenda!$C$9,IF(G172=8,Leyenda!$C$10," "))))))))&amp;IF(G172=9,Leyenda!$C$11,IF(G172=10,Leyenda!$C$12,IF(G172=11,Leyenda!$C$13,IF(G172=12,Leyenda!$C$14," "))))</f>
        <v xml:space="preserve">GASTOS POR TRABAJOS, SUMINISTROS Y SERVICIOS </v>
      </c>
      <c r="I172" s="196" t="s">
        <v>1884</v>
      </c>
      <c r="K172" s="258">
        <v>202504</v>
      </c>
      <c r="L172" s="191">
        <v>23</v>
      </c>
      <c r="M172" s="191"/>
      <c r="O172" s="273">
        <v>0</v>
      </c>
      <c r="P172" s="274">
        <f>630-96.1</f>
        <v>533.9</v>
      </c>
      <c r="Q172" s="288">
        <f t="shared" si="25"/>
        <v>533.9</v>
      </c>
      <c r="R172" s="275">
        <v>96.1</v>
      </c>
      <c r="S172" s="275"/>
      <c r="T172" s="275"/>
      <c r="U172" s="275">
        <v>0</v>
      </c>
      <c r="V172" s="275"/>
      <c r="W172" s="275"/>
      <c r="X172" s="275"/>
      <c r="Y172" s="275"/>
      <c r="Z172" s="275"/>
      <c r="AA172" s="275">
        <v>0</v>
      </c>
      <c r="AB172" s="275">
        <v>0</v>
      </c>
      <c r="AC172" s="275">
        <v>0</v>
      </c>
      <c r="AD172" s="275">
        <f>SUM(Detalles2025[[#This Row],[Monto Facturado]:[Monto Propina Legal]])</f>
        <v>630</v>
      </c>
      <c r="AE172" s="284" t="s">
        <v>1714</v>
      </c>
      <c r="AF172" s="200" t="str">
        <f>IFERROR(VLOOKUP(E172,Tabla3[],2,0),"No Registrado")</f>
        <v>Encajes La Rosario, S.R.L.</v>
      </c>
      <c r="AG172" s="200" t="s">
        <v>1885</v>
      </c>
      <c r="AH172" s="275" t="s">
        <v>1178</v>
      </c>
    </row>
    <row r="173" spans="1:34" ht="16.5" x14ac:dyDescent="0.3">
      <c r="A173" s="166">
        <f>DATE(LEFT(K173,4),RIGHT(K173,2),L173)</f>
        <v>45768</v>
      </c>
      <c r="B173" s="166" t="str">
        <f>TEXT(Detalles2025[[#This Row],[Fecha]],"AAAA")</f>
        <v>2025</v>
      </c>
      <c r="C173" s="166" t="str">
        <f>TEXT(Detalles2025[[#This Row],[Fecha]],"MMMM")</f>
        <v>abril</v>
      </c>
      <c r="D173" s="166" t="str">
        <f>TEXT(Detalles2025[[#This Row],[Fecha]],"DDDD")</f>
        <v>lunes</v>
      </c>
      <c r="E173" s="192" t="s">
        <v>511</v>
      </c>
      <c r="F173" s="193">
        <v>1</v>
      </c>
      <c r="G173" s="194">
        <v>2</v>
      </c>
      <c r="H173" s="272" t="str">
        <f>IF(G173=1,Leyenda!$C$3,IF(G173=2,Leyenda!$C$4,IF(G173=3,Leyenda!$C$5,IF(G173=4,Leyenda!$C$6,IF(G173=5,Leyenda!$C$7,IF(G173=6,Leyenda!$C$8,IF(G173=7,Leyenda!$C$9,IF(G173=8,Leyenda!$C$10," "))))))))&amp;IF(G173=9,Leyenda!$C$11,IF(G173=10,Leyenda!$C$12,IF(G173=11,Leyenda!$C$13,IF(G173=12,Leyenda!$C$14," "))))</f>
        <v xml:space="preserve">GASTOS POR TRABAJOS, SUMINISTROS Y SERVICIOS </v>
      </c>
      <c r="I173" s="196" t="s">
        <v>1886</v>
      </c>
      <c r="K173" s="258">
        <v>202504</v>
      </c>
      <c r="L173" s="191">
        <v>21</v>
      </c>
      <c r="M173" s="191"/>
      <c r="O173" s="273">
        <v>0</v>
      </c>
      <c r="P173" s="274">
        <f>1154-81.6</f>
        <v>1072.4000000000001</v>
      </c>
      <c r="Q173" s="288">
        <f t="shared" si="25"/>
        <v>1072.4000000000001</v>
      </c>
      <c r="R173" s="275">
        <v>81.599999999999994</v>
      </c>
      <c r="S173" s="275"/>
      <c r="T173" s="275"/>
      <c r="U173" s="275">
        <v>0</v>
      </c>
      <c r="V173" s="275"/>
      <c r="W173" s="275"/>
      <c r="X173" s="275"/>
      <c r="Y173" s="275"/>
      <c r="Z173" s="275"/>
      <c r="AA173" s="275">
        <v>0</v>
      </c>
      <c r="AB173" s="275">
        <v>0</v>
      </c>
      <c r="AC173" s="275">
        <v>0</v>
      </c>
      <c r="AD173" s="275">
        <f>SUM(Detalles2025[[#This Row],[Monto Facturado]:[Monto Propina Legal]])</f>
        <v>1154</v>
      </c>
      <c r="AE173" s="284" t="s">
        <v>1714</v>
      </c>
      <c r="AF173" s="200" t="str">
        <f>IFERROR(VLOOKUP(E173,Tabla3[],2,0),"No Registrado")</f>
        <v>Bravo, S.A.//Supermercados Bravo</v>
      </c>
      <c r="AG173" s="200" t="s">
        <v>1751</v>
      </c>
      <c r="AH173" s="275" t="s">
        <v>1178</v>
      </c>
    </row>
    <row r="174" spans="1:34" ht="16.5" x14ac:dyDescent="0.3">
      <c r="A174" s="166">
        <f>DATE(LEFT(K174,4),RIGHT(K174,2),L174)</f>
        <v>45769</v>
      </c>
      <c r="B174" s="166" t="str">
        <f>TEXT(Detalles2025[[#This Row],[Fecha]],"AAAA")</f>
        <v>2025</v>
      </c>
      <c r="C174" s="166" t="str">
        <f>TEXT(Detalles2025[[#This Row],[Fecha]],"MMMM")</f>
        <v>abril</v>
      </c>
      <c r="D174" s="166" t="str">
        <f>TEXT(Detalles2025[[#This Row],[Fecha]],"DDDD")</f>
        <v>martes</v>
      </c>
      <c r="E174" s="192" t="s">
        <v>511</v>
      </c>
      <c r="F174" s="193">
        <v>1</v>
      </c>
      <c r="G174" s="194">
        <v>2</v>
      </c>
      <c r="H174" s="272" t="str">
        <f>IF(G174=1,Leyenda!$C$3,IF(G174=2,Leyenda!$C$4,IF(G174=3,Leyenda!$C$5,IF(G174=4,Leyenda!$C$6,IF(G174=5,Leyenda!$C$7,IF(G174=6,Leyenda!$C$8,IF(G174=7,Leyenda!$C$9,IF(G174=8,Leyenda!$C$10," "))))))))&amp;IF(G174=9,Leyenda!$C$11,IF(G174=10,Leyenda!$C$12,IF(G174=11,Leyenda!$C$13,IF(G174=12,Leyenda!$C$14," "))))</f>
        <v xml:space="preserve">GASTOS POR TRABAJOS, SUMINISTROS Y SERVICIOS </v>
      </c>
      <c r="I174" s="196" t="s">
        <v>1887</v>
      </c>
      <c r="K174" s="258">
        <v>202504</v>
      </c>
      <c r="L174" s="191">
        <v>22</v>
      </c>
      <c r="M174" s="191"/>
      <c r="O174" s="273">
        <v>0</v>
      </c>
      <c r="P174" s="274">
        <f>622-22.73</f>
        <v>599.27</v>
      </c>
      <c r="Q174" s="288">
        <f t="shared" si="25"/>
        <v>599.27</v>
      </c>
      <c r="R174" s="275">
        <v>22.73</v>
      </c>
      <c r="S174" s="275"/>
      <c r="T174" s="275"/>
      <c r="U174" s="275">
        <v>0</v>
      </c>
      <c r="V174" s="275"/>
      <c r="W174" s="275"/>
      <c r="X174" s="275"/>
      <c r="Y174" s="275"/>
      <c r="Z174" s="275"/>
      <c r="AA174" s="275">
        <v>0</v>
      </c>
      <c r="AB174" s="275">
        <v>0</v>
      </c>
      <c r="AC174" s="275">
        <v>0</v>
      </c>
      <c r="AD174" s="275">
        <f>SUM(Detalles2025[[#This Row],[Monto Facturado]:[Monto Propina Legal]])</f>
        <v>622</v>
      </c>
      <c r="AE174" s="284" t="s">
        <v>1714</v>
      </c>
      <c r="AF174" s="200" t="str">
        <f>IFERROR(VLOOKUP(E174,Tabla3[],2,0),"No Registrado")</f>
        <v>Bravo, S.A.//Supermercados Bravo</v>
      </c>
      <c r="AG174" s="200" t="s">
        <v>1751</v>
      </c>
      <c r="AH174" s="275" t="s">
        <v>1720</v>
      </c>
    </row>
    <row r="175" spans="1:34" ht="16.5" x14ac:dyDescent="0.3">
      <c r="A175" s="166">
        <f t="shared" ref="A175" si="27">DATE(LEFT(K175,4),RIGHT(K175,2),L175)</f>
        <v>45771</v>
      </c>
      <c r="B175" s="166" t="str">
        <f>TEXT(Detalles2025[[#This Row],[Fecha]],"AAAA")</f>
        <v>2025</v>
      </c>
      <c r="C175" s="166" t="str">
        <f>TEXT(Detalles2025[[#This Row],[Fecha]],"MMMM")</f>
        <v>abril</v>
      </c>
      <c r="D175" s="166" t="str">
        <f>TEXT(Detalles2025[[#This Row],[Fecha]],"DDDD")</f>
        <v>jueves</v>
      </c>
      <c r="E175" s="192" t="s">
        <v>577</v>
      </c>
      <c r="F175" s="193">
        <v>1</v>
      </c>
      <c r="G175" s="194">
        <v>2</v>
      </c>
      <c r="H175" s="272" t="str">
        <f>IF(G175=1,Leyenda!$C$3,IF(G175=2,Leyenda!$C$4,IF(G175=3,Leyenda!$C$5,IF(G175=4,Leyenda!$C$6,IF(G175=5,Leyenda!$C$7,IF(G175=6,Leyenda!$C$8,IF(G175=7,Leyenda!$C$9,IF(G175=8,Leyenda!$C$10," "))))))))&amp;IF(G175=9,Leyenda!$C$11,IF(G175=10,Leyenda!$C$12,IF(G175=11,Leyenda!$C$13,IF(G175=12,Leyenda!$C$14," "))))</f>
        <v xml:space="preserve">GASTOS POR TRABAJOS, SUMINISTROS Y SERVICIOS </v>
      </c>
      <c r="I175" s="281" t="s">
        <v>1797</v>
      </c>
      <c r="K175" s="258">
        <v>202504</v>
      </c>
      <c r="L175" s="191">
        <v>24</v>
      </c>
      <c r="M175" s="191"/>
      <c r="O175" s="273">
        <v>0</v>
      </c>
      <c r="P175" s="274">
        <v>1591</v>
      </c>
      <c r="Q175" s="288">
        <f t="shared" si="25"/>
        <v>1591</v>
      </c>
      <c r="R175" s="275">
        <v>0</v>
      </c>
      <c r="S175" s="275"/>
      <c r="T175" s="275"/>
      <c r="U175" s="275">
        <v>0</v>
      </c>
      <c r="V175" s="275"/>
      <c r="W175" s="275"/>
      <c r="X175" s="275"/>
      <c r="Y175" s="275"/>
      <c r="Z175" s="275"/>
      <c r="AA175" s="275">
        <v>0</v>
      </c>
      <c r="AB175" s="275">
        <v>0</v>
      </c>
      <c r="AC175" s="275">
        <v>0</v>
      </c>
      <c r="AD175" s="275">
        <f>SUM(Detalles2025[[#This Row],[Monto Facturado]:[Monto Propina Legal]])</f>
        <v>1591</v>
      </c>
      <c r="AE175" s="275" t="s">
        <v>1714</v>
      </c>
      <c r="AF175" s="200" t="str">
        <f>IFERROR(VLOOKUP(E175,Tabla3[],2,0),"No Registrado")</f>
        <v>Isla Dominicana de Petroleo, Corp.</v>
      </c>
      <c r="AG175" s="200" t="s">
        <v>1798</v>
      </c>
      <c r="AH175" s="275" t="s">
        <v>1720</v>
      </c>
    </row>
    <row r="176" spans="1:34" ht="16.5" x14ac:dyDescent="0.3">
      <c r="A176" s="166">
        <f>DATE(LEFT(K176,4),RIGHT(K176,2),L176)</f>
        <v>45771</v>
      </c>
      <c r="B176" s="166" t="str">
        <f>TEXT(Detalles2025[[#This Row],[Fecha]],"AAAA")</f>
        <v>2025</v>
      </c>
      <c r="C176" s="166" t="str">
        <f>TEXT(Detalles2025[[#This Row],[Fecha]],"MMMM")</f>
        <v>abril</v>
      </c>
      <c r="D176" s="166" t="str">
        <f>TEXT(Detalles2025[[#This Row],[Fecha]],"DDDD")</f>
        <v>jueves</v>
      </c>
      <c r="E176" s="192" t="s">
        <v>1130</v>
      </c>
      <c r="F176" s="193">
        <v>1</v>
      </c>
      <c r="G176" s="194">
        <v>2</v>
      </c>
      <c r="H176" s="272" t="str">
        <f>IF(G176=1,Leyenda!$C$3,IF(G176=2,Leyenda!$C$4,IF(G176=3,Leyenda!$C$5,IF(G176=4,Leyenda!$C$6,IF(G176=5,Leyenda!$C$7,IF(G176=6,Leyenda!$C$8,IF(G176=7,Leyenda!$C$9,IF(G176=8,Leyenda!$C$10," "))))))))&amp;IF(G176=9,Leyenda!$C$11,IF(G176=10,Leyenda!$C$12,IF(G176=11,Leyenda!$C$13,IF(G176=12,Leyenda!$C$14," "))))</f>
        <v xml:space="preserve">GASTOS POR TRABAJOS, SUMINISTROS Y SERVICIOS </v>
      </c>
      <c r="I176" s="196" t="s">
        <v>1888</v>
      </c>
      <c r="K176" s="258">
        <v>202504</v>
      </c>
      <c r="L176" s="191">
        <v>24</v>
      </c>
      <c r="M176" s="191"/>
      <c r="O176" s="273">
        <v>0</v>
      </c>
      <c r="P176" s="274">
        <v>2276.4</v>
      </c>
      <c r="Q176" s="288">
        <f t="shared" si="25"/>
        <v>2276.4</v>
      </c>
      <c r="R176" s="275">
        <v>0</v>
      </c>
      <c r="S176" s="275"/>
      <c r="T176" s="275"/>
      <c r="U176" s="275">
        <v>0</v>
      </c>
      <c r="V176" s="275"/>
      <c r="W176" s="275"/>
      <c r="X176" s="275"/>
      <c r="Y176" s="275"/>
      <c r="Z176" s="275"/>
      <c r="AA176" s="275">
        <v>0</v>
      </c>
      <c r="AB176" s="275">
        <v>0</v>
      </c>
      <c r="AC176" s="275">
        <v>0</v>
      </c>
      <c r="AD176" s="275">
        <f>SUM(Detalles2025[[#This Row],[Monto Facturado]:[Monto Propina Legal]])</f>
        <v>2276.4</v>
      </c>
      <c r="AE176" s="284" t="s">
        <v>1714</v>
      </c>
      <c r="AF176" s="200" t="str">
        <f>IFERROR(VLOOKUP(E176,Tabla3[],2,0),"No Registrado")</f>
        <v>Farmacia VIP Mendo SRL</v>
      </c>
      <c r="AG176" s="200" t="s">
        <v>1744</v>
      </c>
      <c r="AH176" s="275" t="s">
        <v>1170</v>
      </c>
    </row>
    <row r="177" spans="1:34" ht="16.5" x14ac:dyDescent="0.3">
      <c r="A177" s="166">
        <f>DATE(LEFT(K177,4),RIGHT(K177,2),L177)</f>
        <v>45770</v>
      </c>
      <c r="B177" s="166" t="str">
        <f>TEXT(Detalles2025[[#This Row],[Fecha]],"AAAA")</f>
        <v>2025</v>
      </c>
      <c r="C177" s="166" t="str">
        <f>TEXT(Detalles2025[[#This Row],[Fecha]],"MMMM")</f>
        <v>abril</v>
      </c>
      <c r="D177" s="166" t="str">
        <f>TEXT(Detalles2025[[#This Row],[Fecha]],"DDDD")</f>
        <v>miércoles</v>
      </c>
      <c r="E177" s="192" t="s">
        <v>675</v>
      </c>
      <c r="F177" s="193">
        <v>1</v>
      </c>
      <c r="G177" s="194">
        <v>2</v>
      </c>
      <c r="H177" s="272" t="str">
        <f>IF(G177=1,Leyenda!$C$3,IF(G177=2,Leyenda!$C$4,IF(G177=3,Leyenda!$C$5,IF(G177=4,Leyenda!$C$6,IF(G177=5,Leyenda!$C$7,IF(G177=6,Leyenda!$C$8,IF(G177=7,Leyenda!$C$9,IF(G177=8,Leyenda!$C$10," "))))))))&amp;IF(G177=9,Leyenda!$C$11,IF(G177=10,Leyenda!$C$12,IF(G177=11,Leyenda!$C$13,IF(G177=12,Leyenda!$C$14," "))))</f>
        <v xml:space="preserve">GASTOS POR TRABAJOS, SUMINISTROS Y SERVICIOS </v>
      </c>
      <c r="I177" s="196" t="s">
        <v>1884</v>
      </c>
      <c r="K177" s="258">
        <v>202504</v>
      </c>
      <c r="L177" s="191">
        <v>23</v>
      </c>
      <c r="M177" s="191"/>
      <c r="O177" s="273">
        <v>0</v>
      </c>
      <c r="P177" s="274">
        <f>630-96.1</f>
        <v>533.9</v>
      </c>
      <c r="Q177" s="288">
        <f t="shared" si="25"/>
        <v>533.9</v>
      </c>
      <c r="R177" s="275">
        <v>96.1</v>
      </c>
      <c r="S177" s="275"/>
      <c r="T177" s="275"/>
      <c r="U177" s="275">
        <v>0</v>
      </c>
      <c r="V177" s="275"/>
      <c r="W177" s="275"/>
      <c r="X177" s="275"/>
      <c r="Y177" s="275"/>
      <c r="Z177" s="275"/>
      <c r="AA177" s="275">
        <v>0</v>
      </c>
      <c r="AB177" s="275">
        <v>0</v>
      </c>
      <c r="AC177" s="275">
        <v>0</v>
      </c>
      <c r="AD177" s="275">
        <f>SUM(Detalles2025[[#This Row],[Monto Facturado]:[Monto Propina Legal]])</f>
        <v>630</v>
      </c>
      <c r="AE177" s="284" t="s">
        <v>1725</v>
      </c>
      <c r="AF177" s="200" t="str">
        <f>IFERROR(VLOOKUP(E177,Tabla3[],2,0),"No Registrado")</f>
        <v>Encajes La Rosario, S.R.L.</v>
      </c>
      <c r="AG177" s="200" t="s">
        <v>1889</v>
      </c>
      <c r="AH177" s="275" t="s">
        <v>1720</v>
      </c>
    </row>
    <row r="178" spans="1:34" ht="16.5" x14ac:dyDescent="0.3">
      <c r="A178" t="s">
        <v>1890</v>
      </c>
      <c r="E178" s="302"/>
      <c r="F178" s="193"/>
      <c r="G178" s="194"/>
      <c r="H178" s="303"/>
      <c r="I178" s="196"/>
      <c r="K178" s="258"/>
      <c r="M178" s="191"/>
      <c r="O178" s="304"/>
      <c r="P178" s="304"/>
      <c r="Q178" s="305"/>
      <c r="R178" s="307"/>
      <c r="S178" s="307"/>
      <c r="T178" s="307"/>
      <c r="U178" s="307"/>
      <c r="V178" s="307"/>
      <c r="W178" s="307"/>
      <c r="X178" s="307"/>
      <c r="Y178" s="307"/>
      <c r="Z178" s="307"/>
      <c r="AA178" s="307"/>
      <c r="AB178" s="307"/>
      <c r="AC178" s="307"/>
      <c r="AD178" s="306">
        <f>SUBTOTAL(109,Detalles2025[Total Facturado])</f>
        <v>961282.92999999993</v>
      </c>
      <c r="AE178" s="307"/>
      <c r="AF178" s="308"/>
      <c r="AG178" s="308"/>
      <c r="AH178" s="307">
        <f>SUBTOTAL(103,Detalles2025[Objeto del gasto])</f>
        <v>176</v>
      </c>
    </row>
    <row r="179" spans="1:34" ht="15.75" x14ac:dyDescent="0.25">
      <c r="E179" s="261"/>
      <c r="F179" s="193"/>
      <c r="G179" s="194"/>
      <c r="H179" s="195"/>
      <c r="I179" s="202"/>
      <c r="O179" s="197"/>
      <c r="P179" s="197"/>
      <c r="Q179" s="197"/>
      <c r="R179" s="197"/>
      <c r="AE179" s="200"/>
      <c r="AF179" s="200"/>
    </row>
    <row r="180" spans="1:34" ht="15.75" x14ac:dyDescent="0.25">
      <c r="E180" s="262"/>
      <c r="F180" s="193"/>
      <c r="G180" s="194"/>
      <c r="H180" s="195"/>
      <c r="I180" s="206"/>
      <c r="O180" s="197"/>
      <c r="P180" s="197"/>
      <c r="Q180" s="207"/>
      <c r="R180" s="207"/>
      <c r="AE180" s="200"/>
      <c r="AF180" s="200"/>
    </row>
    <row r="181" spans="1:34" ht="15.75" x14ac:dyDescent="0.25">
      <c r="E181" s="261"/>
      <c r="F181" s="193"/>
      <c r="G181" s="194"/>
      <c r="H181" s="195"/>
      <c r="I181" s="202"/>
      <c r="O181" s="197"/>
      <c r="P181" s="197"/>
      <c r="Q181" s="197"/>
      <c r="R181" s="197"/>
      <c r="AE181" s="200"/>
      <c r="AF181" s="200"/>
    </row>
    <row r="182" spans="1:34" ht="15.75" x14ac:dyDescent="0.25">
      <c r="E182" s="261"/>
      <c r="F182" s="193"/>
      <c r="G182" s="194"/>
      <c r="H182" s="195"/>
      <c r="I182" s="202"/>
      <c r="O182" s="197"/>
      <c r="P182" s="197"/>
      <c r="Q182" s="197"/>
      <c r="R182" s="197"/>
      <c r="AE182" s="200"/>
      <c r="AF182" s="200"/>
    </row>
    <row r="183" spans="1:34" ht="15.75" x14ac:dyDescent="0.25">
      <c r="E183" s="261"/>
      <c r="F183" s="193"/>
      <c r="G183" s="194"/>
      <c r="H183" s="195"/>
      <c r="I183" s="202"/>
      <c r="O183" s="197"/>
      <c r="P183" s="197"/>
      <c r="Q183" s="197"/>
      <c r="R183" s="197"/>
      <c r="AE183" s="200"/>
      <c r="AF183" s="200"/>
    </row>
    <row r="184" spans="1:34" ht="15.75" x14ac:dyDescent="0.25">
      <c r="E184" s="261"/>
      <c r="F184" s="193"/>
      <c r="G184" s="194"/>
      <c r="H184" s="195"/>
      <c r="I184" s="202"/>
      <c r="O184" s="197"/>
      <c r="P184" s="197"/>
      <c r="Q184" s="197"/>
      <c r="R184" s="197"/>
      <c r="AE184" s="200"/>
      <c r="AF184" s="200"/>
    </row>
    <row r="185" spans="1:34" ht="15.75" x14ac:dyDescent="0.25">
      <c r="E185" s="261"/>
      <c r="F185" s="193"/>
      <c r="G185" s="194"/>
      <c r="H185" s="195"/>
      <c r="I185" s="202"/>
      <c r="O185" s="197"/>
      <c r="P185" s="197"/>
      <c r="Q185" s="197"/>
      <c r="R185" s="197"/>
      <c r="AE185" s="200"/>
      <c r="AF185" s="200"/>
    </row>
    <row r="186" spans="1:34" ht="15.75" x14ac:dyDescent="0.25">
      <c r="E186" s="261"/>
      <c r="F186" s="193"/>
      <c r="G186" s="194"/>
      <c r="H186" s="195"/>
      <c r="I186" s="202"/>
      <c r="O186" s="197"/>
      <c r="P186" s="197"/>
      <c r="Q186" s="197"/>
      <c r="R186" s="197"/>
      <c r="AE186" s="200"/>
      <c r="AF186" s="200"/>
    </row>
    <row r="187" spans="1:34" ht="15.75" x14ac:dyDescent="0.25">
      <c r="E187" s="261"/>
      <c r="F187" s="193"/>
      <c r="G187" s="194"/>
      <c r="H187" s="195"/>
      <c r="I187" s="202"/>
      <c r="O187" s="197"/>
      <c r="P187" s="197"/>
      <c r="Q187" s="197"/>
      <c r="R187" s="197"/>
      <c r="AE187" s="200"/>
      <c r="AF187" s="200"/>
    </row>
    <row r="188" spans="1:34" ht="15.75" x14ac:dyDescent="0.25">
      <c r="E188" s="261"/>
      <c r="F188" s="193"/>
      <c r="G188" s="194"/>
      <c r="H188" s="195"/>
      <c r="I188" s="202"/>
      <c r="O188" s="197"/>
      <c r="P188" s="197"/>
      <c r="Q188" s="197"/>
      <c r="R188" s="197"/>
      <c r="AE188" s="200"/>
      <c r="AF188" s="200"/>
    </row>
    <row r="189" spans="1:34" ht="15.75" x14ac:dyDescent="0.25">
      <c r="E189" s="261"/>
      <c r="F189" s="193"/>
      <c r="G189" s="194"/>
      <c r="H189" s="195"/>
      <c r="I189" s="202"/>
      <c r="O189" s="197"/>
      <c r="P189" s="197"/>
      <c r="Q189" s="197"/>
      <c r="R189" s="197"/>
      <c r="AE189" s="200"/>
      <c r="AF189" s="200"/>
    </row>
    <row r="190" spans="1:34" ht="15.75" x14ac:dyDescent="0.25">
      <c r="E190" s="261"/>
      <c r="F190" s="193"/>
      <c r="G190" s="194"/>
      <c r="H190" s="195"/>
      <c r="I190" s="202"/>
      <c r="O190" s="197"/>
      <c r="P190" s="197"/>
      <c r="Q190" s="197"/>
      <c r="R190" s="197"/>
      <c r="AE190" s="200"/>
      <c r="AF190" s="200"/>
    </row>
    <row r="191" spans="1:34" ht="15.75" x14ac:dyDescent="0.25">
      <c r="E191" s="261"/>
      <c r="F191" s="193"/>
      <c r="G191" s="194"/>
      <c r="H191" s="195"/>
      <c r="I191" s="202"/>
      <c r="O191" s="197"/>
      <c r="P191" s="197"/>
      <c r="Q191" s="197"/>
      <c r="R191" s="197"/>
      <c r="AE191" s="200"/>
      <c r="AF191" s="200"/>
    </row>
    <row r="192" spans="1:34" ht="15.75" x14ac:dyDescent="0.25">
      <c r="E192" s="261"/>
      <c r="F192" s="193"/>
      <c r="G192" s="194"/>
      <c r="H192" s="195"/>
      <c r="I192" s="202"/>
      <c r="O192" s="197"/>
      <c r="P192" s="197"/>
      <c r="Q192" s="197"/>
      <c r="R192" s="197"/>
      <c r="AE192" s="200"/>
      <c r="AF192" s="200"/>
    </row>
    <row r="193" spans="5:32" ht="15.75" x14ac:dyDescent="0.25">
      <c r="E193" s="261"/>
      <c r="F193" s="193"/>
      <c r="G193" s="194"/>
      <c r="H193" s="195"/>
      <c r="I193" s="202"/>
      <c r="O193" s="197"/>
      <c r="P193" s="197"/>
      <c r="Q193" s="197"/>
      <c r="R193" s="197"/>
      <c r="AE193" s="200"/>
      <c r="AF193" s="200"/>
    </row>
    <row r="194" spans="5:32" ht="15.75" x14ac:dyDescent="0.25">
      <c r="E194" s="261"/>
      <c r="F194" s="193"/>
      <c r="G194" s="194"/>
      <c r="H194" s="195"/>
      <c r="I194" s="202"/>
      <c r="O194" s="197"/>
      <c r="P194" s="197"/>
      <c r="Q194" s="197"/>
      <c r="R194" s="197"/>
      <c r="AE194" s="200"/>
      <c r="AF194" s="200"/>
    </row>
    <row r="195" spans="5:32" ht="15.75" x14ac:dyDescent="0.25">
      <c r="E195" s="261"/>
      <c r="F195" s="193"/>
      <c r="G195" s="194"/>
      <c r="H195" s="195"/>
      <c r="I195" s="202"/>
      <c r="O195" s="197"/>
      <c r="P195" s="197"/>
      <c r="Q195" s="197"/>
      <c r="R195" s="197"/>
      <c r="AE195" s="200"/>
      <c r="AF195" s="200"/>
    </row>
    <row r="196" spans="5:32" ht="15.75" x14ac:dyDescent="0.25">
      <c r="E196" s="261"/>
      <c r="F196" s="193"/>
      <c r="G196" s="194"/>
      <c r="H196" s="195"/>
      <c r="I196" s="202"/>
      <c r="O196" s="197"/>
      <c r="P196" s="197"/>
      <c r="Q196" s="197"/>
      <c r="R196" s="197"/>
      <c r="AE196" s="200"/>
      <c r="AF196" s="200"/>
    </row>
    <row r="197" spans="5:32" ht="15.75" x14ac:dyDescent="0.25">
      <c r="E197" s="261"/>
      <c r="F197" s="193"/>
      <c r="G197" s="194"/>
      <c r="H197" s="195"/>
      <c r="I197" s="202"/>
      <c r="O197" s="197"/>
      <c r="P197" s="197"/>
      <c r="Q197" s="197"/>
      <c r="R197" s="197"/>
      <c r="AE197" s="200"/>
      <c r="AF197" s="200"/>
    </row>
    <row r="198" spans="5:32" ht="15.75" x14ac:dyDescent="0.25">
      <c r="E198" s="261"/>
      <c r="F198" s="193"/>
      <c r="G198" s="194"/>
      <c r="H198" s="195"/>
      <c r="I198" s="202"/>
      <c r="O198" s="197"/>
      <c r="P198" s="197"/>
      <c r="Q198" s="197"/>
      <c r="R198" s="197"/>
      <c r="AE198" s="200"/>
      <c r="AF198" s="200"/>
    </row>
    <row r="199" spans="5:32" ht="15.75" x14ac:dyDescent="0.25">
      <c r="E199" s="261"/>
      <c r="F199" s="193"/>
      <c r="G199" s="194"/>
      <c r="H199" s="195"/>
      <c r="I199" s="202"/>
      <c r="O199" s="197"/>
      <c r="P199" s="197"/>
      <c r="Q199" s="197"/>
      <c r="R199" s="197"/>
      <c r="AE199" s="200"/>
      <c r="AF199" s="200"/>
    </row>
    <row r="200" spans="5:32" ht="15.75" x14ac:dyDescent="0.25">
      <c r="E200" s="261"/>
      <c r="F200" s="193"/>
      <c r="G200" s="194"/>
      <c r="H200" s="195"/>
      <c r="I200" s="202"/>
      <c r="O200" s="197"/>
      <c r="P200" s="197"/>
      <c r="Q200" s="197"/>
      <c r="R200" s="197"/>
      <c r="AE200" s="200"/>
      <c r="AF200" s="200"/>
    </row>
    <row r="201" spans="5:32" ht="15.75" x14ac:dyDescent="0.25">
      <c r="E201" s="261"/>
      <c r="F201" s="193"/>
      <c r="G201" s="194"/>
      <c r="H201" s="195"/>
      <c r="I201" s="202"/>
      <c r="O201" s="197"/>
      <c r="P201" s="197"/>
      <c r="Q201" s="197"/>
      <c r="R201" s="197"/>
      <c r="AE201" s="200"/>
      <c r="AF201" s="200"/>
    </row>
    <row r="202" spans="5:32" ht="15.75" x14ac:dyDescent="0.25">
      <c r="E202" s="261"/>
      <c r="F202" s="193"/>
      <c r="G202" s="194"/>
      <c r="H202" s="195"/>
      <c r="I202" s="202"/>
      <c r="O202" s="197"/>
      <c r="P202" s="197"/>
      <c r="Q202" s="197"/>
      <c r="R202" s="197"/>
      <c r="AE202" s="200"/>
      <c r="AF202" s="200"/>
    </row>
    <row r="203" spans="5:32" ht="15.75" x14ac:dyDescent="0.25">
      <c r="E203" s="261"/>
      <c r="F203" s="193"/>
      <c r="G203" s="194"/>
      <c r="H203" s="195"/>
      <c r="I203" s="202"/>
      <c r="O203" s="197"/>
      <c r="P203" s="197"/>
      <c r="Q203" s="197"/>
      <c r="R203" s="197"/>
      <c r="AE203" s="200"/>
      <c r="AF203" s="200"/>
    </row>
    <row r="204" spans="5:32" ht="15.75" x14ac:dyDescent="0.25">
      <c r="E204" s="261"/>
      <c r="F204" s="193"/>
      <c r="G204" s="194"/>
      <c r="H204" s="195"/>
      <c r="I204" s="202"/>
      <c r="O204" s="197"/>
      <c r="P204" s="197"/>
      <c r="Q204" s="197"/>
      <c r="R204" s="197"/>
      <c r="AE204" s="200"/>
      <c r="AF204" s="200"/>
    </row>
    <row r="205" spans="5:32" ht="15.75" x14ac:dyDescent="0.25">
      <c r="E205" s="261"/>
      <c r="F205" s="193"/>
      <c r="G205" s="194"/>
      <c r="H205" s="195"/>
      <c r="I205" s="202"/>
      <c r="O205" s="197"/>
      <c r="P205" s="197"/>
      <c r="Q205" s="197"/>
      <c r="R205" s="197"/>
      <c r="AE205" s="200"/>
      <c r="AF205" s="200"/>
    </row>
    <row r="206" spans="5:32" ht="15.75" x14ac:dyDescent="0.25">
      <c r="E206" s="261"/>
      <c r="F206" s="193"/>
      <c r="G206" s="194"/>
      <c r="H206" s="195"/>
      <c r="I206" s="202"/>
      <c r="O206" s="197"/>
      <c r="P206" s="197"/>
      <c r="Q206" s="197"/>
      <c r="R206" s="197"/>
      <c r="AE206" s="200"/>
      <c r="AF206" s="200"/>
    </row>
    <row r="207" spans="5:32" ht="15.75" x14ac:dyDescent="0.25">
      <c r="E207" s="261"/>
      <c r="F207" s="193"/>
      <c r="G207" s="194"/>
      <c r="H207" s="195"/>
      <c r="I207" s="202"/>
      <c r="O207" s="197"/>
      <c r="P207" s="197"/>
      <c r="Q207" s="197"/>
      <c r="R207" s="197"/>
      <c r="AE207" s="200"/>
      <c r="AF207" s="200"/>
    </row>
    <row r="208" spans="5:32" ht="15.75" x14ac:dyDescent="0.25">
      <c r="E208" s="261"/>
      <c r="F208" s="193"/>
      <c r="G208" s="194"/>
      <c r="H208" s="195"/>
      <c r="I208" s="202"/>
      <c r="O208" s="197"/>
      <c r="P208" s="197"/>
      <c r="Q208" s="197"/>
      <c r="R208" s="197"/>
      <c r="AE208" s="200"/>
      <c r="AF208" s="200"/>
    </row>
    <row r="209" spans="5:32" ht="15.75" x14ac:dyDescent="0.25">
      <c r="E209" s="261"/>
      <c r="F209" s="193"/>
      <c r="G209" s="194"/>
      <c r="H209" s="195"/>
      <c r="I209" s="202"/>
      <c r="O209" s="197"/>
      <c r="P209" s="197"/>
      <c r="Q209" s="197"/>
      <c r="R209" s="197"/>
      <c r="AE209" s="200"/>
      <c r="AF209" s="200"/>
    </row>
    <row r="210" spans="5:32" ht="15.75" x14ac:dyDescent="0.25">
      <c r="E210" s="261"/>
      <c r="F210" s="193"/>
      <c r="G210" s="194"/>
      <c r="H210" s="195"/>
      <c r="I210" s="202"/>
      <c r="O210" s="197"/>
      <c r="P210" s="197"/>
      <c r="Q210" s="197"/>
      <c r="R210" s="197"/>
      <c r="AE210" s="200"/>
      <c r="AF210" s="200"/>
    </row>
    <row r="211" spans="5:32" ht="15.75" x14ac:dyDescent="0.25">
      <c r="E211" s="261"/>
      <c r="F211" s="193"/>
      <c r="G211" s="194"/>
      <c r="H211" s="195"/>
      <c r="I211" s="202"/>
      <c r="O211" s="197"/>
      <c r="P211" s="197"/>
      <c r="Q211" s="197"/>
      <c r="R211" s="197"/>
      <c r="AE211" s="200"/>
      <c r="AF211" s="200"/>
    </row>
    <row r="212" spans="5:32" ht="15.75" x14ac:dyDescent="0.25">
      <c r="E212" s="261"/>
      <c r="F212" s="193"/>
      <c r="G212" s="194"/>
      <c r="H212" s="195"/>
      <c r="I212" s="202"/>
      <c r="O212" s="197"/>
      <c r="P212" s="197"/>
      <c r="Q212" s="197"/>
      <c r="R212" s="197"/>
      <c r="AE212" s="200"/>
      <c r="AF212" s="200"/>
    </row>
    <row r="213" spans="5:32" ht="15.75" x14ac:dyDescent="0.25">
      <c r="E213" s="261"/>
      <c r="F213" s="193"/>
      <c r="G213" s="194"/>
      <c r="H213" s="195"/>
      <c r="I213" s="202"/>
      <c r="O213" s="197"/>
      <c r="P213" s="197"/>
      <c r="Q213" s="197"/>
      <c r="R213" s="197"/>
      <c r="AE213" s="200"/>
      <c r="AF213" s="200"/>
    </row>
    <row r="214" spans="5:32" ht="15.75" x14ac:dyDescent="0.25">
      <c r="E214" s="261"/>
      <c r="F214" s="193"/>
      <c r="G214" s="194"/>
      <c r="H214" s="195"/>
      <c r="I214" s="202"/>
      <c r="O214" s="197"/>
      <c r="P214" s="197"/>
      <c r="Q214" s="197"/>
      <c r="R214" s="197"/>
      <c r="AE214" s="200"/>
      <c r="AF214" s="200"/>
    </row>
    <row r="215" spans="5:32" ht="15.75" x14ac:dyDescent="0.25">
      <c r="E215" s="261"/>
      <c r="F215" s="193"/>
      <c r="G215" s="194"/>
      <c r="H215" s="195"/>
      <c r="I215" s="202"/>
      <c r="O215" s="197"/>
      <c r="P215" s="197"/>
      <c r="Q215" s="197"/>
      <c r="R215" s="197"/>
      <c r="AE215" s="200"/>
      <c r="AF215" s="200"/>
    </row>
    <row r="216" spans="5:32" ht="15.75" x14ac:dyDescent="0.25">
      <c r="E216" s="261"/>
      <c r="F216" s="193"/>
      <c r="G216" s="194"/>
      <c r="H216" s="195"/>
      <c r="I216" s="202"/>
      <c r="O216" s="197"/>
      <c r="P216" s="197"/>
      <c r="Q216" s="197"/>
      <c r="R216" s="197"/>
      <c r="AE216" s="200"/>
      <c r="AF216" s="200"/>
    </row>
    <row r="217" spans="5:32" ht="15.75" x14ac:dyDescent="0.25">
      <c r="E217" s="261"/>
      <c r="F217" s="193"/>
      <c r="G217" s="194"/>
      <c r="H217" s="195"/>
      <c r="I217" s="202"/>
      <c r="O217" s="197"/>
      <c r="P217" s="197"/>
      <c r="Q217" s="197"/>
      <c r="R217" s="197"/>
      <c r="AE217" s="200"/>
      <c r="AF217" s="200"/>
    </row>
    <row r="218" spans="5:32" ht="15.75" x14ac:dyDescent="0.25">
      <c r="E218" s="261"/>
      <c r="F218" s="193"/>
      <c r="G218" s="194"/>
      <c r="H218" s="195"/>
      <c r="I218" s="202"/>
      <c r="O218" s="197"/>
      <c r="P218" s="197"/>
      <c r="Q218" s="197"/>
      <c r="R218" s="197"/>
      <c r="AE218" s="200"/>
      <c r="AF218" s="200"/>
    </row>
    <row r="219" spans="5:32" ht="15.75" x14ac:dyDescent="0.25">
      <c r="E219" s="261"/>
      <c r="F219" s="193"/>
      <c r="G219" s="194"/>
      <c r="H219" s="195"/>
      <c r="I219" s="202"/>
      <c r="O219" s="197"/>
      <c r="P219" s="197"/>
      <c r="Q219" s="197"/>
      <c r="R219" s="197"/>
      <c r="AE219" s="200"/>
      <c r="AF219" s="200"/>
    </row>
    <row r="220" spans="5:32" ht="15.75" x14ac:dyDescent="0.25">
      <c r="E220" s="261"/>
      <c r="F220" s="193"/>
      <c r="G220" s="194"/>
      <c r="H220" s="195"/>
      <c r="I220" s="202"/>
      <c r="O220" s="197"/>
      <c r="P220" s="197"/>
      <c r="Q220" s="197"/>
      <c r="R220" s="197"/>
      <c r="AE220" s="200"/>
      <c r="AF220" s="200"/>
    </row>
    <row r="221" spans="5:32" ht="15.75" x14ac:dyDescent="0.25">
      <c r="E221" s="261"/>
      <c r="F221" s="193"/>
      <c r="G221" s="194"/>
      <c r="H221" s="195"/>
      <c r="I221" s="202"/>
      <c r="O221" s="197"/>
      <c r="P221" s="197"/>
      <c r="Q221" s="197"/>
      <c r="R221" s="197"/>
      <c r="AE221" s="200"/>
      <c r="AF221" s="200"/>
    </row>
    <row r="222" spans="5:32" ht="15.75" x14ac:dyDescent="0.25">
      <c r="E222" s="261"/>
      <c r="F222" s="193"/>
      <c r="G222" s="194"/>
      <c r="H222" s="195"/>
      <c r="I222" s="202"/>
      <c r="O222" s="197"/>
      <c r="P222" s="197"/>
      <c r="Q222" s="197"/>
      <c r="R222" s="197"/>
      <c r="AE222" s="200"/>
      <c r="AF222" s="200"/>
    </row>
    <row r="223" spans="5:32" ht="15.75" x14ac:dyDescent="0.25">
      <c r="E223" s="261"/>
      <c r="F223" s="193"/>
      <c r="G223" s="194"/>
      <c r="H223" s="195"/>
      <c r="I223" s="202"/>
      <c r="O223" s="197"/>
      <c r="P223" s="197"/>
      <c r="Q223" s="197"/>
      <c r="R223" s="197"/>
      <c r="AE223" s="200"/>
      <c r="AF223" s="200"/>
    </row>
    <row r="224" spans="5:32" ht="15.75" x14ac:dyDescent="0.25">
      <c r="E224" s="261"/>
      <c r="F224" s="193"/>
      <c r="G224" s="194"/>
      <c r="H224" s="195"/>
      <c r="I224" s="202"/>
      <c r="O224" s="197"/>
      <c r="P224" s="197"/>
      <c r="Q224" s="197"/>
      <c r="R224" s="197"/>
      <c r="AE224" s="200"/>
      <c r="AF224" s="200"/>
    </row>
    <row r="225" spans="5:32" ht="15.75" x14ac:dyDescent="0.25">
      <c r="E225" s="261"/>
      <c r="F225" s="193"/>
      <c r="G225" s="194"/>
      <c r="H225" s="195"/>
      <c r="I225" s="202"/>
      <c r="O225" s="197"/>
      <c r="P225" s="197"/>
      <c r="Q225" s="197"/>
      <c r="R225" s="197"/>
      <c r="AE225" s="200"/>
      <c r="AF225" s="200"/>
    </row>
    <row r="226" spans="5:32" ht="15.75" x14ac:dyDescent="0.25">
      <c r="E226" s="261"/>
      <c r="F226" s="193"/>
      <c r="G226" s="194"/>
      <c r="H226" s="195"/>
      <c r="I226" s="202"/>
      <c r="O226" s="197"/>
      <c r="P226" s="197"/>
      <c r="Q226" s="197"/>
      <c r="R226" s="197"/>
      <c r="AE226" s="200"/>
      <c r="AF226" s="200"/>
    </row>
    <row r="227" spans="5:32" ht="15.75" x14ac:dyDescent="0.25">
      <c r="E227" s="261"/>
      <c r="F227" s="193"/>
      <c r="G227" s="194"/>
      <c r="H227" s="195"/>
      <c r="I227" s="202"/>
      <c r="O227" s="197"/>
      <c r="P227" s="197"/>
      <c r="Q227" s="197"/>
      <c r="R227" s="197"/>
      <c r="AE227" s="200"/>
      <c r="AF227" s="200"/>
    </row>
    <row r="228" spans="5:32" ht="15.75" x14ac:dyDescent="0.25">
      <c r="E228" s="261"/>
      <c r="F228" s="193"/>
      <c r="G228" s="194"/>
      <c r="H228" s="195"/>
      <c r="I228" s="202"/>
      <c r="O228" s="197"/>
      <c r="P228" s="197"/>
      <c r="Q228" s="197"/>
      <c r="R228" s="197"/>
      <c r="AE228" s="200"/>
      <c r="AF228" s="200"/>
    </row>
    <row r="229" spans="5:32" ht="15.75" x14ac:dyDescent="0.25">
      <c r="E229" s="261"/>
      <c r="F229" s="193"/>
      <c r="G229" s="194"/>
      <c r="H229" s="195"/>
      <c r="I229" s="202"/>
      <c r="O229" s="197"/>
      <c r="P229" s="197"/>
      <c r="Q229" s="197"/>
      <c r="R229" s="197"/>
      <c r="AE229" s="200"/>
      <c r="AF229" s="200"/>
    </row>
    <row r="230" spans="5:32" ht="15.75" x14ac:dyDescent="0.25">
      <c r="E230" s="261"/>
      <c r="F230" s="193"/>
      <c r="G230" s="194"/>
      <c r="H230" s="195"/>
      <c r="I230" s="202"/>
      <c r="O230" s="197"/>
      <c r="P230" s="197"/>
      <c r="Q230" s="197"/>
      <c r="R230" s="197"/>
      <c r="AE230" s="200"/>
      <c r="AF230" s="200"/>
    </row>
    <row r="231" spans="5:32" ht="15.75" x14ac:dyDescent="0.25">
      <c r="E231" s="261"/>
      <c r="F231" s="193"/>
      <c r="G231" s="194"/>
      <c r="H231" s="195"/>
      <c r="I231" s="202"/>
      <c r="O231" s="197"/>
      <c r="P231" s="197"/>
      <c r="Q231" s="197"/>
      <c r="R231" s="197"/>
      <c r="AE231" s="200"/>
      <c r="AF231" s="200"/>
    </row>
    <row r="232" spans="5:32" ht="15.75" x14ac:dyDescent="0.25">
      <c r="E232" s="261"/>
      <c r="F232" s="193"/>
      <c r="G232" s="194"/>
      <c r="H232" s="195"/>
      <c r="I232" s="202"/>
      <c r="O232" s="197"/>
      <c r="P232" s="197"/>
      <c r="Q232" s="197"/>
      <c r="R232" s="197"/>
      <c r="AE232" s="200"/>
      <c r="AF232" s="200"/>
    </row>
    <row r="233" spans="5:32" ht="15.75" x14ac:dyDescent="0.25">
      <c r="E233" s="261"/>
      <c r="F233" s="193"/>
      <c r="G233" s="194"/>
      <c r="H233" s="195"/>
      <c r="I233" s="202"/>
      <c r="O233" s="197"/>
      <c r="P233" s="197"/>
      <c r="Q233" s="197"/>
      <c r="R233" s="197"/>
      <c r="AE233" s="200"/>
      <c r="AF233" s="200"/>
    </row>
    <row r="234" spans="5:32" ht="15.75" x14ac:dyDescent="0.25">
      <c r="E234" s="262"/>
      <c r="F234" s="193"/>
      <c r="G234" s="194"/>
      <c r="H234" s="195"/>
      <c r="I234" s="206"/>
      <c r="O234" s="197"/>
      <c r="P234" s="197"/>
      <c r="Q234" s="207"/>
      <c r="R234" s="207"/>
      <c r="AE234" s="200"/>
      <c r="AF234" s="200"/>
    </row>
    <row r="235" spans="5:32" ht="15.75" x14ac:dyDescent="0.25">
      <c r="E235" s="261"/>
      <c r="F235" s="193"/>
      <c r="G235" s="194"/>
      <c r="H235" s="195"/>
      <c r="I235" s="202"/>
      <c r="O235" s="197"/>
      <c r="P235" s="197"/>
      <c r="Q235" s="197"/>
      <c r="R235" s="197"/>
      <c r="AE235" s="200"/>
      <c r="AF235" s="200"/>
    </row>
    <row r="236" spans="5:32" ht="15.75" x14ac:dyDescent="0.25">
      <c r="E236" s="261"/>
      <c r="F236" s="193"/>
      <c r="G236" s="194"/>
      <c r="H236" s="195"/>
      <c r="I236" s="202"/>
      <c r="O236" s="197"/>
      <c r="P236" s="197"/>
      <c r="Q236" s="197"/>
      <c r="R236" s="197"/>
      <c r="AE236" s="200"/>
      <c r="AF236" s="200"/>
    </row>
    <row r="237" spans="5:32" ht="15.75" x14ac:dyDescent="0.25">
      <c r="E237" s="261"/>
      <c r="F237" s="193"/>
      <c r="G237" s="194"/>
      <c r="H237" s="195"/>
      <c r="I237" s="202"/>
      <c r="O237" s="197"/>
      <c r="P237" s="197"/>
      <c r="Q237" s="197"/>
      <c r="R237" s="197"/>
      <c r="AE237" s="200"/>
      <c r="AF237" s="200"/>
    </row>
    <row r="238" spans="5:32" ht="15.75" x14ac:dyDescent="0.25">
      <c r="E238" s="261"/>
      <c r="F238" s="193"/>
      <c r="G238" s="194"/>
      <c r="H238" s="195"/>
      <c r="I238" s="202"/>
      <c r="O238" s="197"/>
      <c r="P238" s="197"/>
      <c r="Q238" s="197"/>
      <c r="R238" s="197"/>
      <c r="AE238" s="200"/>
      <c r="AF238" s="200"/>
    </row>
    <row r="239" spans="5:32" ht="15.75" x14ac:dyDescent="0.25">
      <c r="E239" s="261"/>
      <c r="F239" s="193"/>
      <c r="G239" s="194"/>
      <c r="H239" s="195"/>
      <c r="I239" s="202"/>
      <c r="O239" s="197"/>
      <c r="P239" s="197"/>
      <c r="Q239" s="197"/>
      <c r="R239" s="197"/>
      <c r="AE239" s="200"/>
      <c r="AF239" s="200"/>
    </row>
    <row r="240" spans="5:32" ht="15.75" x14ac:dyDescent="0.25">
      <c r="E240" s="261"/>
      <c r="F240" s="193"/>
      <c r="G240" s="194"/>
      <c r="H240" s="195"/>
      <c r="I240" s="202"/>
      <c r="O240" s="197"/>
      <c r="P240" s="197"/>
      <c r="Q240" s="197"/>
      <c r="R240" s="197"/>
      <c r="AE240" s="200"/>
      <c r="AF240" s="200"/>
    </row>
    <row r="241" spans="5:32" ht="15.75" x14ac:dyDescent="0.25">
      <c r="E241" s="261"/>
      <c r="F241" s="193"/>
      <c r="G241" s="194"/>
      <c r="H241" s="195"/>
      <c r="I241" s="202"/>
      <c r="O241" s="197"/>
      <c r="P241" s="197"/>
      <c r="Q241" s="197"/>
      <c r="R241" s="197"/>
      <c r="AE241" s="200"/>
      <c r="AF241" s="200"/>
    </row>
    <row r="242" spans="5:32" ht="15.75" x14ac:dyDescent="0.25">
      <c r="E242" s="261"/>
      <c r="F242" s="193"/>
      <c r="G242" s="194"/>
      <c r="H242" s="195"/>
      <c r="I242" s="202"/>
      <c r="O242" s="197"/>
      <c r="P242" s="197"/>
      <c r="Q242" s="197"/>
      <c r="R242" s="197"/>
      <c r="AE242" s="200"/>
      <c r="AF242" s="200"/>
    </row>
    <row r="243" spans="5:32" ht="15.75" x14ac:dyDescent="0.25">
      <c r="E243" s="261"/>
      <c r="F243" s="193"/>
      <c r="G243" s="194"/>
      <c r="H243" s="195"/>
      <c r="I243" s="202"/>
      <c r="O243" s="197"/>
      <c r="P243" s="197"/>
      <c r="Q243" s="197"/>
      <c r="R243" s="197"/>
      <c r="AE243" s="200"/>
      <c r="AF243" s="200"/>
    </row>
    <row r="244" spans="5:32" ht="15.75" x14ac:dyDescent="0.25">
      <c r="E244" s="261"/>
      <c r="F244" s="193"/>
      <c r="G244" s="194"/>
      <c r="H244" s="195"/>
      <c r="I244" s="202"/>
      <c r="O244" s="197"/>
      <c r="P244" s="197"/>
      <c r="Q244" s="197"/>
      <c r="R244" s="197"/>
      <c r="AE244" s="200"/>
      <c r="AF244" s="200"/>
    </row>
    <row r="245" spans="5:32" ht="15.75" x14ac:dyDescent="0.25">
      <c r="E245" s="261"/>
      <c r="F245" s="193"/>
      <c r="G245" s="194"/>
      <c r="H245" s="195"/>
      <c r="I245" s="202"/>
      <c r="O245" s="197"/>
      <c r="P245" s="197"/>
      <c r="Q245" s="197"/>
      <c r="R245" s="197"/>
      <c r="AE245" s="200"/>
      <c r="AF245" s="200"/>
    </row>
    <row r="246" spans="5:32" ht="15.75" x14ac:dyDescent="0.25">
      <c r="E246" s="261"/>
      <c r="F246" s="193"/>
      <c r="G246" s="194"/>
      <c r="H246" s="195"/>
      <c r="I246" s="202"/>
      <c r="O246" s="197"/>
      <c r="P246" s="197"/>
      <c r="Q246" s="197"/>
      <c r="R246" s="197"/>
      <c r="AE246" s="200"/>
      <c r="AF246" s="200"/>
    </row>
    <row r="247" spans="5:32" ht="15.75" x14ac:dyDescent="0.25">
      <c r="E247" s="261"/>
      <c r="F247" s="193"/>
      <c r="G247" s="194"/>
      <c r="H247" s="195"/>
      <c r="I247" s="202"/>
      <c r="O247" s="197"/>
      <c r="P247" s="197"/>
      <c r="Q247" s="197"/>
      <c r="R247" s="197"/>
      <c r="AE247" s="200"/>
      <c r="AF247" s="200"/>
    </row>
    <row r="248" spans="5:32" ht="15.75" x14ac:dyDescent="0.25">
      <c r="E248" s="261"/>
      <c r="F248" s="193"/>
      <c r="G248" s="194"/>
      <c r="H248" s="195"/>
      <c r="I248" s="202"/>
      <c r="O248" s="197"/>
      <c r="P248" s="197"/>
      <c r="Q248" s="197"/>
      <c r="R248" s="197"/>
      <c r="AE248" s="200"/>
      <c r="AF248" s="200"/>
    </row>
    <row r="249" spans="5:32" ht="15.75" x14ac:dyDescent="0.25">
      <c r="E249" s="261"/>
      <c r="F249" s="193"/>
      <c r="G249" s="194"/>
      <c r="H249" s="195"/>
      <c r="I249" s="202"/>
      <c r="O249" s="197"/>
      <c r="P249" s="197"/>
      <c r="Q249" s="197"/>
      <c r="R249" s="197"/>
      <c r="AE249" s="200"/>
      <c r="AF249" s="200"/>
    </row>
    <row r="250" spans="5:32" ht="15.75" x14ac:dyDescent="0.25">
      <c r="E250" s="261"/>
      <c r="F250" s="193"/>
      <c r="G250" s="194"/>
      <c r="H250" s="195"/>
      <c r="I250" s="202"/>
      <c r="O250" s="197"/>
      <c r="P250" s="197"/>
      <c r="Q250" s="197"/>
      <c r="R250" s="197"/>
      <c r="AE250" s="200"/>
      <c r="AF250" s="200"/>
    </row>
    <row r="251" spans="5:32" ht="15.75" x14ac:dyDescent="0.25">
      <c r="E251" s="261"/>
      <c r="F251" s="193"/>
      <c r="G251" s="194"/>
      <c r="H251" s="195"/>
      <c r="I251" s="202"/>
      <c r="O251" s="197"/>
      <c r="P251" s="197"/>
      <c r="Q251" s="197"/>
      <c r="R251" s="197"/>
      <c r="AE251" s="200"/>
      <c r="AF251" s="200"/>
    </row>
    <row r="252" spans="5:32" ht="15.75" x14ac:dyDescent="0.25">
      <c r="E252" s="261"/>
      <c r="F252" s="193"/>
      <c r="G252" s="194"/>
      <c r="H252" s="195"/>
      <c r="I252" s="202"/>
      <c r="O252" s="197"/>
      <c r="P252" s="197"/>
      <c r="Q252" s="197"/>
      <c r="R252" s="197"/>
      <c r="AE252" s="200"/>
      <c r="AF252" s="200"/>
    </row>
    <row r="253" spans="5:32" ht="15.75" x14ac:dyDescent="0.25">
      <c r="E253" s="261"/>
      <c r="F253" s="193"/>
      <c r="G253" s="194"/>
      <c r="H253" s="195"/>
      <c r="I253" s="202"/>
      <c r="O253" s="197"/>
      <c r="P253" s="197"/>
      <c r="Q253" s="197"/>
      <c r="R253" s="197"/>
      <c r="AE253" s="200"/>
      <c r="AF253" s="200"/>
    </row>
    <row r="254" spans="5:32" ht="15.75" x14ac:dyDescent="0.25">
      <c r="E254" s="261"/>
      <c r="F254" s="193"/>
      <c r="G254" s="194"/>
      <c r="H254" s="195"/>
      <c r="I254" s="202"/>
      <c r="O254" s="197"/>
      <c r="P254" s="197"/>
      <c r="Q254" s="197"/>
      <c r="R254" s="197"/>
      <c r="AE254" s="200"/>
      <c r="AF254" s="200"/>
    </row>
    <row r="255" spans="5:32" ht="15.75" x14ac:dyDescent="0.25">
      <c r="E255" s="261"/>
      <c r="F255" s="193"/>
      <c r="G255" s="194"/>
      <c r="H255" s="195"/>
      <c r="I255" s="202"/>
      <c r="O255" s="197"/>
      <c r="P255" s="197"/>
      <c r="Q255" s="197"/>
      <c r="R255" s="197"/>
      <c r="AE255" s="200"/>
      <c r="AF255" s="200"/>
    </row>
    <row r="256" spans="5:32" ht="15.75" x14ac:dyDescent="0.25">
      <c r="E256" s="261"/>
      <c r="F256" s="193"/>
      <c r="G256" s="194"/>
      <c r="H256" s="195"/>
      <c r="I256" s="202"/>
      <c r="O256" s="197"/>
      <c r="P256" s="197"/>
      <c r="Q256" s="197"/>
      <c r="R256" s="197"/>
      <c r="AE256" s="200"/>
      <c r="AF256" s="200"/>
    </row>
    <row r="257" spans="5:32" ht="15.75" x14ac:dyDescent="0.25">
      <c r="E257" s="261"/>
      <c r="F257" s="193"/>
      <c r="G257" s="194"/>
      <c r="H257" s="195"/>
      <c r="I257" s="202"/>
      <c r="O257" s="197"/>
      <c r="P257" s="197"/>
      <c r="Q257" s="197"/>
      <c r="R257" s="197"/>
      <c r="AE257" s="200"/>
      <c r="AF257" s="200"/>
    </row>
    <row r="258" spans="5:32" ht="15.75" x14ac:dyDescent="0.25">
      <c r="E258" s="261"/>
      <c r="F258" s="193"/>
      <c r="G258" s="194"/>
      <c r="H258" s="195"/>
      <c r="I258" s="202"/>
      <c r="O258" s="197"/>
      <c r="P258" s="197"/>
      <c r="Q258" s="197"/>
      <c r="R258" s="197"/>
      <c r="AE258" s="200"/>
      <c r="AF258" s="200"/>
    </row>
    <row r="259" spans="5:32" ht="15.75" x14ac:dyDescent="0.25">
      <c r="E259" s="261"/>
      <c r="F259" s="193"/>
      <c r="G259" s="194"/>
      <c r="H259" s="195"/>
      <c r="I259" s="202"/>
      <c r="O259" s="197"/>
      <c r="P259" s="197"/>
      <c r="Q259" s="197"/>
      <c r="R259" s="197"/>
      <c r="AE259" s="200"/>
      <c r="AF259" s="200"/>
    </row>
    <row r="260" spans="5:32" ht="15.75" x14ac:dyDescent="0.25">
      <c r="E260" s="261"/>
      <c r="F260" s="193"/>
      <c r="G260" s="194"/>
      <c r="H260" s="195"/>
      <c r="I260" s="202"/>
      <c r="O260" s="197"/>
      <c r="P260" s="197"/>
      <c r="Q260" s="197"/>
      <c r="R260" s="197"/>
      <c r="AE260" s="200"/>
      <c r="AF260" s="200"/>
    </row>
    <row r="261" spans="5:32" ht="15.75" x14ac:dyDescent="0.25">
      <c r="E261" s="261"/>
      <c r="F261" s="193"/>
      <c r="G261" s="194"/>
      <c r="H261" s="195"/>
      <c r="I261" s="202"/>
      <c r="O261" s="197"/>
      <c r="P261" s="197"/>
      <c r="Q261" s="197"/>
      <c r="R261" s="197"/>
      <c r="AE261" s="200"/>
      <c r="AF261" s="200"/>
    </row>
    <row r="262" spans="5:32" ht="15.75" x14ac:dyDescent="0.25">
      <c r="E262" s="261"/>
      <c r="F262" s="193"/>
      <c r="G262" s="194"/>
      <c r="H262" s="195"/>
      <c r="I262" s="202"/>
      <c r="O262" s="197"/>
      <c r="P262" s="197"/>
      <c r="Q262" s="197"/>
      <c r="R262" s="197"/>
      <c r="AE262" s="200"/>
      <c r="AF262" s="200"/>
    </row>
    <row r="263" spans="5:32" ht="15.75" x14ac:dyDescent="0.25">
      <c r="E263" s="261"/>
      <c r="F263" s="193"/>
      <c r="G263" s="194"/>
      <c r="H263" s="195"/>
      <c r="I263" s="202"/>
      <c r="O263" s="197"/>
      <c r="P263" s="197"/>
      <c r="Q263" s="197"/>
      <c r="R263" s="197"/>
      <c r="AE263" s="200"/>
      <c r="AF263" s="200"/>
    </row>
    <row r="264" spans="5:32" ht="15.75" x14ac:dyDescent="0.25">
      <c r="E264" s="261"/>
      <c r="F264" s="193"/>
      <c r="G264" s="194"/>
      <c r="H264" s="195"/>
      <c r="I264" s="202"/>
      <c r="O264" s="197"/>
      <c r="P264" s="197"/>
      <c r="Q264" s="197"/>
      <c r="R264" s="197"/>
      <c r="AE264" s="200"/>
      <c r="AF264" s="200"/>
    </row>
    <row r="265" spans="5:32" ht="15.75" x14ac:dyDescent="0.25">
      <c r="E265" s="261"/>
      <c r="F265" s="193"/>
      <c r="G265" s="194"/>
      <c r="H265" s="195"/>
      <c r="I265" s="202"/>
      <c r="O265" s="197"/>
      <c r="P265" s="197"/>
      <c r="Q265" s="197"/>
      <c r="R265" s="197"/>
      <c r="AE265" s="200"/>
      <c r="AF265" s="200"/>
    </row>
    <row r="266" spans="5:32" ht="15.75" x14ac:dyDescent="0.25">
      <c r="E266" s="261"/>
      <c r="F266" s="193"/>
      <c r="G266" s="194"/>
      <c r="H266" s="195"/>
      <c r="I266" s="202"/>
      <c r="O266" s="197"/>
      <c r="P266" s="197"/>
      <c r="Q266" s="197"/>
      <c r="R266" s="197"/>
      <c r="AE266" s="200"/>
      <c r="AF266" s="200"/>
    </row>
    <row r="267" spans="5:32" ht="15.75" x14ac:dyDescent="0.25">
      <c r="E267" s="261"/>
      <c r="F267" s="193"/>
      <c r="G267" s="194"/>
      <c r="H267" s="195"/>
      <c r="I267" s="202"/>
      <c r="O267" s="197"/>
      <c r="P267" s="197"/>
      <c r="Q267" s="197"/>
      <c r="R267" s="197"/>
      <c r="AE267" s="200"/>
      <c r="AF267" s="200"/>
    </row>
    <row r="268" spans="5:32" ht="15.75" x14ac:dyDescent="0.25">
      <c r="E268" s="261"/>
      <c r="F268" s="193"/>
      <c r="G268" s="194"/>
      <c r="H268" s="195"/>
      <c r="I268" s="202"/>
      <c r="O268" s="197"/>
      <c r="P268" s="197"/>
      <c r="Q268" s="197"/>
      <c r="R268" s="197"/>
      <c r="AE268" s="200"/>
      <c r="AF268" s="200"/>
    </row>
    <row r="269" spans="5:32" ht="15.75" x14ac:dyDescent="0.25">
      <c r="E269" s="261"/>
      <c r="F269" s="193"/>
      <c r="G269" s="194"/>
      <c r="H269" s="195"/>
      <c r="I269" s="202"/>
      <c r="O269" s="197"/>
      <c r="P269" s="197"/>
      <c r="Q269" s="197"/>
      <c r="R269" s="197"/>
      <c r="AE269" s="200"/>
      <c r="AF269" s="200"/>
    </row>
    <row r="270" spans="5:32" ht="15.75" x14ac:dyDescent="0.25">
      <c r="E270" s="261"/>
      <c r="F270" s="193"/>
      <c r="G270" s="194"/>
      <c r="H270" s="195"/>
      <c r="I270" s="202"/>
      <c r="O270" s="197"/>
      <c r="P270" s="197"/>
      <c r="Q270" s="197"/>
      <c r="R270" s="197"/>
      <c r="AE270" s="200"/>
      <c r="AF270" s="200"/>
    </row>
    <row r="271" spans="5:32" ht="15.75" x14ac:dyDescent="0.25">
      <c r="E271" s="261"/>
      <c r="F271" s="193"/>
      <c r="G271" s="194"/>
      <c r="H271" s="195"/>
      <c r="I271" s="202"/>
      <c r="O271" s="197"/>
      <c r="P271" s="197"/>
      <c r="Q271" s="197"/>
      <c r="R271" s="197"/>
      <c r="AE271" s="200"/>
      <c r="AF271" s="200"/>
    </row>
    <row r="272" spans="5:32" ht="15.75" x14ac:dyDescent="0.25">
      <c r="E272" s="261"/>
      <c r="F272" s="193"/>
      <c r="G272" s="194"/>
      <c r="H272" s="195"/>
      <c r="I272" s="202"/>
      <c r="O272" s="197"/>
      <c r="P272" s="197"/>
      <c r="Q272" s="197"/>
      <c r="R272" s="197"/>
      <c r="AE272" s="200"/>
      <c r="AF272" s="200"/>
    </row>
    <row r="273" spans="5:32" ht="15.75" x14ac:dyDescent="0.25">
      <c r="E273" s="261"/>
      <c r="F273" s="193"/>
      <c r="G273" s="194"/>
      <c r="H273" s="195"/>
      <c r="I273" s="202"/>
      <c r="O273" s="197"/>
      <c r="P273" s="197"/>
      <c r="Q273" s="197"/>
      <c r="R273" s="197"/>
      <c r="AE273" s="200"/>
      <c r="AF273" s="200"/>
    </row>
    <row r="274" spans="5:32" ht="15.75" x14ac:dyDescent="0.25">
      <c r="E274" s="261"/>
      <c r="F274" s="193"/>
      <c r="G274" s="194"/>
      <c r="H274" s="195"/>
      <c r="I274" s="202"/>
      <c r="O274" s="197"/>
      <c r="P274" s="197"/>
      <c r="Q274" s="197"/>
      <c r="R274" s="197"/>
      <c r="AE274" s="200"/>
      <c r="AF274" s="200"/>
    </row>
    <row r="275" spans="5:32" ht="15.75" x14ac:dyDescent="0.25">
      <c r="E275" s="261"/>
      <c r="F275" s="193"/>
      <c r="G275" s="194"/>
      <c r="H275" s="195"/>
      <c r="I275" s="202"/>
      <c r="O275" s="197"/>
      <c r="P275" s="197"/>
      <c r="Q275" s="197"/>
      <c r="R275" s="197"/>
      <c r="AE275" s="200"/>
      <c r="AF275" s="200"/>
    </row>
    <row r="276" spans="5:32" ht="15.75" x14ac:dyDescent="0.25">
      <c r="E276" s="261"/>
      <c r="F276" s="193"/>
      <c r="G276" s="194"/>
      <c r="H276" s="195"/>
      <c r="I276" s="202"/>
      <c r="O276" s="197"/>
      <c r="P276" s="197"/>
      <c r="Q276" s="197"/>
      <c r="R276" s="197"/>
      <c r="AE276" s="200"/>
      <c r="AF276" s="200"/>
    </row>
    <row r="277" spans="5:32" ht="15.75" x14ac:dyDescent="0.25">
      <c r="E277" s="261"/>
      <c r="F277" s="193"/>
      <c r="G277" s="194"/>
      <c r="H277" s="195"/>
      <c r="I277" s="202"/>
      <c r="O277" s="197"/>
      <c r="P277" s="197"/>
      <c r="Q277" s="197"/>
      <c r="R277" s="197"/>
      <c r="AE277" s="200"/>
      <c r="AF277" s="200"/>
    </row>
    <row r="278" spans="5:32" ht="15.75" x14ac:dyDescent="0.25">
      <c r="E278" s="261"/>
      <c r="F278" s="193"/>
      <c r="G278" s="194"/>
      <c r="H278" s="195"/>
      <c r="I278" s="202"/>
      <c r="O278" s="197"/>
      <c r="P278" s="197"/>
      <c r="Q278" s="197"/>
      <c r="R278" s="197"/>
      <c r="AE278" s="200"/>
      <c r="AF278" s="200"/>
    </row>
    <row r="279" spans="5:32" ht="15.75" x14ac:dyDescent="0.25">
      <c r="E279" s="261"/>
      <c r="F279" s="193"/>
      <c r="G279" s="194"/>
      <c r="H279" s="195"/>
      <c r="I279" s="202"/>
      <c r="O279" s="197"/>
      <c r="P279" s="197"/>
      <c r="Q279" s="197"/>
      <c r="R279" s="197"/>
      <c r="AE279" s="200"/>
      <c r="AF279" s="200"/>
    </row>
    <row r="280" spans="5:32" ht="15.75" x14ac:dyDescent="0.25">
      <c r="E280" s="261"/>
      <c r="F280" s="193"/>
      <c r="G280" s="194"/>
      <c r="H280" s="195"/>
      <c r="I280" s="202"/>
      <c r="O280" s="197"/>
      <c r="P280" s="197"/>
      <c r="Q280" s="197"/>
      <c r="R280" s="197"/>
      <c r="AE280" s="200"/>
      <c r="AF280" s="200"/>
    </row>
    <row r="281" spans="5:32" ht="15.75" x14ac:dyDescent="0.25">
      <c r="E281" s="261"/>
      <c r="F281" s="193"/>
      <c r="G281" s="194"/>
      <c r="H281" s="195"/>
      <c r="I281" s="202"/>
      <c r="O281" s="197"/>
      <c r="P281" s="197"/>
      <c r="Q281" s="197"/>
      <c r="R281" s="197"/>
      <c r="AE281" s="200"/>
      <c r="AF281" s="200"/>
    </row>
    <row r="282" spans="5:32" ht="15.75" x14ac:dyDescent="0.25">
      <c r="E282" s="261"/>
      <c r="F282" s="193"/>
      <c r="G282" s="194"/>
      <c r="H282" s="195"/>
      <c r="I282" s="202"/>
      <c r="O282" s="197"/>
      <c r="P282" s="197"/>
      <c r="Q282" s="197"/>
      <c r="R282" s="197"/>
      <c r="AE282" s="200"/>
      <c r="AF282" s="200"/>
    </row>
    <row r="283" spans="5:32" ht="15.75" x14ac:dyDescent="0.25">
      <c r="E283" s="261"/>
      <c r="F283" s="193"/>
      <c r="G283" s="194"/>
      <c r="H283" s="195"/>
      <c r="I283" s="202"/>
      <c r="O283" s="197"/>
      <c r="P283" s="197"/>
      <c r="Q283" s="197"/>
      <c r="R283" s="197"/>
      <c r="AE283" s="200"/>
      <c r="AF283" s="200"/>
    </row>
    <row r="284" spans="5:32" ht="15.75" x14ac:dyDescent="0.25">
      <c r="E284" s="262"/>
      <c r="F284" s="193"/>
      <c r="G284" s="194"/>
      <c r="H284" s="195"/>
      <c r="I284" s="206"/>
      <c r="O284" s="197"/>
      <c r="P284" s="197"/>
      <c r="Q284" s="207"/>
      <c r="R284" s="207"/>
      <c r="AE284" s="200"/>
      <c r="AF284" s="200"/>
    </row>
    <row r="285" spans="5:32" ht="15.75" x14ac:dyDescent="0.25">
      <c r="E285" s="262"/>
      <c r="F285" s="193"/>
      <c r="G285" s="194"/>
      <c r="H285" s="195"/>
      <c r="I285" s="206"/>
      <c r="O285" s="197"/>
      <c r="P285" s="197"/>
      <c r="Q285" s="207"/>
      <c r="R285" s="207"/>
      <c r="AE285" s="200"/>
      <c r="AF285" s="200"/>
    </row>
    <row r="286" spans="5:32" ht="15.75" x14ac:dyDescent="0.25">
      <c r="E286" s="261"/>
      <c r="F286" s="193"/>
      <c r="G286" s="194"/>
      <c r="H286" s="195"/>
      <c r="I286" s="202"/>
      <c r="O286" s="197"/>
      <c r="P286" s="197"/>
      <c r="Q286" s="197"/>
      <c r="R286" s="197"/>
      <c r="S286" s="197"/>
      <c r="T286" s="197"/>
      <c r="U286" s="197"/>
      <c r="V286" s="197"/>
      <c r="W286" s="197"/>
      <c r="X286" s="197"/>
      <c r="Y286" s="197"/>
      <c r="Z286" s="197"/>
      <c r="AA286" s="197"/>
      <c r="AB286" s="197"/>
      <c r="AC286" s="197"/>
      <c r="AD286" s="208"/>
      <c r="AE286" s="200"/>
      <c r="AF286" s="200"/>
    </row>
    <row r="287" spans="5:32" ht="15.75" x14ac:dyDescent="0.25">
      <c r="E287" s="261"/>
      <c r="F287" s="193"/>
      <c r="G287" s="194"/>
      <c r="H287" s="195"/>
      <c r="I287" s="202"/>
      <c r="O287" s="197"/>
      <c r="P287" s="197"/>
      <c r="Q287" s="197"/>
      <c r="R287" s="197"/>
      <c r="S287" s="197"/>
      <c r="T287" s="197"/>
      <c r="U287" s="197"/>
      <c r="V287" s="197"/>
      <c r="W287" s="197"/>
      <c r="X287" s="197"/>
      <c r="Y287" s="197"/>
      <c r="Z287" s="197"/>
      <c r="AA287" s="197"/>
      <c r="AB287" s="197"/>
      <c r="AC287" s="197"/>
      <c r="AD287" s="208"/>
      <c r="AE287" s="200"/>
      <c r="AF287" s="200"/>
    </row>
    <row r="288" spans="5:32" ht="15.75" x14ac:dyDescent="0.25">
      <c r="E288" s="261"/>
      <c r="F288" s="193"/>
      <c r="G288" s="194"/>
      <c r="H288" s="195"/>
      <c r="I288" s="202"/>
      <c r="O288" s="197"/>
      <c r="P288" s="197"/>
      <c r="Q288" s="197"/>
      <c r="R288" s="197"/>
      <c r="S288" s="197"/>
      <c r="T288" s="197"/>
      <c r="U288" s="197"/>
      <c r="V288" s="197"/>
      <c r="W288" s="197"/>
      <c r="X288" s="197"/>
      <c r="Y288" s="197"/>
      <c r="Z288" s="197"/>
      <c r="AA288" s="197"/>
      <c r="AB288" s="197"/>
      <c r="AC288" s="197"/>
      <c r="AD288" s="208"/>
      <c r="AE288" s="200"/>
      <c r="AF288" s="200"/>
    </row>
    <row r="289" spans="5:32" ht="15.75" x14ac:dyDescent="0.25">
      <c r="E289" s="261"/>
      <c r="F289" s="193"/>
      <c r="G289" s="194"/>
      <c r="H289" s="195"/>
      <c r="I289" s="202"/>
      <c r="O289" s="197"/>
      <c r="P289" s="197"/>
      <c r="Q289" s="197"/>
      <c r="R289" s="197"/>
      <c r="S289" s="197"/>
      <c r="T289" s="197"/>
      <c r="U289" s="197"/>
      <c r="V289" s="197"/>
      <c r="W289" s="197"/>
      <c r="X289" s="197"/>
      <c r="Y289" s="197"/>
      <c r="Z289" s="197"/>
      <c r="AA289" s="197"/>
      <c r="AB289" s="197"/>
      <c r="AC289" s="197"/>
      <c r="AD289" s="208"/>
      <c r="AE289" s="200"/>
      <c r="AF289" s="200"/>
    </row>
    <row r="290" spans="5:32" ht="15.75" x14ac:dyDescent="0.25">
      <c r="E290" s="261"/>
      <c r="F290" s="193"/>
      <c r="G290" s="194"/>
      <c r="H290" s="195"/>
      <c r="I290" s="202"/>
      <c r="O290" s="197"/>
      <c r="P290" s="197"/>
      <c r="Q290" s="197"/>
      <c r="R290" s="197"/>
      <c r="S290" s="197"/>
      <c r="T290" s="197"/>
      <c r="U290" s="197"/>
      <c r="V290" s="197"/>
      <c r="W290" s="197"/>
      <c r="X290" s="197"/>
      <c r="Y290" s="197"/>
      <c r="Z290" s="197"/>
      <c r="AA290" s="197"/>
      <c r="AB290" s="197"/>
      <c r="AC290" s="197"/>
      <c r="AD290" s="208"/>
      <c r="AE290" s="200"/>
      <c r="AF290" s="200"/>
    </row>
    <row r="291" spans="5:32" ht="15.75" x14ac:dyDescent="0.25">
      <c r="E291" s="261"/>
      <c r="F291" s="193"/>
      <c r="G291" s="194"/>
      <c r="H291" s="195"/>
      <c r="I291" s="202"/>
      <c r="O291" s="197"/>
      <c r="P291" s="197"/>
      <c r="Q291" s="197"/>
      <c r="R291" s="197"/>
      <c r="S291" s="197"/>
      <c r="T291" s="197"/>
      <c r="U291" s="197"/>
      <c r="V291" s="197"/>
      <c r="W291" s="197"/>
      <c r="X291" s="197"/>
      <c r="Y291" s="197"/>
      <c r="Z291" s="197"/>
      <c r="AA291" s="197"/>
      <c r="AB291" s="197"/>
      <c r="AC291" s="197"/>
      <c r="AD291" s="208"/>
      <c r="AE291" s="200"/>
      <c r="AF291" s="200"/>
    </row>
    <row r="292" spans="5:32" ht="15.75" x14ac:dyDescent="0.25">
      <c r="E292" s="261"/>
      <c r="F292" s="193"/>
      <c r="G292" s="194"/>
      <c r="H292" s="195"/>
      <c r="I292" s="202"/>
      <c r="O292" s="197"/>
      <c r="P292" s="197"/>
      <c r="Q292" s="197"/>
      <c r="R292" s="197"/>
      <c r="S292" s="197"/>
      <c r="T292" s="197"/>
      <c r="U292" s="197"/>
      <c r="V292" s="197"/>
      <c r="W292" s="197"/>
      <c r="X292" s="197"/>
      <c r="Y292" s="197"/>
      <c r="Z292" s="197"/>
      <c r="AA292" s="197"/>
      <c r="AB292" s="197"/>
      <c r="AC292" s="197"/>
      <c r="AD292" s="208"/>
      <c r="AE292" s="200"/>
      <c r="AF292" s="200"/>
    </row>
    <row r="293" spans="5:32" ht="15.75" x14ac:dyDescent="0.25">
      <c r="E293" s="261"/>
      <c r="F293" s="193"/>
      <c r="G293" s="194"/>
      <c r="H293" s="195"/>
      <c r="I293" s="202"/>
      <c r="O293" s="197"/>
      <c r="P293" s="197"/>
      <c r="Q293" s="197"/>
      <c r="R293" s="197"/>
      <c r="S293" s="197"/>
      <c r="T293" s="197"/>
      <c r="U293" s="197"/>
      <c r="V293" s="197"/>
      <c r="W293" s="197"/>
      <c r="X293" s="197"/>
      <c r="Y293" s="197"/>
      <c r="Z293" s="197"/>
      <c r="AA293" s="197"/>
      <c r="AB293" s="197"/>
      <c r="AC293" s="197"/>
      <c r="AD293" s="208"/>
      <c r="AE293" s="200"/>
      <c r="AF293" s="200"/>
    </row>
    <row r="294" spans="5:32" ht="15.75" x14ac:dyDescent="0.25">
      <c r="E294" s="261"/>
      <c r="F294" s="193"/>
      <c r="G294" s="194"/>
      <c r="H294" s="195"/>
      <c r="I294" s="202"/>
      <c r="O294" s="197"/>
      <c r="P294" s="197"/>
      <c r="Q294" s="197"/>
      <c r="R294" s="197"/>
      <c r="S294" s="197"/>
      <c r="T294" s="197"/>
      <c r="U294" s="197"/>
      <c r="V294" s="197"/>
      <c r="W294" s="197"/>
      <c r="X294" s="197"/>
      <c r="Y294" s="197"/>
      <c r="Z294" s="197"/>
      <c r="AA294" s="197"/>
      <c r="AB294" s="197"/>
      <c r="AC294" s="197"/>
      <c r="AD294" s="208"/>
      <c r="AE294" s="200"/>
      <c r="AF294" s="200"/>
    </row>
    <row r="295" spans="5:32" ht="15.75" x14ac:dyDescent="0.25">
      <c r="E295" s="261"/>
      <c r="F295" s="193"/>
      <c r="G295" s="194"/>
      <c r="H295" s="195"/>
      <c r="I295" s="202"/>
      <c r="O295" s="197"/>
      <c r="P295" s="197"/>
      <c r="Q295" s="197"/>
      <c r="R295" s="197"/>
      <c r="S295" s="197"/>
      <c r="T295" s="197"/>
      <c r="U295" s="197"/>
      <c r="V295" s="197"/>
      <c r="W295" s="197"/>
      <c r="X295" s="197"/>
      <c r="Y295" s="197"/>
      <c r="Z295" s="197"/>
      <c r="AA295" s="197"/>
      <c r="AB295" s="197"/>
      <c r="AC295" s="197"/>
      <c r="AD295" s="208"/>
      <c r="AE295" s="200"/>
      <c r="AF295" s="200"/>
    </row>
    <row r="296" spans="5:32" ht="15.75" x14ac:dyDescent="0.25">
      <c r="E296" s="261"/>
      <c r="F296" s="193"/>
      <c r="G296" s="194"/>
      <c r="H296" s="195"/>
      <c r="I296" s="202"/>
      <c r="O296" s="197"/>
      <c r="P296" s="197"/>
      <c r="Q296" s="197"/>
      <c r="R296" s="197"/>
      <c r="S296" s="197"/>
      <c r="T296" s="197"/>
      <c r="U296" s="197"/>
      <c r="V296" s="197"/>
      <c r="W296" s="197"/>
      <c r="X296" s="197"/>
      <c r="Y296" s="197"/>
      <c r="Z296" s="197"/>
      <c r="AA296" s="197"/>
      <c r="AB296" s="197"/>
      <c r="AC296" s="197"/>
      <c r="AD296" s="208"/>
      <c r="AE296" s="200"/>
      <c r="AF296" s="200"/>
    </row>
    <row r="297" spans="5:32" ht="15.75" x14ac:dyDescent="0.25">
      <c r="E297" s="261"/>
      <c r="F297" s="193"/>
      <c r="G297" s="194"/>
      <c r="H297" s="195"/>
      <c r="I297" s="202"/>
      <c r="O297" s="197"/>
      <c r="P297" s="197"/>
      <c r="Q297" s="197"/>
      <c r="R297" s="197"/>
      <c r="S297" s="197"/>
      <c r="T297" s="197"/>
      <c r="U297" s="197"/>
      <c r="V297" s="197"/>
      <c r="W297" s="197"/>
      <c r="X297" s="197"/>
      <c r="Y297" s="197"/>
      <c r="Z297" s="197"/>
      <c r="AA297" s="197"/>
      <c r="AB297" s="197"/>
      <c r="AC297" s="197"/>
      <c r="AD297" s="208"/>
      <c r="AE297" s="200"/>
      <c r="AF297" s="200"/>
    </row>
    <row r="298" spans="5:32" ht="15.75" x14ac:dyDescent="0.25">
      <c r="E298" s="261"/>
      <c r="F298" s="193"/>
      <c r="G298" s="194"/>
      <c r="H298" s="195"/>
      <c r="I298" s="202"/>
      <c r="O298" s="197"/>
      <c r="P298" s="197"/>
      <c r="Q298" s="197"/>
      <c r="R298" s="197"/>
      <c r="S298" s="197"/>
      <c r="T298" s="197"/>
      <c r="U298" s="197"/>
      <c r="V298" s="197"/>
      <c r="W298" s="197"/>
      <c r="X298" s="197"/>
      <c r="Y298" s="197"/>
      <c r="Z298" s="197"/>
      <c r="AA298" s="197"/>
      <c r="AB298" s="197"/>
      <c r="AC298" s="197"/>
      <c r="AD298" s="208"/>
      <c r="AE298" s="200"/>
      <c r="AF298" s="200"/>
    </row>
    <row r="299" spans="5:32" ht="15.75" x14ac:dyDescent="0.25">
      <c r="E299" s="261"/>
      <c r="F299" s="193"/>
      <c r="G299" s="194"/>
      <c r="H299" s="195"/>
      <c r="I299" s="202"/>
      <c r="O299" s="197"/>
      <c r="P299" s="197"/>
      <c r="Q299" s="197"/>
      <c r="R299" s="197"/>
      <c r="S299" s="197"/>
      <c r="T299" s="197"/>
      <c r="U299" s="197"/>
      <c r="V299" s="197"/>
      <c r="W299" s="197"/>
      <c r="X299" s="197"/>
      <c r="Y299" s="197"/>
      <c r="Z299" s="197"/>
      <c r="AA299" s="197"/>
      <c r="AB299" s="197"/>
      <c r="AC299" s="197"/>
      <c r="AD299" s="208"/>
      <c r="AE299" s="200"/>
      <c r="AF299" s="200"/>
    </row>
    <row r="300" spans="5:32" ht="15.75" x14ac:dyDescent="0.25">
      <c r="E300" s="261"/>
      <c r="F300" s="193"/>
      <c r="G300" s="194"/>
      <c r="H300" s="195"/>
      <c r="I300" s="202"/>
      <c r="O300" s="197"/>
      <c r="P300" s="197"/>
      <c r="Q300" s="197"/>
      <c r="R300" s="197"/>
      <c r="S300" s="197"/>
      <c r="T300" s="197"/>
      <c r="U300" s="197"/>
      <c r="V300" s="197"/>
      <c r="W300" s="197"/>
      <c r="X300" s="197"/>
      <c r="Y300" s="197"/>
      <c r="Z300" s="197"/>
      <c r="AA300" s="197"/>
      <c r="AB300" s="197"/>
      <c r="AC300" s="197"/>
      <c r="AD300" s="208"/>
      <c r="AE300" s="200"/>
      <c r="AF300" s="200"/>
    </row>
    <row r="301" spans="5:32" ht="15.75" x14ac:dyDescent="0.25">
      <c r="E301" s="261"/>
      <c r="F301" s="193"/>
      <c r="G301" s="194"/>
      <c r="H301" s="195"/>
      <c r="I301" s="202"/>
      <c r="O301" s="197"/>
      <c r="P301" s="197"/>
      <c r="Q301" s="197"/>
      <c r="R301" s="197"/>
      <c r="S301" s="197"/>
      <c r="T301" s="197"/>
      <c r="U301" s="197"/>
      <c r="V301" s="197"/>
      <c r="W301" s="197"/>
      <c r="X301" s="197"/>
      <c r="Y301" s="197"/>
      <c r="Z301" s="197"/>
      <c r="AA301" s="197"/>
      <c r="AB301" s="197"/>
      <c r="AC301" s="197"/>
      <c r="AD301" s="208"/>
      <c r="AE301" s="200"/>
      <c r="AF301" s="200"/>
    </row>
    <row r="302" spans="5:32" ht="15.75" x14ac:dyDescent="0.25">
      <c r="E302" s="261"/>
      <c r="F302" s="193"/>
      <c r="G302" s="194"/>
      <c r="H302" s="195"/>
      <c r="I302" s="202"/>
      <c r="O302" s="197"/>
      <c r="P302" s="197"/>
      <c r="Q302" s="197"/>
      <c r="R302" s="197"/>
      <c r="S302" s="197"/>
      <c r="T302" s="197"/>
      <c r="U302" s="197"/>
      <c r="V302" s="197"/>
      <c r="W302" s="197"/>
      <c r="X302" s="197"/>
      <c r="Y302" s="197"/>
      <c r="Z302" s="197"/>
      <c r="AA302" s="197"/>
      <c r="AB302" s="197"/>
      <c r="AC302" s="197"/>
      <c r="AD302" s="208"/>
      <c r="AE302" s="200"/>
      <c r="AF302" s="200"/>
    </row>
    <row r="303" spans="5:32" ht="15.75" x14ac:dyDescent="0.25">
      <c r="E303" s="261"/>
      <c r="F303" s="193"/>
      <c r="G303" s="194"/>
      <c r="H303" s="195"/>
      <c r="I303" s="202"/>
      <c r="O303" s="197"/>
      <c r="P303" s="197"/>
      <c r="Q303" s="197"/>
      <c r="R303" s="197"/>
      <c r="S303" s="197"/>
      <c r="T303" s="197"/>
      <c r="U303" s="197"/>
      <c r="V303" s="197"/>
      <c r="W303" s="197"/>
      <c r="X303" s="197"/>
      <c r="Y303" s="197"/>
      <c r="Z303" s="197"/>
      <c r="AA303" s="197"/>
      <c r="AB303" s="197"/>
      <c r="AC303" s="197"/>
      <c r="AD303" s="208"/>
      <c r="AE303" s="200"/>
      <c r="AF303" s="200"/>
    </row>
    <row r="304" spans="5:32" ht="15.75" x14ac:dyDescent="0.25">
      <c r="E304" s="261"/>
      <c r="F304" s="193"/>
      <c r="G304" s="194"/>
      <c r="H304" s="195"/>
      <c r="I304" s="202"/>
      <c r="O304" s="197"/>
      <c r="P304" s="197"/>
      <c r="Q304" s="197"/>
      <c r="R304" s="197"/>
      <c r="S304" s="197"/>
      <c r="T304" s="197"/>
      <c r="U304" s="197"/>
      <c r="V304" s="197"/>
      <c r="W304" s="197"/>
      <c r="X304" s="197"/>
      <c r="Y304" s="197"/>
      <c r="Z304" s="197"/>
      <c r="AA304" s="197"/>
      <c r="AB304" s="197"/>
      <c r="AC304" s="197"/>
      <c r="AD304" s="208"/>
      <c r="AE304" s="200"/>
      <c r="AF304" s="200"/>
    </row>
    <row r="305" spans="5:32" ht="15.75" x14ac:dyDescent="0.25">
      <c r="E305" s="261"/>
      <c r="F305" s="193"/>
      <c r="G305" s="194"/>
      <c r="H305" s="195"/>
      <c r="I305" s="202"/>
      <c r="O305" s="197"/>
      <c r="P305" s="197"/>
      <c r="Q305" s="197"/>
      <c r="R305" s="197"/>
      <c r="S305" s="197"/>
      <c r="T305" s="197"/>
      <c r="U305" s="197"/>
      <c r="V305" s="197"/>
      <c r="W305" s="197"/>
      <c r="X305" s="197"/>
      <c r="Y305" s="197"/>
      <c r="Z305" s="197"/>
      <c r="AA305" s="197"/>
      <c r="AB305" s="197"/>
      <c r="AC305" s="197"/>
      <c r="AD305" s="208"/>
      <c r="AE305" s="200"/>
      <c r="AF305" s="200"/>
    </row>
    <row r="306" spans="5:32" ht="15.75" x14ac:dyDescent="0.25">
      <c r="E306" s="261"/>
      <c r="F306" s="193"/>
      <c r="G306" s="194"/>
      <c r="H306" s="195"/>
      <c r="I306" s="202"/>
      <c r="O306" s="197"/>
      <c r="P306" s="197"/>
      <c r="Q306" s="197"/>
      <c r="R306" s="197"/>
      <c r="S306" s="197"/>
      <c r="T306" s="197"/>
      <c r="U306" s="197"/>
      <c r="V306" s="197"/>
      <c r="W306" s="197"/>
      <c r="X306" s="197"/>
      <c r="Y306" s="197"/>
      <c r="Z306" s="197"/>
      <c r="AA306" s="197"/>
      <c r="AB306" s="197"/>
      <c r="AC306" s="197"/>
      <c r="AD306" s="208"/>
      <c r="AE306" s="200"/>
      <c r="AF306" s="200"/>
    </row>
    <row r="307" spans="5:32" ht="15.75" x14ac:dyDescent="0.25">
      <c r="E307" s="261"/>
      <c r="F307" s="193"/>
      <c r="G307" s="194"/>
      <c r="H307" s="195"/>
      <c r="I307" s="202"/>
      <c r="O307" s="197"/>
      <c r="P307" s="197"/>
      <c r="Q307" s="197"/>
      <c r="R307" s="197"/>
      <c r="S307" s="197"/>
      <c r="T307" s="197"/>
      <c r="U307" s="197"/>
      <c r="V307" s="197"/>
      <c r="W307" s="197"/>
      <c r="X307" s="197"/>
      <c r="Y307" s="197"/>
      <c r="Z307" s="197"/>
      <c r="AA307" s="197"/>
      <c r="AB307" s="197"/>
      <c r="AC307" s="197"/>
      <c r="AD307" s="208"/>
      <c r="AE307" s="200"/>
      <c r="AF307" s="200"/>
    </row>
    <row r="308" spans="5:32" ht="15.75" x14ac:dyDescent="0.25">
      <c r="E308" s="261"/>
      <c r="F308" s="193"/>
      <c r="G308" s="194"/>
      <c r="H308" s="195"/>
      <c r="I308" s="202"/>
      <c r="O308" s="197"/>
      <c r="P308" s="197"/>
      <c r="Q308" s="197"/>
      <c r="R308" s="197"/>
      <c r="S308" s="197"/>
      <c r="T308" s="197"/>
      <c r="U308" s="197"/>
      <c r="V308" s="197"/>
      <c r="W308" s="197"/>
      <c r="X308" s="197"/>
      <c r="Y308" s="197"/>
      <c r="Z308" s="197"/>
      <c r="AA308" s="197"/>
      <c r="AB308" s="197"/>
      <c r="AC308" s="197"/>
      <c r="AD308" s="208"/>
      <c r="AE308" s="200"/>
      <c r="AF308" s="200"/>
    </row>
    <row r="309" spans="5:32" ht="15.75" x14ac:dyDescent="0.25">
      <c r="E309" s="261"/>
      <c r="F309" s="193"/>
      <c r="G309" s="194"/>
      <c r="H309" s="195"/>
      <c r="I309" s="202"/>
      <c r="O309" s="197"/>
      <c r="P309" s="197"/>
      <c r="Q309" s="197"/>
      <c r="R309" s="197"/>
      <c r="S309" s="197"/>
      <c r="T309" s="197"/>
      <c r="U309" s="197"/>
      <c r="V309" s="197"/>
      <c r="W309" s="197"/>
      <c r="X309" s="197"/>
      <c r="Y309" s="197"/>
      <c r="Z309" s="197"/>
      <c r="AA309" s="197"/>
      <c r="AB309" s="197"/>
      <c r="AC309" s="197"/>
      <c r="AD309" s="208"/>
      <c r="AE309" s="200"/>
      <c r="AF309" s="200"/>
    </row>
    <row r="310" spans="5:32" ht="15.75" x14ac:dyDescent="0.25">
      <c r="E310" s="261"/>
      <c r="F310" s="193"/>
      <c r="G310" s="194"/>
      <c r="H310" s="195"/>
      <c r="I310" s="202"/>
      <c r="O310" s="197"/>
      <c r="P310" s="197"/>
      <c r="Q310" s="197"/>
      <c r="R310" s="197"/>
      <c r="S310" s="197"/>
      <c r="T310" s="197"/>
      <c r="U310" s="197"/>
      <c r="V310" s="197"/>
      <c r="W310" s="197"/>
      <c r="X310" s="197"/>
      <c r="Y310" s="197"/>
      <c r="Z310" s="197"/>
      <c r="AA310" s="197"/>
      <c r="AB310" s="197"/>
      <c r="AC310" s="197"/>
      <c r="AD310" s="208"/>
      <c r="AE310" s="200"/>
      <c r="AF310" s="200"/>
    </row>
    <row r="311" spans="5:32" ht="15.75" x14ac:dyDescent="0.25">
      <c r="E311" s="261"/>
      <c r="F311" s="193"/>
      <c r="G311" s="194"/>
      <c r="H311" s="195"/>
      <c r="I311" s="202"/>
      <c r="O311" s="197"/>
      <c r="P311" s="197"/>
      <c r="Q311" s="197"/>
      <c r="R311" s="197"/>
      <c r="S311" s="197"/>
      <c r="T311" s="197"/>
      <c r="U311" s="197"/>
      <c r="V311" s="197"/>
      <c r="W311" s="197"/>
      <c r="X311" s="197"/>
      <c r="Y311" s="197"/>
      <c r="Z311" s="197"/>
      <c r="AA311" s="197"/>
      <c r="AB311" s="197"/>
      <c r="AC311" s="197"/>
      <c r="AD311" s="208"/>
      <c r="AE311" s="200"/>
      <c r="AF311" s="200"/>
    </row>
    <row r="312" spans="5:32" ht="15.75" x14ac:dyDescent="0.25">
      <c r="E312" s="261"/>
      <c r="F312" s="193"/>
      <c r="G312" s="194"/>
      <c r="H312" s="195"/>
      <c r="I312" s="202"/>
      <c r="O312" s="197"/>
      <c r="P312" s="197"/>
      <c r="Q312" s="197"/>
      <c r="R312" s="197"/>
      <c r="S312" s="197"/>
      <c r="T312" s="197"/>
      <c r="U312" s="197"/>
      <c r="V312" s="197"/>
      <c r="W312" s="197"/>
      <c r="X312" s="197"/>
      <c r="Y312" s="197"/>
      <c r="Z312" s="197"/>
      <c r="AA312" s="197"/>
      <c r="AB312" s="197"/>
      <c r="AC312" s="197"/>
      <c r="AD312" s="208"/>
      <c r="AE312" s="200"/>
      <c r="AF312" s="200"/>
    </row>
    <row r="313" spans="5:32" ht="15.75" x14ac:dyDescent="0.25">
      <c r="E313" s="261"/>
      <c r="F313" s="193"/>
      <c r="G313" s="194"/>
      <c r="H313" s="195"/>
      <c r="I313" s="202"/>
      <c r="O313" s="197"/>
      <c r="P313" s="197"/>
      <c r="Q313" s="197"/>
      <c r="R313" s="197"/>
      <c r="S313" s="197"/>
      <c r="T313" s="197"/>
      <c r="U313" s="197"/>
      <c r="V313" s="197"/>
      <c r="W313" s="197"/>
      <c r="X313" s="197"/>
      <c r="Y313" s="197"/>
      <c r="Z313" s="197"/>
      <c r="AA313" s="197"/>
      <c r="AB313" s="197"/>
      <c r="AC313" s="197"/>
      <c r="AD313" s="208"/>
      <c r="AE313" s="200"/>
      <c r="AF313" s="200"/>
    </row>
    <row r="314" spans="5:32" ht="15.75" x14ac:dyDescent="0.25">
      <c r="E314" s="261"/>
      <c r="F314" s="193"/>
      <c r="G314" s="194"/>
      <c r="H314" s="195"/>
      <c r="I314" s="202"/>
      <c r="O314" s="197"/>
      <c r="P314" s="197"/>
      <c r="Q314" s="197"/>
      <c r="R314" s="197"/>
      <c r="S314" s="197"/>
      <c r="T314" s="197"/>
      <c r="U314" s="197"/>
      <c r="V314" s="197"/>
      <c r="W314" s="197"/>
      <c r="X314" s="197"/>
      <c r="Y314" s="197"/>
      <c r="Z314" s="197"/>
      <c r="AA314" s="197"/>
      <c r="AB314" s="197"/>
      <c r="AC314" s="197"/>
      <c r="AD314" s="208"/>
      <c r="AE314" s="200"/>
      <c r="AF314" s="200"/>
    </row>
    <row r="315" spans="5:32" ht="15.75" x14ac:dyDescent="0.25">
      <c r="E315" s="261"/>
      <c r="F315" s="193"/>
      <c r="G315" s="194"/>
      <c r="H315" s="195"/>
      <c r="I315" s="202"/>
      <c r="O315" s="197"/>
      <c r="P315" s="197"/>
      <c r="Q315" s="197"/>
      <c r="R315" s="197"/>
      <c r="S315" s="197"/>
      <c r="T315" s="197"/>
      <c r="U315" s="197"/>
      <c r="V315" s="197"/>
      <c r="W315" s="197"/>
      <c r="X315" s="197"/>
      <c r="Y315" s="197"/>
      <c r="Z315" s="197"/>
      <c r="AA315" s="197"/>
      <c r="AB315" s="197"/>
      <c r="AC315" s="197"/>
      <c r="AD315" s="208"/>
      <c r="AE315" s="200"/>
      <c r="AF315" s="200"/>
    </row>
    <row r="316" spans="5:32" ht="15.75" x14ac:dyDescent="0.25">
      <c r="E316" s="261"/>
      <c r="F316" s="193"/>
      <c r="G316" s="194"/>
      <c r="H316" s="195"/>
      <c r="I316" s="202"/>
      <c r="O316" s="197"/>
      <c r="P316" s="197"/>
      <c r="Q316" s="197"/>
      <c r="R316" s="197"/>
      <c r="S316" s="197"/>
      <c r="T316" s="197"/>
      <c r="U316" s="197"/>
      <c r="V316" s="197"/>
      <c r="W316" s="197"/>
      <c r="X316" s="197"/>
      <c r="Y316" s="197"/>
      <c r="Z316" s="197"/>
      <c r="AA316" s="197"/>
      <c r="AB316" s="197"/>
      <c r="AC316" s="197"/>
      <c r="AD316" s="208"/>
      <c r="AE316" s="200"/>
      <c r="AF316" s="200"/>
    </row>
    <row r="317" spans="5:32" ht="15.75" x14ac:dyDescent="0.25">
      <c r="E317" s="261"/>
      <c r="F317" s="193"/>
      <c r="G317" s="194"/>
      <c r="H317" s="195"/>
      <c r="I317" s="202"/>
      <c r="O317" s="197"/>
      <c r="P317" s="197"/>
      <c r="Q317" s="197"/>
      <c r="R317" s="197"/>
      <c r="S317" s="197"/>
      <c r="T317" s="197"/>
      <c r="U317" s="197"/>
      <c r="V317" s="197"/>
      <c r="W317" s="197"/>
      <c r="X317" s="197"/>
      <c r="Y317" s="197"/>
      <c r="Z317" s="197"/>
      <c r="AA317" s="197"/>
      <c r="AB317" s="197"/>
      <c r="AC317" s="197"/>
      <c r="AD317" s="208"/>
      <c r="AE317" s="200"/>
      <c r="AF317" s="200"/>
    </row>
    <row r="318" spans="5:32" ht="15.75" x14ac:dyDescent="0.25">
      <c r="E318" s="261"/>
      <c r="F318" s="193"/>
      <c r="G318" s="194"/>
      <c r="H318" s="195"/>
      <c r="I318" s="202"/>
      <c r="O318" s="197"/>
      <c r="P318" s="197"/>
      <c r="Q318" s="197"/>
      <c r="R318" s="197"/>
      <c r="S318" s="197"/>
      <c r="T318" s="197"/>
      <c r="U318" s="197"/>
      <c r="V318" s="197"/>
      <c r="W318" s="197"/>
      <c r="X318" s="197"/>
      <c r="Y318" s="197"/>
      <c r="Z318" s="197"/>
      <c r="AA318" s="197"/>
      <c r="AB318" s="197"/>
      <c r="AC318" s="197"/>
      <c r="AD318" s="208"/>
      <c r="AE318" s="200"/>
      <c r="AF318" s="200"/>
    </row>
    <row r="319" spans="5:32" ht="15.75" x14ac:dyDescent="0.25">
      <c r="E319" s="261"/>
      <c r="F319" s="193"/>
      <c r="G319" s="194"/>
      <c r="H319" s="195"/>
      <c r="I319" s="202"/>
      <c r="O319" s="197"/>
      <c r="P319" s="197"/>
      <c r="Q319" s="197"/>
      <c r="R319" s="197"/>
      <c r="S319" s="197"/>
      <c r="T319" s="197"/>
      <c r="U319" s="197"/>
      <c r="V319" s="197"/>
      <c r="W319" s="197"/>
      <c r="X319" s="197"/>
      <c r="Y319" s="197"/>
      <c r="Z319" s="197"/>
      <c r="AA319" s="197"/>
      <c r="AB319" s="197"/>
      <c r="AC319" s="197"/>
      <c r="AD319" s="208"/>
      <c r="AE319" s="200"/>
      <c r="AF319" s="200"/>
    </row>
    <row r="320" spans="5:32" ht="15.75" x14ac:dyDescent="0.25">
      <c r="E320" s="261"/>
      <c r="F320" s="193"/>
      <c r="G320" s="194"/>
      <c r="H320" s="195"/>
      <c r="I320" s="202"/>
      <c r="O320" s="197"/>
      <c r="P320" s="197"/>
      <c r="Q320" s="197"/>
      <c r="R320" s="197"/>
      <c r="S320" s="197"/>
      <c r="T320" s="197"/>
      <c r="U320" s="197"/>
      <c r="V320" s="197"/>
      <c r="W320" s="197"/>
      <c r="X320" s="197"/>
      <c r="Y320" s="197"/>
      <c r="Z320" s="197"/>
      <c r="AA320" s="197"/>
      <c r="AB320" s="197"/>
      <c r="AC320" s="197"/>
      <c r="AD320" s="208"/>
      <c r="AE320" s="200"/>
      <c r="AF320" s="200"/>
    </row>
    <row r="321" spans="5:32" ht="15.75" x14ac:dyDescent="0.25">
      <c r="E321" s="261"/>
      <c r="F321" s="193"/>
      <c r="G321" s="194"/>
      <c r="H321" s="195"/>
      <c r="I321" s="202"/>
      <c r="O321" s="197"/>
      <c r="P321" s="197"/>
      <c r="Q321" s="197"/>
      <c r="R321" s="197"/>
      <c r="S321" s="197"/>
      <c r="T321" s="197"/>
      <c r="U321" s="197"/>
      <c r="V321" s="197"/>
      <c r="W321" s="197"/>
      <c r="X321" s="197"/>
      <c r="Y321" s="197"/>
      <c r="Z321" s="197"/>
      <c r="AA321" s="197"/>
      <c r="AB321" s="197"/>
      <c r="AC321" s="197"/>
      <c r="AD321" s="208"/>
      <c r="AE321" s="200"/>
      <c r="AF321" s="200"/>
    </row>
    <row r="322" spans="5:32" ht="15.75" x14ac:dyDescent="0.25">
      <c r="E322" s="261"/>
      <c r="F322" s="193"/>
      <c r="G322" s="194"/>
      <c r="H322" s="195"/>
      <c r="I322" s="202"/>
      <c r="O322" s="197"/>
      <c r="P322" s="197"/>
      <c r="Q322" s="197"/>
      <c r="R322" s="197"/>
      <c r="S322" s="197"/>
      <c r="T322" s="197"/>
      <c r="U322" s="197"/>
      <c r="V322" s="197"/>
      <c r="W322" s="197"/>
      <c r="X322" s="197"/>
      <c r="Y322" s="197"/>
      <c r="Z322" s="197"/>
      <c r="AA322" s="197"/>
      <c r="AB322" s="197"/>
      <c r="AC322" s="197"/>
      <c r="AD322" s="208"/>
      <c r="AE322" s="200"/>
      <c r="AF322" s="200"/>
    </row>
    <row r="323" spans="5:32" ht="15.75" x14ac:dyDescent="0.25">
      <c r="E323" s="261"/>
      <c r="F323" s="193"/>
      <c r="G323" s="194"/>
      <c r="H323" s="195"/>
      <c r="I323" s="202"/>
      <c r="O323" s="197"/>
      <c r="P323" s="197"/>
      <c r="Q323" s="197"/>
      <c r="R323" s="197"/>
      <c r="S323" s="197"/>
      <c r="T323" s="197"/>
      <c r="U323" s="197"/>
      <c r="V323" s="197"/>
      <c r="W323" s="197"/>
      <c r="X323" s="197"/>
      <c r="Y323" s="197"/>
      <c r="Z323" s="197"/>
      <c r="AA323" s="197"/>
      <c r="AB323" s="197"/>
      <c r="AC323" s="197"/>
      <c r="AD323" s="208"/>
      <c r="AE323" s="200"/>
      <c r="AF323" s="200"/>
    </row>
    <row r="324" spans="5:32" ht="15.75" x14ac:dyDescent="0.25">
      <c r="E324" s="261"/>
      <c r="F324" s="193"/>
      <c r="G324" s="194"/>
      <c r="H324" s="195"/>
      <c r="I324" s="202"/>
      <c r="O324" s="197"/>
      <c r="P324" s="197"/>
      <c r="Q324" s="197"/>
      <c r="R324" s="197"/>
      <c r="S324" s="197"/>
      <c r="T324" s="197"/>
      <c r="U324" s="197"/>
      <c r="V324" s="197"/>
      <c r="W324" s="197"/>
      <c r="X324" s="197"/>
      <c r="Y324" s="197"/>
      <c r="Z324" s="197"/>
      <c r="AA324" s="197"/>
      <c r="AB324" s="197"/>
      <c r="AC324" s="197"/>
      <c r="AD324" s="208"/>
      <c r="AE324" s="200"/>
      <c r="AF324" s="200"/>
    </row>
    <row r="325" spans="5:32" ht="15.75" x14ac:dyDescent="0.25">
      <c r="E325" s="261"/>
      <c r="F325" s="193"/>
      <c r="G325" s="194"/>
      <c r="H325" s="195"/>
      <c r="I325" s="202"/>
      <c r="O325" s="197"/>
      <c r="P325" s="197"/>
      <c r="Q325" s="197"/>
      <c r="R325" s="197"/>
      <c r="S325" s="197"/>
      <c r="T325" s="197"/>
      <c r="U325" s="197"/>
      <c r="V325" s="197"/>
      <c r="W325" s="197"/>
      <c r="X325" s="197"/>
      <c r="Y325" s="197"/>
      <c r="Z325" s="197"/>
      <c r="AA325" s="197"/>
      <c r="AB325" s="197"/>
      <c r="AC325" s="197"/>
      <c r="AD325" s="208"/>
      <c r="AE325" s="200"/>
      <c r="AF325" s="200"/>
    </row>
    <row r="326" spans="5:32" ht="15.75" x14ac:dyDescent="0.25">
      <c r="E326" s="261"/>
      <c r="F326" s="193"/>
      <c r="G326" s="194"/>
      <c r="H326" s="195"/>
      <c r="I326" s="202"/>
      <c r="O326" s="197"/>
      <c r="P326" s="197"/>
      <c r="Q326" s="197"/>
      <c r="R326" s="197"/>
      <c r="S326" s="197"/>
      <c r="T326" s="197"/>
      <c r="U326" s="197"/>
      <c r="V326" s="197"/>
      <c r="W326" s="197"/>
      <c r="X326" s="197"/>
      <c r="Y326" s="197"/>
      <c r="Z326" s="197"/>
      <c r="AA326" s="197"/>
      <c r="AB326" s="197"/>
      <c r="AC326" s="197"/>
      <c r="AD326" s="208"/>
      <c r="AE326" s="200"/>
      <c r="AF326" s="200"/>
    </row>
    <row r="327" spans="5:32" ht="15.75" x14ac:dyDescent="0.25">
      <c r="E327" s="261"/>
      <c r="F327" s="193"/>
      <c r="G327" s="194"/>
      <c r="H327" s="195"/>
      <c r="I327" s="202"/>
      <c r="O327" s="197"/>
      <c r="P327" s="197"/>
      <c r="Q327" s="197"/>
      <c r="R327" s="197"/>
      <c r="S327" s="197"/>
      <c r="T327" s="197"/>
      <c r="U327" s="197"/>
      <c r="V327" s="197"/>
      <c r="W327" s="197"/>
      <c r="X327" s="197"/>
      <c r="Y327" s="197"/>
      <c r="Z327" s="197"/>
      <c r="AA327" s="197"/>
      <c r="AB327" s="197"/>
      <c r="AC327" s="197"/>
      <c r="AD327" s="208"/>
      <c r="AE327" s="200"/>
      <c r="AF327" s="200"/>
    </row>
    <row r="328" spans="5:32" ht="15.75" x14ac:dyDescent="0.25">
      <c r="E328" s="261"/>
      <c r="F328" s="193"/>
      <c r="G328" s="194"/>
      <c r="H328" s="195"/>
      <c r="I328" s="202"/>
      <c r="O328" s="197"/>
      <c r="P328" s="197"/>
      <c r="Q328" s="197"/>
      <c r="R328" s="197"/>
      <c r="S328" s="197"/>
      <c r="T328" s="197"/>
      <c r="U328" s="197"/>
      <c r="V328" s="197"/>
      <c r="W328" s="197"/>
      <c r="X328" s="197"/>
      <c r="Y328" s="197"/>
      <c r="Z328" s="197"/>
      <c r="AA328" s="197"/>
      <c r="AB328" s="197"/>
      <c r="AC328" s="197"/>
      <c r="AD328" s="208"/>
      <c r="AE328" s="200"/>
      <c r="AF328" s="200"/>
    </row>
    <row r="329" spans="5:32" ht="15.75" x14ac:dyDescent="0.25">
      <c r="E329" s="261"/>
      <c r="F329" s="193"/>
      <c r="G329" s="194"/>
      <c r="H329" s="195"/>
      <c r="I329" s="202"/>
      <c r="O329" s="197"/>
      <c r="P329" s="197"/>
      <c r="Q329" s="197"/>
      <c r="R329" s="197"/>
      <c r="S329" s="197"/>
      <c r="T329" s="197"/>
      <c r="U329" s="197"/>
      <c r="V329" s="197"/>
      <c r="W329" s="197"/>
      <c r="X329" s="197"/>
      <c r="Y329" s="197"/>
      <c r="Z329" s="197"/>
      <c r="AA329" s="197"/>
      <c r="AB329" s="197"/>
      <c r="AC329" s="197"/>
      <c r="AD329" s="208"/>
      <c r="AE329" s="200"/>
      <c r="AF329" s="200"/>
    </row>
    <row r="330" spans="5:32" ht="15.75" x14ac:dyDescent="0.25">
      <c r="E330" s="261"/>
      <c r="F330" s="193"/>
      <c r="G330" s="194"/>
      <c r="H330" s="195"/>
      <c r="I330" s="202"/>
      <c r="O330" s="197"/>
      <c r="P330" s="197"/>
      <c r="Q330" s="197"/>
      <c r="R330" s="197"/>
      <c r="S330" s="197"/>
      <c r="T330" s="197"/>
      <c r="U330" s="197"/>
      <c r="V330" s="197"/>
      <c r="W330" s="197"/>
      <c r="X330" s="197"/>
      <c r="Y330" s="197"/>
      <c r="Z330" s="197"/>
      <c r="AA330" s="197"/>
      <c r="AB330" s="197"/>
      <c r="AC330" s="197"/>
      <c r="AD330" s="208"/>
      <c r="AE330" s="200"/>
      <c r="AF330" s="200"/>
    </row>
    <row r="331" spans="5:32" ht="15.75" x14ac:dyDescent="0.25">
      <c r="E331" s="261"/>
      <c r="F331" s="193"/>
      <c r="G331" s="194"/>
      <c r="H331" s="195"/>
      <c r="I331" s="202"/>
      <c r="O331" s="197"/>
      <c r="P331" s="197"/>
      <c r="Q331" s="197"/>
      <c r="R331" s="197"/>
      <c r="S331" s="197"/>
      <c r="T331" s="197"/>
      <c r="U331" s="197"/>
      <c r="V331" s="197"/>
      <c r="W331" s="197"/>
      <c r="X331" s="197"/>
      <c r="Y331" s="197"/>
      <c r="Z331" s="197"/>
      <c r="AA331" s="197"/>
      <c r="AB331" s="197"/>
      <c r="AC331" s="197"/>
      <c r="AD331" s="208"/>
      <c r="AE331" s="200"/>
      <c r="AF331" s="200"/>
    </row>
    <row r="332" spans="5:32" ht="15.75" x14ac:dyDescent="0.25">
      <c r="E332" s="261"/>
      <c r="F332" s="193"/>
      <c r="G332" s="194"/>
      <c r="H332" s="195"/>
      <c r="I332" s="202"/>
      <c r="O332" s="197"/>
      <c r="P332" s="197"/>
      <c r="Q332" s="197"/>
      <c r="R332" s="197"/>
      <c r="S332" s="197"/>
      <c r="T332" s="197"/>
      <c r="U332" s="197"/>
      <c r="V332" s="197"/>
      <c r="W332" s="197"/>
      <c r="X332" s="197"/>
      <c r="Y332" s="197"/>
      <c r="Z332" s="197"/>
      <c r="AA332" s="197"/>
      <c r="AB332" s="197"/>
      <c r="AC332" s="197"/>
      <c r="AD332" s="208"/>
      <c r="AE332" s="200"/>
      <c r="AF332" s="200"/>
    </row>
    <row r="333" spans="5:32" ht="15.75" x14ac:dyDescent="0.25">
      <c r="E333" s="261"/>
      <c r="F333" s="193"/>
      <c r="G333" s="194"/>
      <c r="H333" s="195"/>
      <c r="I333" s="202"/>
      <c r="O333" s="197"/>
      <c r="P333" s="197"/>
      <c r="Q333" s="197"/>
      <c r="R333" s="197"/>
      <c r="S333" s="197"/>
      <c r="T333" s="197"/>
      <c r="U333" s="197"/>
      <c r="V333" s="197"/>
      <c r="W333" s="197"/>
      <c r="X333" s="197"/>
      <c r="Y333" s="197"/>
      <c r="Z333" s="197"/>
      <c r="AA333" s="197"/>
      <c r="AB333" s="197"/>
      <c r="AC333" s="197"/>
      <c r="AD333" s="208"/>
      <c r="AE333" s="200"/>
      <c r="AF333" s="200"/>
    </row>
    <row r="334" spans="5:32" ht="15.75" x14ac:dyDescent="0.25">
      <c r="E334" s="261"/>
      <c r="F334" s="193"/>
      <c r="G334" s="194"/>
      <c r="H334" s="195"/>
      <c r="I334" s="202"/>
      <c r="O334" s="197"/>
      <c r="P334" s="197"/>
      <c r="Q334" s="197"/>
      <c r="R334" s="197"/>
      <c r="S334" s="197"/>
      <c r="T334" s="197"/>
      <c r="U334" s="197"/>
      <c r="V334" s="197"/>
      <c r="W334" s="197"/>
      <c r="X334" s="197"/>
      <c r="Y334" s="197"/>
      <c r="Z334" s="197"/>
      <c r="AA334" s="197"/>
      <c r="AB334" s="197"/>
      <c r="AC334" s="197"/>
      <c r="AD334" s="208"/>
      <c r="AE334" s="200"/>
      <c r="AF334" s="200"/>
    </row>
    <row r="335" spans="5:32" ht="15.75" x14ac:dyDescent="0.25">
      <c r="E335" s="261"/>
      <c r="F335" s="193"/>
      <c r="G335" s="194"/>
      <c r="H335" s="195"/>
      <c r="I335" s="202"/>
      <c r="O335" s="197"/>
      <c r="P335" s="197"/>
      <c r="Q335" s="197"/>
      <c r="R335" s="197"/>
      <c r="S335" s="197"/>
      <c r="T335" s="197"/>
      <c r="U335" s="197"/>
      <c r="V335" s="197"/>
      <c r="W335" s="197"/>
      <c r="X335" s="197"/>
      <c r="Y335" s="197"/>
      <c r="Z335" s="197"/>
      <c r="AA335" s="197"/>
      <c r="AB335" s="197"/>
      <c r="AC335" s="197"/>
      <c r="AD335" s="208"/>
      <c r="AE335" s="200"/>
      <c r="AF335" s="200"/>
    </row>
    <row r="336" spans="5:32" ht="15.75" x14ac:dyDescent="0.25">
      <c r="E336" s="261"/>
      <c r="F336" s="193"/>
      <c r="G336" s="194"/>
      <c r="H336" s="195"/>
      <c r="I336" s="202"/>
      <c r="O336" s="197"/>
      <c r="P336" s="197"/>
      <c r="Q336" s="197"/>
      <c r="R336" s="197"/>
      <c r="S336" s="197"/>
      <c r="T336" s="197"/>
      <c r="U336" s="197"/>
      <c r="V336" s="197"/>
      <c r="W336" s="197"/>
      <c r="X336" s="197"/>
      <c r="Y336" s="197"/>
      <c r="Z336" s="197"/>
      <c r="AA336" s="197"/>
      <c r="AB336" s="197"/>
      <c r="AC336" s="197"/>
      <c r="AD336" s="208"/>
      <c r="AE336" s="200"/>
      <c r="AF336" s="200"/>
    </row>
    <row r="337" spans="5:32" ht="15.75" x14ac:dyDescent="0.25">
      <c r="E337" s="261"/>
      <c r="F337" s="193"/>
      <c r="G337" s="194"/>
      <c r="H337" s="195"/>
      <c r="I337" s="202"/>
      <c r="O337" s="197"/>
      <c r="P337" s="197"/>
      <c r="Q337" s="197"/>
      <c r="R337" s="197"/>
      <c r="S337" s="197"/>
      <c r="T337" s="197"/>
      <c r="U337" s="197"/>
      <c r="V337" s="197"/>
      <c r="W337" s="197"/>
      <c r="X337" s="197"/>
      <c r="Y337" s="197"/>
      <c r="Z337" s="197"/>
      <c r="AA337" s="197"/>
      <c r="AB337" s="197"/>
      <c r="AC337" s="197"/>
      <c r="AD337" s="208"/>
      <c r="AE337" s="200"/>
      <c r="AF337" s="200"/>
    </row>
    <row r="338" spans="5:32" ht="15.75" x14ac:dyDescent="0.25">
      <c r="E338" s="261"/>
      <c r="F338" s="193"/>
      <c r="G338" s="194"/>
      <c r="H338" s="195"/>
      <c r="I338" s="202"/>
      <c r="O338" s="197"/>
      <c r="P338" s="197"/>
      <c r="Q338" s="197"/>
      <c r="R338" s="197"/>
      <c r="S338" s="197"/>
      <c r="T338" s="197"/>
      <c r="U338" s="197"/>
      <c r="V338" s="197"/>
      <c r="W338" s="197"/>
      <c r="X338" s="197"/>
      <c r="Y338" s="197"/>
      <c r="Z338" s="197"/>
      <c r="AA338" s="197"/>
      <c r="AB338" s="197"/>
      <c r="AC338" s="197"/>
      <c r="AD338" s="208"/>
      <c r="AE338" s="200"/>
      <c r="AF338" s="200"/>
    </row>
    <row r="339" spans="5:32" ht="15.75" x14ac:dyDescent="0.25">
      <c r="E339" s="261"/>
      <c r="F339" s="193"/>
      <c r="G339" s="194"/>
      <c r="H339" s="195"/>
      <c r="I339" s="202"/>
      <c r="O339" s="197"/>
      <c r="P339" s="197"/>
      <c r="Q339" s="197"/>
      <c r="R339" s="197"/>
      <c r="S339" s="197"/>
      <c r="T339" s="197"/>
      <c r="U339" s="197"/>
      <c r="V339" s="197"/>
      <c r="W339" s="197"/>
      <c r="X339" s="197"/>
      <c r="Y339" s="197"/>
      <c r="Z339" s="197"/>
      <c r="AA339" s="197"/>
      <c r="AB339" s="197"/>
      <c r="AC339" s="197"/>
      <c r="AD339" s="208"/>
      <c r="AE339" s="200"/>
      <c r="AF339" s="200"/>
    </row>
    <row r="340" spans="5:32" ht="15.75" x14ac:dyDescent="0.25">
      <c r="E340" s="261"/>
      <c r="F340" s="193"/>
      <c r="G340" s="194"/>
      <c r="H340" s="195"/>
      <c r="I340" s="202"/>
      <c r="O340" s="197"/>
      <c r="P340" s="197"/>
      <c r="Q340" s="197"/>
      <c r="R340" s="197"/>
      <c r="S340" s="197"/>
      <c r="T340" s="197"/>
      <c r="U340" s="197"/>
      <c r="V340" s="197"/>
      <c r="W340" s="197"/>
      <c r="X340" s="197"/>
      <c r="Y340" s="197"/>
      <c r="Z340" s="197"/>
      <c r="AA340" s="197"/>
      <c r="AB340" s="197"/>
      <c r="AC340" s="197"/>
      <c r="AD340" s="208"/>
      <c r="AE340" s="200"/>
      <c r="AF340" s="200"/>
    </row>
    <row r="341" spans="5:32" ht="15.75" x14ac:dyDescent="0.25">
      <c r="E341" s="261"/>
      <c r="F341" s="193"/>
      <c r="G341" s="194"/>
      <c r="H341" s="195"/>
      <c r="I341" s="202"/>
      <c r="O341" s="197"/>
      <c r="P341" s="197"/>
      <c r="Q341" s="197"/>
      <c r="R341" s="197"/>
      <c r="S341" s="197"/>
      <c r="T341" s="197"/>
      <c r="U341" s="197"/>
      <c r="V341" s="197"/>
      <c r="W341" s="197"/>
      <c r="X341" s="197"/>
      <c r="Y341" s="197"/>
      <c r="Z341" s="197"/>
      <c r="AA341" s="197"/>
      <c r="AB341" s="197"/>
      <c r="AC341" s="197"/>
      <c r="AD341" s="208"/>
      <c r="AE341" s="200"/>
      <c r="AF341" s="200"/>
    </row>
    <row r="342" spans="5:32" ht="15.75" x14ac:dyDescent="0.25">
      <c r="E342" s="261"/>
      <c r="F342" s="193"/>
      <c r="G342" s="194"/>
      <c r="H342" s="195"/>
      <c r="I342" s="202"/>
      <c r="O342" s="197"/>
      <c r="P342" s="197"/>
      <c r="Q342" s="197"/>
      <c r="R342" s="197"/>
      <c r="S342" s="197"/>
      <c r="T342" s="197"/>
      <c r="U342" s="197"/>
      <c r="V342" s="197"/>
      <c r="W342" s="197"/>
      <c r="X342" s="197"/>
      <c r="Y342" s="197"/>
      <c r="Z342" s="197"/>
      <c r="AA342" s="197"/>
      <c r="AB342" s="197"/>
      <c r="AC342" s="197"/>
      <c r="AD342" s="208"/>
      <c r="AE342" s="200"/>
      <c r="AF342" s="200"/>
    </row>
    <row r="343" spans="5:32" ht="15.75" x14ac:dyDescent="0.25">
      <c r="E343" s="261"/>
      <c r="F343" s="193"/>
      <c r="G343" s="194"/>
      <c r="H343" s="195"/>
      <c r="I343" s="202"/>
      <c r="O343" s="197"/>
      <c r="P343" s="197"/>
      <c r="Q343" s="197"/>
      <c r="R343" s="197"/>
      <c r="S343" s="197"/>
      <c r="T343" s="197"/>
      <c r="U343" s="197"/>
      <c r="V343" s="197"/>
      <c r="W343" s="197"/>
      <c r="X343" s="197"/>
      <c r="Y343" s="197"/>
      <c r="Z343" s="197"/>
      <c r="AA343" s="197"/>
      <c r="AB343" s="197"/>
      <c r="AC343" s="197"/>
      <c r="AD343" s="208"/>
      <c r="AE343" s="200"/>
      <c r="AF343" s="200"/>
    </row>
    <row r="344" spans="5:32" ht="15.75" x14ac:dyDescent="0.25">
      <c r="E344" s="261"/>
      <c r="F344" s="193"/>
      <c r="G344" s="194"/>
      <c r="H344" s="195"/>
      <c r="I344" s="202"/>
      <c r="O344" s="197"/>
      <c r="P344" s="197"/>
      <c r="Q344" s="197"/>
      <c r="R344" s="197"/>
      <c r="S344" s="197"/>
      <c r="T344" s="197"/>
      <c r="U344" s="197"/>
      <c r="V344" s="197"/>
      <c r="W344" s="197"/>
      <c r="X344" s="197"/>
      <c r="Y344" s="197"/>
      <c r="Z344" s="197"/>
      <c r="AA344" s="197"/>
      <c r="AB344" s="197"/>
      <c r="AC344" s="197"/>
      <c r="AD344" s="208"/>
      <c r="AE344" s="200"/>
      <c r="AF344" s="200"/>
    </row>
    <row r="345" spans="5:32" ht="15.75" x14ac:dyDescent="0.25">
      <c r="E345" s="261"/>
      <c r="F345" s="193"/>
      <c r="G345" s="194"/>
      <c r="H345" s="195"/>
      <c r="I345" s="202"/>
      <c r="O345" s="197"/>
      <c r="P345" s="197"/>
      <c r="Q345" s="197"/>
      <c r="R345" s="197"/>
      <c r="S345" s="197"/>
      <c r="T345" s="197"/>
      <c r="U345" s="197"/>
      <c r="V345" s="197"/>
      <c r="W345" s="197"/>
      <c r="X345" s="197"/>
      <c r="Y345" s="197"/>
      <c r="Z345" s="197"/>
      <c r="AA345" s="197"/>
      <c r="AB345" s="197"/>
      <c r="AC345" s="197"/>
      <c r="AD345" s="208"/>
      <c r="AE345" s="200"/>
      <c r="AF345" s="200"/>
    </row>
    <row r="346" spans="5:32" ht="15.75" x14ac:dyDescent="0.25">
      <c r="E346" s="261"/>
      <c r="F346" s="193"/>
      <c r="G346" s="194"/>
      <c r="H346" s="195"/>
      <c r="I346" s="202"/>
      <c r="O346" s="197"/>
      <c r="P346" s="197"/>
      <c r="Q346" s="197"/>
      <c r="R346" s="197"/>
      <c r="S346" s="197"/>
      <c r="T346" s="197"/>
      <c r="U346" s="197"/>
      <c r="V346" s="197"/>
      <c r="W346" s="197"/>
      <c r="X346" s="197"/>
      <c r="Y346" s="197"/>
      <c r="Z346" s="197"/>
      <c r="AA346" s="197"/>
      <c r="AB346" s="197"/>
      <c r="AC346" s="197"/>
      <c r="AD346" s="208"/>
      <c r="AE346" s="200"/>
      <c r="AF346" s="200"/>
    </row>
    <row r="347" spans="5:32" ht="15.75" x14ac:dyDescent="0.25">
      <c r="E347" s="261"/>
      <c r="F347" s="193"/>
      <c r="G347" s="194"/>
      <c r="H347" s="195"/>
      <c r="I347" s="202"/>
      <c r="O347" s="197"/>
      <c r="P347" s="197"/>
      <c r="Q347" s="197"/>
      <c r="R347" s="197"/>
      <c r="S347" s="197"/>
      <c r="T347" s="197"/>
      <c r="U347" s="197"/>
      <c r="V347" s="197"/>
      <c r="W347" s="197"/>
      <c r="X347" s="197"/>
      <c r="Y347" s="197"/>
      <c r="Z347" s="197"/>
      <c r="AA347" s="197"/>
      <c r="AB347" s="197"/>
      <c r="AC347" s="197"/>
      <c r="AD347" s="208"/>
      <c r="AE347" s="200"/>
      <c r="AF347" s="200"/>
    </row>
    <row r="348" spans="5:32" ht="15.75" x14ac:dyDescent="0.25">
      <c r="E348" s="261"/>
      <c r="F348" s="193"/>
      <c r="G348" s="194"/>
      <c r="H348" s="195"/>
      <c r="I348" s="202"/>
      <c r="O348" s="197"/>
      <c r="P348" s="197"/>
      <c r="Q348" s="197"/>
      <c r="R348" s="197"/>
      <c r="S348" s="197"/>
      <c r="T348" s="197"/>
      <c r="U348" s="197"/>
      <c r="V348" s="197"/>
      <c r="W348" s="197"/>
      <c r="X348" s="197"/>
      <c r="Y348" s="197"/>
      <c r="Z348" s="197"/>
      <c r="AA348" s="197"/>
      <c r="AB348" s="197"/>
      <c r="AC348" s="197"/>
      <c r="AD348" s="208"/>
      <c r="AE348" s="200"/>
      <c r="AF348" s="200"/>
    </row>
    <row r="349" spans="5:32" ht="15.75" x14ac:dyDescent="0.25">
      <c r="E349" s="261"/>
      <c r="F349" s="193"/>
      <c r="G349" s="194"/>
      <c r="H349" s="195"/>
      <c r="I349" s="202"/>
      <c r="O349" s="197"/>
      <c r="P349" s="197"/>
      <c r="Q349" s="197"/>
      <c r="R349" s="197"/>
      <c r="S349" s="197"/>
      <c r="T349" s="197"/>
      <c r="U349" s="197"/>
      <c r="V349" s="197"/>
      <c r="W349" s="197"/>
      <c r="X349" s="197"/>
      <c r="Y349" s="197"/>
      <c r="Z349" s="197"/>
      <c r="AA349" s="197"/>
      <c r="AB349" s="197"/>
      <c r="AC349" s="197"/>
      <c r="AD349" s="208"/>
      <c r="AE349" s="200"/>
      <c r="AF349" s="200"/>
    </row>
    <row r="350" spans="5:32" ht="15.75" x14ac:dyDescent="0.25">
      <c r="E350" s="261"/>
      <c r="F350" s="193"/>
      <c r="G350" s="194"/>
      <c r="H350" s="195"/>
      <c r="I350" s="202"/>
      <c r="O350" s="197"/>
      <c r="P350" s="197"/>
      <c r="Q350" s="197"/>
      <c r="R350" s="197"/>
      <c r="S350" s="197"/>
      <c r="T350" s="197"/>
      <c r="U350" s="197"/>
      <c r="V350" s="197"/>
      <c r="W350" s="197"/>
      <c r="X350" s="197"/>
      <c r="Y350" s="197"/>
      <c r="Z350" s="197"/>
      <c r="AA350" s="197"/>
      <c r="AB350" s="197"/>
      <c r="AC350" s="197"/>
      <c r="AD350" s="208"/>
      <c r="AE350" s="200"/>
      <c r="AF350" s="200"/>
    </row>
    <row r="351" spans="5:32" ht="15.75" x14ac:dyDescent="0.25">
      <c r="E351" s="261"/>
      <c r="F351" s="193"/>
      <c r="G351" s="194"/>
      <c r="H351" s="195"/>
      <c r="I351" s="202"/>
      <c r="O351" s="197"/>
      <c r="P351" s="197"/>
      <c r="Q351" s="197"/>
      <c r="R351" s="197"/>
      <c r="S351" s="197"/>
      <c r="T351" s="197"/>
      <c r="U351" s="197"/>
      <c r="V351" s="197"/>
      <c r="W351" s="197"/>
      <c r="X351" s="197"/>
      <c r="Y351" s="197"/>
      <c r="Z351" s="197"/>
      <c r="AA351" s="197"/>
      <c r="AB351" s="197"/>
      <c r="AC351" s="197"/>
      <c r="AD351" s="208"/>
      <c r="AE351" s="200"/>
      <c r="AF351" s="200"/>
    </row>
    <row r="352" spans="5:32" ht="15.75" x14ac:dyDescent="0.25">
      <c r="E352" s="261"/>
      <c r="F352" s="193"/>
      <c r="G352" s="194"/>
      <c r="H352" s="195"/>
      <c r="I352" s="202"/>
      <c r="O352" s="197"/>
      <c r="P352" s="197"/>
      <c r="Q352" s="197"/>
      <c r="R352" s="197"/>
      <c r="S352" s="197"/>
      <c r="T352" s="197"/>
      <c r="U352" s="197"/>
      <c r="V352" s="197"/>
      <c r="W352" s="197"/>
      <c r="X352" s="197"/>
      <c r="Y352" s="197"/>
      <c r="Z352" s="197"/>
      <c r="AA352" s="197"/>
      <c r="AB352" s="197"/>
      <c r="AC352" s="197"/>
      <c r="AD352" s="208"/>
      <c r="AE352" s="200"/>
      <c r="AF352" s="200"/>
    </row>
    <row r="353" spans="5:32" ht="15.75" x14ac:dyDescent="0.25">
      <c r="E353" s="261"/>
      <c r="F353" s="193"/>
      <c r="G353" s="194"/>
      <c r="H353" s="195"/>
      <c r="I353" s="202"/>
      <c r="O353" s="197"/>
      <c r="P353" s="197"/>
      <c r="Q353" s="197"/>
      <c r="R353" s="197"/>
      <c r="S353" s="197"/>
      <c r="T353" s="197"/>
      <c r="U353" s="197"/>
      <c r="V353" s="197"/>
      <c r="W353" s="197"/>
      <c r="X353" s="197"/>
      <c r="Y353" s="197"/>
      <c r="Z353" s="197"/>
      <c r="AA353" s="197"/>
      <c r="AB353" s="197"/>
      <c r="AC353" s="197"/>
      <c r="AD353" s="208"/>
      <c r="AE353" s="200"/>
      <c r="AF353" s="200"/>
    </row>
    <row r="354" spans="5:32" ht="15.75" x14ac:dyDescent="0.25">
      <c r="E354" s="261"/>
      <c r="F354" s="193"/>
      <c r="G354" s="194"/>
      <c r="H354" s="195"/>
      <c r="I354" s="202"/>
      <c r="O354" s="197"/>
      <c r="P354" s="197"/>
      <c r="Q354" s="197"/>
      <c r="R354" s="197"/>
      <c r="S354" s="197"/>
      <c r="T354" s="197"/>
      <c r="U354" s="197"/>
      <c r="V354" s="197"/>
      <c r="W354" s="197"/>
      <c r="X354" s="197"/>
      <c r="Y354" s="197"/>
      <c r="Z354" s="197"/>
      <c r="AA354" s="197"/>
      <c r="AB354" s="197"/>
      <c r="AC354" s="197"/>
      <c r="AD354" s="208"/>
      <c r="AE354" s="200"/>
      <c r="AF354" s="200"/>
    </row>
    <row r="355" spans="5:32" ht="15.75" x14ac:dyDescent="0.25">
      <c r="E355" s="261"/>
      <c r="F355" s="193"/>
      <c r="G355" s="194"/>
      <c r="H355" s="195"/>
      <c r="I355" s="202"/>
      <c r="O355" s="197"/>
      <c r="P355" s="197"/>
      <c r="Q355" s="197"/>
      <c r="R355" s="197"/>
      <c r="S355" s="197"/>
      <c r="T355" s="197"/>
      <c r="U355" s="197"/>
      <c r="V355" s="197"/>
      <c r="W355" s="197"/>
      <c r="X355" s="197"/>
      <c r="Y355" s="197"/>
      <c r="Z355" s="197"/>
      <c r="AA355" s="197"/>
      <c r="AB355" s="197"/>
      <c r="AC355" s="197"/>
      <c r="AD355" s="208"/>
      <c r="AE355" s="200"/>
      <c r="AF355" s="200"/>
    </row>
    <row r="356" spans="5:32" ht="15.75" x14ac:dyDescent="0.25">
      <c r="E356" s="261"/>
      <c r="F356" s="193"/>
      <c r="G356" s="194"/>
      <c r="H356" s="195"/>
      <c r="I356" s="202"/>
      <c r="O356" s="197"/>
      <c r="P356" s="197"/>
      <c r="Q356" s="197"/>
      <c r="R356" s="197"/>
      <c r="S356" s="197"/>
      <c r="T356" s="197"/>
      <c r="U356" s="197"/>
      <c r="V356" s="197"/>
      <c r="W356" s="197"/>
      <c r="X356" s="197"/>
      <c r="Y356" s="197"/>
      <c r="Z356" s="197"/>
      <c r="AA356" s="197"/>
      <c r="AB356" s="197"/>
      <c r="AC356" s="197"/>
      <c r="AD356" s="208"/>
      <c r="AE356" s="200"/>
      <c r="AF356" s="200"/>
    </row>
    <row r="357" spans="5:32" ht="15.75" x14ac:dyDescent="0.25">
      <c r="E357" s="261"/>
      <c r="F357" s="193"/>
      <c r="G357" s="194"/>
      <c r="H357" s="195"/>
      <c r="I357" s="202"/>
      <c r="O357" s="197"/>
      <c r="P357" s="197"/>
      <c r="Q357" s="197"/>
      <c r="R357" s="197"/>
      <c r="S357" s="197"/>
      <c r="T357" s="197"/>
      <c r="U357" s="197"/>
      <c r="V357" s="197"/>
      <c r="W357" s="197"/>
      <c r="X357" s="197"/>
      <c r="Y357" s="197"/>
      <c r="Z357" s="197"/>
      <c r="AA357" s="197"/>
      <c r="AB357" s="197"/>
      <c r="AC357" s="197"/>
      <c r="AD357" s="208"/>
      <c r="AE357" s="200"/>
      <c r="AF357" s="200"/>
    </row>
    <row r="358" spans="5:32" ht="15.75" x14ac:dyDescent="0.25">
      <c r="E358" s="261"/>
      <c r="F358" s="193"/>
      <c r="G358" s="194"/>
      <c r="H358" s="195"/>
      <c r="I358" s="202"/>
      <c r="O358" s="197"/>
      <c r="P358" s="197"/>
      <c r="Q358" s="197"/>
      <c r="R358" s="197"/>
      <c r="S358" s="197"/>
      <c r="T358" s="197"/>
      <c r="U358" s="197"/>
      <c r="V358" s="197"/>
      <c r="W358" s="197"/>
      <c r="X358" s="197"/>
      <c r="Y358" s="197"/>
      <c r="Z358" s="197"/>
      <c r="AA358" s="197"/>
      <c r="AB358" s="197"/>
      <c r="AC358" s="197"/>
      <c r="AD358" s="208"/>
      <c r="AE358" s="200"/>
      <c r="AF358" s="200"/>
    </row>
    <row r="359" spans="5:32" ht="15.75" x14ac:dyDescent="0.25">
      <c r="E359" s="261"/>
      <c r="F359" s="193"/>
      <c r="G359" s="194"/>
      <c r="H359" s="195"/>
      <c r="I359" s="202"/>
      <c r="O359" s="197"/>
      <c r="P359" s="197"/>
      <c r="Q359" s="197"/>
      <c r="R359" s="197"/>
      <c r="S359" s="197"/>
      <c r="T359" s="197"/>
      <c r="U359" s="197"/>
      <c r="V359" s="197"/>
      <c r="W359" s="197"/>
      <c r="X359" s="197"/>
      <c r="Y359" s="197"/>
      <c r="Z359" s="197"/>
      <c r="AA359" s="197"/>
      <c r="AB359" s="197"/>
      <c r="AC359" s="197"/>
      <c r="AD359" s="208"/>
      <c r="AE359" s="200"/>
      <c r="AF359" s="200"/>
    </row>
    <row r="360" spans="5:32" ht="15.75" x14ac:dyDescent="0.25">
      <c r="E360" s="261"/>
      <c r="F360" s="193"/>
      <c r="G360" s="194"/>
      <c r="H360" s="195"/>
      <c r="I360" s="202"/>
      <c r="O360" s="197"/>
      <c r="P360" s="197"/>
      <c r="Q360" s="197"/>
      <c r="R360" s="197"/>
      <c r="S360" s="197"/>
      <c r="T360" s="197"/>
      <c r="U360" s="197"/>
      <c r="V360" s="197"/>
      <c r="W360" s="197"/>
      <c r="X360" s="197"/>
      <c r="Y360" s="197"/>
      <c r="Z360" s="197"/>
      <c r="AA360" s="197"/>
      <c r="AB360" s="197"/>
      <c r="AC360" s="197"/>
      <c r="AD360" s="208"/>
      <c r="AE360" s="200"/>
      <c r="AF360" s="200"/>
    </row>
    <row r="361" spans="5:32" ht="15.75" x14ac:dyDescent="0.25">
      <c r="E361" s="261"/>
      <c r="F361" s="193"/>
      <c r="G361" s="194"/>
      <c r="H361" s="195"/>
      <c r="I361" s="202"/>
      <c r="O361" s="197"/>
      <c r="P361" s="197"/>
      <c r="Q361" s="197"/>
      <c r="R361" s="197"/>
      <c r="S361" s="197"/>
      <c r="T361" s="197"/>
      <c r="U361" s="197"/>
      <c r="V361" s="197"/>
      <c r="W361" s="197"/>
      <c r="X361" s="197"/>
      <c r="Y361" s="197"/>
      <c r="Z361" s="197"/>
      <c r="AA361" s="197"/>
      <c r="AB361" s="197"/>
      <c r="AC361" s="197"/>
      <c r="AD361" s="208"/>
      <c r="AE361" s="200"/>
      <c r="AF361" s="200"/>
    </row>
    <row r="362" spans="5:32" ht="15.75" x14ac:dyDescent="0.25">
      <c r="E362" s="261"/>
      <c r="F362" s="193"/>
      <c r="G362" s="194"/>
      <c r="H362" s="195"/>
      <c r="I362" s="202"/>
      <c r="O362" s="197"/>
      <c r="P362" s="197"/>
      <c r="Q362" s="197"/>
      <c r="R362" s="197"/>
      <c r="S362" s="197"/>
      <c r="T362" s="197"/>
      <c r="U362" s="197"/>
      <c r="V362" s="197"/>
      <c r="W362" s="197"/>
      <c r="X362" s="197"/>
      <c r="Y362" s="197"/>
      <c r="Z362" s="197"/>
      <c r="AA362" s="197"/>
      <c r="AB362" s="197"/>
      <c r="AC362" s="197"/>
      <c r="AD362" s="208"/>
      <c r="AE362" s="200"/>
      <c r="AF362" s="200"/>
    </row>
    <row r="363" spans="5:32" ht="15.75" x14ac:dyDescent="0.25">
      <c r="E363" s="261"/>
      <c r="F363" s="193"/>
      <c r="G363" s="194"/>
      <c r="H363" s="195"/>
      <c r="I363" s="202"/>
      <c r="O363" s="197"/>
      <c r="P363" s="197"/>
      <c r="Q363" s="197"/>
      <c r="R363" s="197"/>
      <c r="S363" s="197"/>
      <c r="T363" s="197"/>
      <c r="U363" s="197"/>
      <c r="V363" s="197"/>
      <c r="W363" s="197"/>
      <c r="X363" s="197"/>
      <c r="Y363" s="197"/>
      <c r="Z363" s="197"/>
      <c r="AA363" s="197"/>
      <c r="AB363" s="197"/>
      <c r="AC363" s="197"/>
      <c r="AD363" s="208"/>
      <c r="AE363" s="200"/>
      <c r="AF363" s="200"/>
    </row>
    <row r="364" spans="5:32" ht="15.75" x14ac:dyDescent="0.25">
      <c r="E364" s="262"/>
      <c r="F364" s="193"/>
      <c r="G364" s="194"/>
      <c r="H364" s="195"/>
      <c r="I364" s="206"/>
      <c r="O364" s="197"/>
      <c r="P364" s="207"/>
      <c r="Q364" s="207"/>
      <c r="R364" s="207"/>
      <c r="S364" s="197"/>
      <c r="T364" s="197"/>
      <c r="U364" s="197"/>
      <c r="V364" s="197"/>
      <c r="W364" s="197"/>
      <c r="X364" s="197"/>
      <c r="Y364" s="197"/>
      <c r="Z364" s="197"/>
      <c r="AA364" s="197"/>
      <c r="AB364" s="197"/>
      <c r="AC364" s="197"/>
      <c r="AD364" s="208"/>
      <c r="AE364" s="200"/>
      <c r="AF364" s="200"/>
    </row>
    <row r="365" spans="5:32" ht="15.75" x14ac:dyDescent="0.25">
      <c r="E365" s="262"/>
      <c r="F365" s="193"/>
      <c r="G365" s="194"/>
      <c r="H365" s="195"/>
      <c r="I365" s="206"/>
      <c r="O365" s="197"/>
      <c r="P365" s="207"/>
      <c r="Q365" s="207"/>
      <c r="R365" s="207"/>
      <c r="S365" s="197"/>
      <c r="T365" s="197"/>
      <c r="U365" s="197"/>
      <c r="V365" s="197"/>
      <c r="W365" s="197"/>
      <c r="X365" s="197"/>
      <c r="Y365" s="197"/>
      <c r="Z365" s="197"/>
      <c r="AA365" s="197"/>
      <c r="AB365" s="197"/>
      <c r="AC365" s="197"/>
      <c r="AD365" s="208"/>
      <c r="AE365" s="200"/>
      <c r="AF365" s="200"/>
    </row>
    <row r="366" spans="5:32" ht="15.75" x14ac:dyDescent="0.25">
      <c r="E366" s="261"/>
      <c r="F366" s="193"/>
      <c r="G366" s="194"/>
      <c r="H366" s="195"/>
      <c r="I366" s="202"/>
      <c r="O366" s="197"/>
      <c r="P366" s="197"/>
      <c r="Q366" s="197"/>
      <c r="R366" s="197"/>
      <c r="S366" s="197"/>
      <c r="T366" s="197"/>
      <c r="U366" s="197"/>
      <c r="V366" s="197"/>
      <c r="W366" s="197"/>
      <c r="X366" s="197"/>
      <c r="Y366" s="197"/>
      <c r="Z366" s="197"/>
      <c r="AA366" s="197"/>
      <c r="AB366" s="197"/>
      <c r="AC366" s="197"/>
      <c r="AD366" s="208"/>
      <c r="AE366" s="200"/>
      <c r="AF366" s="200"/>
    </row>
    <row r="367" spans="5:32" ht="15.75" x14ac:dyDescent="0.25">
      <c r="E367" s="261"/>
      <c r="F367" s="193"/>
      <c r="G367" s="194"/>
      <c r="H367" s="195"/>
      <c r="I367" s="202"/>
      <c r="O367" s="197"/>
      <c r="P367" s="197"/>
      <c r="Q367" s="197"/>
      <c r="R367" s="197"/>
      <c r="S367" s="197"/>
      <c r="T367" s="197"/>
      <c r="U367" s="197"/>
      <c r="V367" s="197"/>
      <c r="W367" s="197"/>
      <c r="X367" s="197"/>
      <c r="Y367" s="197"/>
      <c r="Z367" s="197"/>
      <c r="AA367" s="197"/>
      <c r="AB367" s="197"/>
      <c r="AC367" s="197"/>
      <c r="AD367" s="208"/>
      <c r="AE367" s="200"/>
      <c r="AF367" s="200"/>
    </row>
    <row r="368" spans="5:32" ht="15.75" x14ac:dyDescent="0.25">
      <c r="E368" s="261"/>
      <c r="F368" s="193"/>
      <c r="G368" s="194"/>
      <c r="H368" s="195"/>
      <c r="I368" s="202"/>
      <c r="O368" s="197"/>
      <c r="P368" s="197"/>
      <c r="Q368" s="197"/>
      <c r="R368" s="197"/>
      <c r="S368" s="197"/>
      <c r="T368" s="197"/>
      <c r="U368" s="197"/>
      <c r="V368" s="197"/>
      <c r="W368" s="197"/>
      <c r="X368" s="197"/>
      <c r="Y368" s="197"/>
      <c r="Z368" s="197"/>
      <c r="AA368" s="197"/>
      <c r="AB368" s="197"/>
      <c r="AC368" s="197"/>
      <c r="AD368" s="208"/>
      <c r="AE368" s="200"/>
      <c r="AF368" s="200"/>
    </row>
    <row r="369" spans="5:32" ht="15.75" x14ac:dyDescent="0.25">
      <c r="E369" s="261"/>
      <c r="F369" s="193"/>
      <c r="G369" s="194"/>
      <c r="H369" s="195"/>
      <c r="I369" s="202"/>
      <c r="O369" s="197"/>
      <c r="P369" s="197"/>
      <c r="Q369" s="197"/>
      <c r="R369" s="197"/>
      <c r="S369" s="197"/>
      <c r="T369" s="197"/>
      <c r="U369" s="197"/>
      <c r="V369" s="197"/>
      <c r="W369" s="197"/>
      <c r="X369" s="197"/>
      <c r="Y369" s="197"/>
      <c r="Z369" s="197"/>
      <c r="AA369" s="197"/>
      <c r="AB369" s="197"/>
      <c r="AC369" s="197"/>
      <c r="AD369" s="208"/>
      <c r="AE369" s="200"/>
      <c r="AF369" s="200"/>
    </row>
    <row r="370" spans="5:32" ht="15.75" x14ac:dyDescent="0.25">
      <c r="E370" s="261"/>
      <c r="F370" s="193"/>
      <c r="G370" s="194"/>
      <c r="H370" s="195"/>
      <c r="I370" s="202"/>
      <c r="O370" s="197"/>
      <c r="P370" s="197"/>
      <c r="Q370" s="197"/>
      <c r="R370" s="197"/>
      <c r="S370" s="197"/>
      <c r="T370" s="197"/>
      <c r="U370" s="197"/>
      <c r="V370" s="197"/>
      <c r="W370" s="197"/>
      <c r="X370" s="197"/>
      <c r="Y370" s="197"/>
      <c r="Z370" s="197"/>
      <c r="AA370" s="197"/>
      <c r="AB370" s="197"/>
      <c r="AC370" s="197"/>
      <c r="AD370" s="208"/>
      <c r="AE370" s="200"/>
      <c r="AF370" s="200"/>
    </row>
    <row r="371" spans="5:32" ht="15.75" x14ac:dyDescent="0.25">
      <c r="E371" s="261"/>
      <c r="F371" s="193"/>
      <c r="G371" s="194"/>
      <c r="H371" s="195"/>
      <c r="I371" s="202"/>
      <c r="O371" s="197"/>
      <c r="P371" s="197"/>
      <c r="Q371" s="197"/>
      <c r="R371" s="197"/>
      <c r="S371" s="197"/>
      <c r="T371" s="197"/>
      <c r="U371" s="197"/>
      <c r="V371" s="197"/>
      <c r="W371" s="197"/>
      <c r="X371" s="197"/>
      <c r="Y371" s="197"/>
      <c r="Z371" s="197"/>
      <c r="AA371" s="197"/>
      <c r="AB371" s="197"/>
      <c r="AC371" s="197"/>
      <c r="AD371" s="208"/>
      <c r="AE371" s="200"/>
      <c r="AF371" s="200"/>
    </row>
    <row r="372" spans="5:32" ht="15.75" x14ac:dyDescent="0.25">
      <c r="E372" s="261"/>
      <c r="F372" s="193"/>
      <c r="G372" s="194"/>
      <c r="H372" s="195"/>
      <c r="I372" s="202"/>
      <c r="O372" s="197"/>
      <c r="P372" s="197"/>
      <c r="Q372" s="197"/>
      <c r="R372" s="197"/>
      <c r="S372" s="197"/>
      <c r="T372" s="197"/>
      <c r="U372" s="197"/>
      <c r="V372" s="197"/>
      <c r="W372" s="197"/>
      <c r="X372" s="197"/>
      <c r="Y372" s="197"/>
      <c r="Z372" s="197"/>
      <c r="AA372" s="197"/>
      <c r="AB372" s="197"/>
      <c r="AC372" s="197"/>
      <c r="AD372" s="208"/>
      <c r="AE372" s="200"/>
      <c r="AF372" s="200"/>
    </row>
    <row r="373" spans="5:32" ht="15.75" x14ac:dyDescent="0.25">
      <c r="E373" s="261"/>
      <c r="F373" s="193"/>
      <c r="G373" s="194"/>
      <c r="H373" s="195"/>
      <c r="I373" s="202"/>
      <c r="O373" s="197"/>
      <c r="P373" s="197"/>
      <c r="Q373" s="197"/>
      <c r="R373" s="197"/>
      <c r="S373" s="197"/>
      <c r="T373" s="197"/>
      <c r="U373" s="197"/>
      <c r="V373" s="197"/>
      <c r="W373" s="197"/>
      <c r="X373" s="197"/>
      <c r="Y373" s="197"/>
      <c r="Z373" s="197"/>
      <c r="AA373" s="197"/>
      <c r="AB373" s="197"/>
      <c r="AC373" s="197"/>
      <c r="AD373" s="208"/>
      <c r="AE373" s="200"/>
      <c r="AF373" s="200"/>
    </row>
    <row r="374" spans="5:32" ht="15.75" x14ac:dyDescent="0.25">
      <c r="E374" s="261"/>
      <c r="F374" s="193"/>
      <c r="G374" s="194"/>
      <c r="H374" s="195"/>
      <c r="I374" s="202"/>
      <c r="O374" s="197"/>
      <c r="P374" s="197"/>
      <c r="Q374" s="197"/>
      <c r="R374" s="197"/>
      <c r="S374" s="197"/>
      <c r="T374" s="197"/>
      <c r="U374" s="197"/>
      <c r="V374" s="197"/>
      <c r="W374" s="197"/>
      <c r="X374" s="197"/>
      <c r="Y374" s="197"/>
      <c r="Z374" s="197"/>
      <c r="AA374" s="197"/>
      <c r="AB374" s="197"/>
      <c r="AC374" s="197"/>
      <c r="AD374" s="208"/>
      <c r="AE374" s="200"/>
      <c r="AF374" s="200"/>
    </row>
    <row r="375" spans="5:32" ht="15.75" x14ac:dyDescent="0.25">
      <c r="E375" s="261"/>
      <c r="F375" s="193"/>
      <c r="G375" s="194"/>
      <c r="H375" s="195"/>
      <c r="I375" s="202"/>
      <c r="O375" s="197"/>
      <c r="P375" s="197"/>
      <c r="Q375" s="197"/>
      <c r="R375" s="197"/>
      <c r="S375" s="197"/>
      <c r="T375" s="197"/>
      <c r="U375" s="197"/>
      <c r="V375" s="197"/>
      <c r="W375" s="197"/>
      <c r="X375" s="197"/>
      <c r="Y375" s="197"/>
      <c r="Z375" s="197"/>
      <c r="AA375" s="197"/>
      <c r="AB375" s="197"/>
      <c r="AC375" s="197"/>
      <c r="AD375" s="208"/>
      <c r="AE375" s="200"/>
      <c r="AF375" s="200"/>
    </row>
    <row r="376" spans="5:32" ht="15.75" x14ac:dyDescent="0.25">
      <c r="E376" s="261"/>
      <c r="F376" s="193"/>
      <c r="G376" s="194"/>
      <c r="H376" s="195"/>
      <c r="I376" s="202"/>
      <c r="O376" s="197"/>
      <c r="P376" s="197"/>
      <c r="Q376" s="197"/>
      <c r="R376" s="197"/>
      <c r="S376" s="197"/>
      <c r="T376" s="197"/>
      <c r="U376" s="197"/>
      <c r="V376" s="197"/>
      <c r="W376" s="197"/>
      <c r="X376" s="197"/>
      <c r="Y376" s="197"/>
      <c r="Z376" s="197"/>
      <c r="AA376" s="197"/>
      <c r="AB376" s="197"/>
      <c r="AC376" s="197"/>
      <c r="AD376" s="208"/>
      <c r="AE376" s="200"/>
      <c r="AF376" s="200"/>
    </row>
    <row r="377" spans="5:32" ht="15.75" x14ac:dyDescent="0.25">
      <c r="E377" s="261"/>
      <c r="F377" s="193"/>
      <c r="G377" s="194"/>
      <c r="H377" s="195"/>
      <c r="I377" s="202"/>
      <c r="O377" s="197"/>
      <c r="P377" s="197"/>
      <c r="Q377" s="197"/>
      <c r="R377" s="197"/>
      <c r="S377" s="197"/>
      <c r="T377" s="197"/>
      <c r="U377" s="197"/>
      <c r="V377" s="197"/>
      <c r="W377" s="197"/>
      <c r="X377" s="197"/>
      <c r="Y377" s="197"/>
      <c r="Z377" s="197"/>
      <c r="AA377" s="197"/>
      <c r="AB377" s="197"/>
      <c r="AC377" s="197"/>
      <c r="AD377" s="208"/>
      <c r="AE377" s="200"/>
      <c r="AF377" s="200"/>
    </row>
    <row r="378" spans="5:32" ht="15.75" x14ac:dyDescent="0.25">
      <c r="E378" s="261"/>
      <c r="F378" s="193"/>
      <c r="G378" s="194"/>
      <c r="H378" s="195"/>
      <c r="I378" s="202"/>
      <c r="O378" s="197"/>
      <c r="P378" s="197"/>
      <c r="Q378" s="197"/>
      <c r="R378" s="197"/>
      <c r="S378" s="197"/>
      <c r="T378" s="197"/>
      <c r="U378" s="197"/>
      <c r="V378" s="197"/>
      <c r="W378" s="197"/>
      <c r="X378" s="197"/>
      <c r="Y378" s="197"/>
      <c r="Z378" s="197"/>
      <c r="AA378" s="197"/>
      <c r="AB378" s="197"/>
      <c r="AC378" s="197"/>
      <c r="AD378" s="208"/>
      <c r="AE378" s="200"/>
      <c r="AF378" s="200"/>
    </row>
    <row r="379" spans="5:32" ht="15.75" x14ac:dyDescent="0.25">
      <c r="E379" s="261"/>
      <c r="F379" s="193"/>
      <c r="G379" s="194"/>
      <c r="H379" s="195"/>
      <c r="I379" s="202"/>
      <c r="O379" s="197"/>
      <c r="P379" s="197"/>
      <c r="Q379" s="197"/>
      <c r="R379" s="197"/>
      <c r="S379" s="197"/>
      <c r="T379" s="197"/>
      <c r="U379" s="197"/>
      <c r="V379" s="197"/>
      <c r="W379" s="197"/>
      <c r="X379" s="197"/>
      <c r="Y379" s="197"/>
      <c r="Z379" s="197"/>
      <c r="AA379" s="197"/>
      <c r="AB379" s="197"/>
      <c r="AC379" s="197"/>
      <c r="AD379" s="208"/>
      <c r="AE379" s="200"/>
      <c r="AF379" s="200"/>
    </row>
    <row r="380" spans="5:32" ht="15.75" x14ac:dyDescent="0.25">
      <c r="E380" s="261"/>
      <c r="F380" s="193"/>
      <c r="G380" s="194"/>
      <c r="H380" s="195"/>
      <c r="I380" s="202"/>
      <c r="O380" s="197"/>
      <c r="P380" s="197"/>
      <c r="Q380" s="197"/>
      <c r="R380" s="197"/>
      <c r="S380" s="197"/>
      <c r="T380" s="197"/>
      <c r="U380" s="197"/>
      <c r="V380" s="197"/>
      <c r="W380" s="197"/>
      <c r="X380" s="197"/>
      <c r="Y380" s="197"/>
      <c r="Z380" s="197"/>
      <c r="AA380" s="197"/>
      <c r="AB380" s="197"/>
      <c r="AC380" s="197"/>
      <c r="AD380" s="208"/>
      <c r="AE380" s="200"/>
      <c r="AF380" s="200"/>
    </row>
    <row r="381" spans="5:32" ht="15.75" x14ac:dyDescent="0.25">
      <c r="E381" s="261"/>
      <c r="F381" s="193"/>
      <c r="G381" s="194"/>
      <c r="H381" s="195"/>
      <c r="I381" s="202"/>
      <c r="O381" s="197"/>
      <c r="P381" s="197"/>
      <c r="Q381" s="197"/>
      <c r="R381" s="197"/>
      <c r="S381" s="197"/>
      <c r="T381" s="197"/>
      <c r="U381" s="197"/>
      <c r="V381" s="197"/>
      <c r="W381" s="197"/>
      <c r="X381" s="197"/>
      <c r="Y381" s="197"/>
      <c r="Z381" s="197"/>
      <c r="AA381" s="197"/>
      <c r="AB381" s="197"/>
      <c r="AC381" s="197"/>
      <c r="AD381" s="208"/>
      <c r="AE381" s="200"/>
      <c r="AF381" s="200"/>
    </row>
    <row r="382" spans="5:32" ht="15.75" x14ac:dyDescent="0.25">
      <c r="E382" s="261"/>
      <c r="F382" s="193"/>
      <c r="G382" s="194"/>
      <c r="H382" s="195"/>
      <c r="I382" s="202"/>
      <c r="O382" s="197"/>
      <c r="P382" s="197"/>
      <c r="Q382" s="197"/>
      <c r="R382" s="197"/>
      <c r="S382" s="197"/>
      <c r="T382" s="197"/>
      <c r="U382" s="197"/>
      <c r="V382" s="197"/>
      <c r="W382" s="197"/>
      <c r="X382" s="197"/>
      <c r="Y382" s="197"/>
      <c r="Z382" s="197"/>
      <c r="AA382" s="197"/>
      <c r="AB382" s="197"/>
      <c r="AC382" s="197"/>
      <c r="AD382" s="208"/>
      <c r="AE382" s="200"/>
      <c r="AF382" s="200"/>
    </row>
    <row r="383" spans="5:32" ht="15.75" x14ac:dyDescent="0.25">
      <c r="E383" s="261"/>
      <c r="F383" s="193"/>
      <c r="G383" s="194"/>
      <c r="H383" s="195"/>
      <c r="I383" s="202"/>
      <c r="O383" s="197"/>
      <c r="P383" s="197"/>
      <c r="Q383" s="197"/>
      <c r="R383" s="197"/>
      <c r="S383" s="197"/>
      <c r="T383" s="197"/>
      <c r="U383" s="197"/>
      <c r="V383" s="197"/>
      <c r="W383" s="197"/>
      <c r="X383" s="197"/>
      <c r="Y383" s="197"/>
      <c r="Z383" s="197"/>
      <c r="AA383" s="197"/>
      <c r="AB383" s="197"/>
      <c r="AC383" s="197"/>
      <c r="AD383" s="208"/>
      <c r="AE383" s="200"/>
      <c r="AF383" s="200"/>
    </row>
    <row r="384" spans="5:32" ht="15.75" x14ac:dyDescent="0.25">
      <c r="E384" s="261"/>
      <c r="F384" s="193"/>
      <c r="G384" s="194"/>
      <c r="H384" s="195"/>
      <c r="I384" s="202"/>
      <c r="O384" s="197"/>
      <c r="P384" s="197"/>
      <c r="Q384" s="197"/>
      <c r="R384" s="197"/>
      <c r="S384" s="197"/>
      <c r="T384" s="197"/>
      <c r="U384" s="197"/>
      <c r="V384" s="197"/>
      <c r="W384" s="197"/>
      <c r="X384" s="197"/>
      <c r="Y384" s="197"/>
      <c r="Z384" s="197"/>
      <c r="AA384" s="197"/>
      <c r="AB384" s="197"/>
      <c r="AC384" s="197"/>
      <c r="AD384" s="208"/>
      <c r="AE384" s="200"/>
      <c r="AF384" s="200"/>
    </row>
    <row r="385" spans="5:32" ht="15.75" x14ac:dyDescent="0.25">
      <c r="E385" s="261"/>
      <c r="F385" s="193"/>
      <c r="G385" s="194"/>
      <c r="H385" s="195"/>
      <c r="I385" s="202"/>
      <c r="O385" s="197"/>
      <c r="P385" s="197"/>
      <c r="Q385" s="197"/>
      <c r="R385" s="197"/>
      <c r="S385" s="197"/>
      <c r="T385" s="197"/>
      <c r="U385" s="197"/>
      <c r="V385" s="197"/>
      <c r="W385" s="197"/>
      <c r="X385" s="197"/>
      <c r="Y385" s="197"/>
      <c r="Z385" s="197"/>
      <c r="AA385" s="197"/>
      <c r="AB385" s="197"/>
      <c r="AC385" s="197"/>
      <c r="AD385" s="208"/>
      <c r="AE385" s="200"/>
      <c r="AF385" s="200"/>
    </row>
    <row r="386" spans="5:32" ht="15.75" x14ac:dyDescent="0.25">
      <c r="E386" s="261"/>
      <c r="F386" s="193"/>
      <c r="G386" s="194"/>
      <c r="H386" s="195"/>
      <c r="I386" s="202"/>
      <c r="O386" s="197"/>
      <c r="P386" s="197"/>
      <c r="Q386" s="197"/>
      <c r="R386" s="197"/>
      <c r="S386" s="197"/>
      <c r="T386" s="197"/>
      <c r="U386" s="197"/>
      <c r="V386" s="197"/>
      <c r="W386" s="197"/>
      <c r="X386" s="197"/>
      <c r="Y386" s="197"/>
      <c r="Z386" s="197"/>
      <c r="AA386" s="197"/>
      <c r="AB386" s="197"/>
      <c r="AC386" s="197"/>
      <c r="AD386" s="208"/>
      <c r="AE386" s="200"/>
      <c r="AF386" s="200"/>
    </row>
    <row r="387" spans="5:32" ht="15.75" x14ac:dyDescent="0.25">
      <c r="E387" s="261"/>
      <c r="F387" s="193"/>
      <c r="G387" s="194"/>
      <c r="H387" s="195"/>
      <c r="I387" s="202"/>
      <c r="O387" s="197"/>
      <c r="P387" s="197"/>
      <c r="Q387" s="197"/>
      <c r="R387" s="197"/>
      <c r="S387" s="197"/>
      <c r="T387" s="197"/>
      <c r="U387" s="197"/>
      <c r="V387" s="197"/>
      <c r="W387" s="197"/>
      <c r="X387" s="197"/>
      <c r="Y387" s="197"/>
      <c r="Z387" s="197"/>
      <c r="AA387" s="197"/>
      <c r="AB387" s="197"/>
      <c r="AC387" s="197"/>
      <c r="AD387" s="208"/>
      <c r="AE387" s="200"/>
      <c r="AF387" s="200"/>
    </row>
    <row r="388" spans="5:32" ht="15.75" x14ac:dyDescent="0.25">
      <c r="E388" s="261"/>
      <c r="F388" s="193"/>
      <c r="G388" s="194"/>
      <c r="H388" s="195"/>
      <c r="I388" s="202"/>
      <c r="O388" s="197"/>
      <c r="P388" s="197"/>
      <c r="Q388" s="197"/>
      <c r="R388" s="197"/>
      <c r="S388" s="197"/>
      <c r="T388" s="197"/>
      <c r="U388" s="197"/>
      <c r="V388" s="197"/>
      <c r="W388" s="197"/>
      <c r="X388" s="197"/>
      <c r="Y388" s="197"/>
      <c r="Z388" s="197"/>
      <c r="AA388" s="197"/>
      <c r="AB388" s="197"/>
      <c r="AC388" s="197"/>
      <c r="AD388" s="208"/>
      <c r="AE388" s="200"/>
      <c r="AF388" s="200"/>
    </row>
    <row r="389" spans="5:32" ht="15.75" x14ac:dyDescent="0.25">
      <c r="E389" s="261"/>
      <c r="F389" s="193"/>
      <c r="G389" s="194"/>
      <c r="H389" s="195"/>
      <c r="I389" s="202"/>
      <c r="O389" s="197"/>
      <c r="P389" s="197"/>
      <c r="Q389" s="197"/>
      <c r="R389" s="197"/>
      <c r="S389" s="197"/>
      <c r="T389" s="197"/>
      <c r="U389" s="197"/>
      <c r="V389" s="197"/>
      <c r="W389" s="197"/>
      <c r="X389" s="197"/>
      <c r="Y389" s="197"/>
      <c r="Z389" s="197"/>
      <c r="AA389" s="197"/>
      <c r="AB389" s="197"/>
      <c r="AC389" s="197"/>
      <c r="AD389" s="208"/>
      <c r="AE389" s="200"/>
      <c r="AF389" s="200"/>
    </row>
    <row r="390" spans="5:32" ht="15.75" x14ac:dyDescent="0.25">
      <c r="E390" s="261"/>
      <c r="F390" s="193"/>
      <c r="G390" s="194"/>
      <c r="H390" s="195"/>
      <c r="I390" s="202"/>
      <c r="O390" s="197"/>
      <c r="P390" s="197"/>
      <c r="Q390" s="197"/>
      <c r="R390" s="197"/>
      <c r="S390" s="197"/>
      <c r="T390" s="197"/>
      <c r="U390" s="197"/>
      <c r="V390" s="197"/>
      <c r="W390" s="197"/>
      <c r="X390" s="197"/>
      <c r="Y390" s="197"/>
      <c r="Z390" s="197"/>
      <c r="AA390" s="197"/>
      <c r="AB390" s="197"/>
      <c r="AC390" s="197"/>
      <c r="AD390" s="208"/>
      <c r="AE390" s="200"/>
      <c r="AF390" s="200"/>
    </row>
    <row r="391" spans="5:32" ht="15.75" x14ac:dyDescent="0.25">
      <c r="E391" s="261"/>
      <c r="F391" s="193"/>
      <c r="G391" s="194"/>
      <c r="H391" s="195"/>
      <c r="I391" s="202"/>
      <c r="O391" s="197"/>
      <c r="P391" s="197"/>
      <c r="Q391" s="197"/>
      <c r="R391" s="197"/>
      <c r="S391" s="197"/>
      <c r="T391" s="197"/>
      <c r="U391" s="197"/>
      <c r="V391" s="197"/>
      <c r="W391" s="197"/>
      <c r="X391" s="197"/>
      <c r="Y391" s="197"/>
      <c r="Z391" s="197"/>
      <c r="AA391" s="197"/>
      <c r="AB391" s="197"/>
      <c r="AC391" s="197"/>
      <c r="AD391" s="208"/>
      <c r="AE391" s="200"/>
      <c r="AF391" s="200"/>
    </row>
    <row r="392" spans="5:32" ht="15.75" x14ac:dyDescent="0.25">
      <c r="E392" s="261"/>
      <c r="F392" s="193"/>
      <c r="G392" s="194"/>
      <c r="H392" s="195"/>
      <c r="I392" s="202"/>
      <c r="O392" s="197"/>
      <c r="P392" s="197"/>
      <c r="Q392" s="197"/>
      <c r="R392" s="197"/>
      <c r="S392" s="197"/>
      <c r="T392" s="197"/>
      <c r="U392" s="197"/>
      <c r="V392" s="197"/>
      <c r="W392" s="197"/>
      <c r="X392" s="197"/>
      <c r="Y392" s="197"/>
      <c r="Z392" s="197"/>
      <c r="AA392" s="197"/>
      <c r="AB392" s="197"/>
      <c r="AC392" s="197"/>
      <c r="AD392" s="208"/>
      <c r="AE392" s="200"/>
      <c r="AF392" s="200"/>
    </row>
    <row r="393" spans="5:32" ht="15.75" x14ac:dyDescent="0.25">
      <c r="E393" s="261"/>
      <c r="F393" s="193"/>
      <c r="G393" s="194"/>
      <c r="H393" s="195"/>
      <c r="I393" s="202"/>
      <c r="O393" s="197"/>
      <c r="P393" s="197"/>
      <c r="Q393" s="197"/>
      <c r="R393" s="197"/>
      <c r="S393" s="197"/>
      <c r="T393" s="197"/>
      <c r="U393" s="197"/>
      <c r="V393" s="197"/>
      <c r="W393" s="197"/>
      <c r="X393" s="197"/>
      <c r="Y393" s="197"/>
      <c r="Z393" s="197"/>
      <c r="AA393" s="197"/>
      <c r="AB393" s="197"/>
      <c r="AC393" s="197"/>
      <c r="AD393" s="208"/>
      <c r="AE393" s="200"/>
      <c r="AF393" s="200"/>
    </row>
    <row r="394" spans="5:32" ht="15.75" x14ac:dyDescent="0.25">
      <c r="E394" s="261"/>
      <c r="F394" s="193"/>
      <c r="G394" s="194"/>
      <c r="H394" s="195"/>
      <c r="I394" s="202"/>
      <c r="O394" s="197"/>
      <c r="P394" s="197"/>
      <c r="Q394" s="197"/>
      <c r="R394" s="197"/>
      <c r="S394" s="197"/>
      <c r="T394" s="197"/>
      <c r="U394" s="197"/>
      <c r="V394" s="197"/>
      <c r="W394" s="197"/>
      <c r="X394" s="197"/>
      <c r="Y394" s="197"/>
      <c r="Z394" s="197"/>
      <c r="AA394" s="197"/>
      <c r="AB394" s="197"/>
      <c r="AC394" s="197"/>
      <c r="AD394" s="208"/>
      <c r="AE394" s="200"/>
      <c r="AF394" s="200"/>
    </row>
    <row r="395" spans="5:32" ht="15.75" x14ac:dyDescent="0.25">
      <c r="E395" s="261"/>
      <c r="F395" s="193"/>
      <c r="G395" s="194"/>
      <c r="H395" s="195"/>
      <c r="I395" s="202"/>
      <c r="O395" s="197"/>
      <c r="P395" s="197"/>
      <c r="Q395" s="197"/>
      <c r="R395" s="197"/>
      <c r="S395" s="197"/>
      <c r="T395" s="197"/>
      <c r="U395" s="197"/>
      <c r="V395" s="197"/>
      <c r="W395" s="197"/>
      <c r="X395" s="197"/>
      <c r="Y395" s="197"/>
      <c r="Z395" s="197"/>
      <c r="AA395" s="197"/>
      <c r="AB395" s="197"/>
      <c r="AC395" s="197"/>
      <c r="AD395" s="208"/>
      <c r="AE395" s="200"/>
      <c r="AF395" s="200"/>
    </row>
    <row r="396" spans="5:32" ht="15.75" x14ac:dyDescent="0.25">
      <c r="E396" s="261"/>
      <c r="F396" s="193"/>
      <c r="G396" s="194"/>
      <c r="H396" s="195"/>
      <c r="I396" s="202"/>
      <c r="O396" s="197"/>
      <c r="P396" s="197"/>
      <c r="Q396" s="197"/>
      <c r="R396" s="197"/>
      <c r="S396" s="197"/>
      <c r="T396" s="197"/>
      <c r="U396" s="197"/>
      <c r="V396" s="197"/>
      <c r="W396" s="197"/>
      <c r="X396" s="197"/>
      <c r="Y396" s="197"/>
      <c r="Z396" s="197"/>
      <c r="AA396" s="197"/>
      <c r="AB396" s="197"/>
      <c r="AC396" s="197"/>
      <c r="AD396" s="208"/>
      <c r="AE396" s="200"/>
      <c r="AF396" s="200"/>
    </row>
    <row r="397" spans="5:32" ht="15.75" x14ac:dyDescent="0.25">
      <c r="E397" s="261"/>
      <c r="F397" s="193"/>
      <c r="G397" s="194"/>
      <c r="H397" s="195"/>
      <c r="I397" s="202"/>
      <c r="O397" s="197"/>
      <c r="P397" s="197"/>
      <c r="Q397" s="197"/>
      <c r="R397" s="197"/>
      <c r="S397" s="197"/>
      <c r="T397" s="197"/>
      <c r="U397" s="197"/>
      <c r="V397" s="197"/>
      <c r="W397" s="197"/>
      <c r="X397" s="197"/>
      <c r="Y397" s="197"/>
      <c r="Z397" s="197"/>
      <c r="AA397" s="197"/>
      <c r="AB397" s="197"/>
      <c r="AC397" s="197"/>
      <c r="AD397" s="208"/>
      <c r="AE397" s="200"/>
      <c r="AF397" s="200"/>
    </row>
    <row r="398" spans="5:32" ht="15.75" x14ac:dyDescent="0.25">
      <c r="E398" s="261"/>
      <c r="F398" s="193"/>
      <c r="G398" s="194"/>
      <c r="H398" s="195"/>
      <c r="I398" s="202"/>
      <c r="O398" s="197"/>
      <c r="P398" s="197"/>
      <c r="Q398" s="197"/>
      <c r="R398" s="197"/>
      <c r="S398" s="197"/>
      <c r="T398" s="197"/>
      <c r="U398" s="197"/>
      <c r="V398" s="197"/>
      <c r="W398" s="197"/>
      <c r="X398" s="197"/>
      <c r="Y398" s="197"/>
      <c r="Z398" s="197"/>
      <c r="AA398" s="197"/>
      <c r="AB398" s="197"/>
      <c r="AC398" s="197"/>
      <c r="AD398" s="208"/>
      <c r="AE398" s="200"/>
      <c r="AF398" s="200"/>
    </row>
    <row r="399" spans="5:32" ht="15.75" x14ac:dyDescent="0.25">
      <c r="E399" s="261"/>
      <c r="F399" s="193"/>
      <c r="G399" s="194"/>
      <c r="H399" s="195"/>
      <c r="I399" s="202"/>
      <c r="O399" s="197"/>
      <c r="P399" s="197"/>
      <c r="Q399" s="197"/>
      <c r="R399" s="197"/>
      <c r="S399" s="197"/>
      <c r="T399" s="197"/>
      <c r="U399" s="197"/>
      <c r="V399" s="197"/>
      <c r="W399" s="197"/>
      <c r="X399" s="197"/>
      <c r="Y399" s="197"/>
      <c r="Z399" s="197"/>
      <c r="AA399" s="197"/>
      <c r="AB399" s="197"/>
      <c r="AC399" s="197"/>
      <c r="AD399" s="208"/>
      <c r="AE399" s="200"/>
      <c r="AF399" s="200"/>
    </row>
    <row r="400" spans="5:32" ht="15.75" x14ac:dyDescent="0.25">
      <c r="E400" s="261"/>
      <c r="F400" s="193"/>
      <c r="G400" s="194"/>
      <c r="H400" s="195"/>
      <c r="I400" s="202"/>
      <c r="O400" s="197"/>
      <c r="P400" s="197"/>
      <c r="Q400" s="197"/>
      <c r="R400" s="197"/>
      <c r="S400" s="197"/>
      <c r="T400" s="197"/>
      <c r="U400" s="197"/>
      <c r="V400" s="197"/>
      <c r="W400" s="197"/>
      <c r="X400" s="197"/>
      <c r="Y400" s="197"/>
      <c r="Z400" s="197"/>
      <c r="AA400" s="197"/>
      <c r="AB400" s="197"/>
      <c r="AC400" s="197"/>
      <c r="AD400" s="208"/>
      <c r="AE400" s="200"/>
      <c r="AF400" s="200"/>
    </row>
    <row r="401" spans="5:32" ht="15.75" x14ac:dyDescent="0.25">
      <c r="E401" s="261"/>
      <c r="F401" s="193"/>
      <c r="G401" s="194"/>
      <c r="H401" s="195"/>
      <c r="I401" s="202"/>
      <c r="O401" s="197"/>
      <c r="P401" s="197"/>
      <c r="Q401" s="197"/>
      <c r="R401" s="197"/>
      <c r="S401" s="197"/>
      <c r="T401" s="197"/>
      <c r="U401" s="197"/>
      <c r="V401" s="197"/>
      <c r="W401" s="197"/>
      <c r="X401" s="197"/>
      <c r="Y401" s="197"/>
      <c r="Z401" s="197"/>
      <c r="AA401" s="197"/>
      <c r="AB401" s="197"/>
      <c r="AC401" s="197"/>
      <c r="AD401" s="208"/>
      <c r="AE401" s="200"/>
      <c r="AF401" s="200"/>
    </row>
    <row r="402" spans="5:32" ht="15.75" x14ac:dyDescent="0.25">
      <c r="E402" s="261"/>
      <c r="F402" s="193"/>
      <c r="G402" s="194"/>
      <c r="H402" s="195"/>
      <c r="I402" s="202"/>
      <c r="O402" s="197"/>
      <c r="P402" s="197"/>
      <c r="Q402" s="197"/>
      <c r="R402" s="197"/>
      <c r="S402" s="197"/>
      <c r="T402" s="197"/>
      <c r="U402" s="197"/>
      <c r="V402" s="197"/>
      <c r="W402" s="197"/>
      <c r="X402" s="197"/>
      <c r="Y402" s="197"/>
      <c r="Z402" s="197"/>
      <c r="AA402" s="197"/>
      <c r="AB402" s="197"/>
      <c r="AC402" s="197"/>
      <c r="AD402" s="208"/>
      <c r="AE402" s="200"/>
      <c r="AF402" s="200"/>
    </row>
    <row r="403" spans="5:32" ht="15.75" x14ac:dyDescent="0.25">
      <c r="E403" s="261"/>
      <c r="F403" s="193"/>
      <c r="G403" s="194"/>
      <c r="H403" s="195"/>
      <c r="I403" s="202"/>
      <c r="O403" s="197"/>
      <c r="P403" s="197"/>
      <c r="Q403" s="197"/>
      <c r="R403" s="197"/>
      <c r="S403" s="197"/>
      <c r="T403" s="197"/>
      <c r="U403" s="197"/>
      <c r="V403" s="197"/>
      <c r="W403" s="197"/>
      <c r="X403" s="197"/>
      <c r="Y403" s="197"/>
      <c r="Z403" s="197"/>
      <c r="AA403" s="197"/>
      <c r="AB403" s="197"/>
      <c r="AC403" s="197"/>
      <c r="AD403" s="208"/>
      <c r="AE403" s="200"/>
      <c r="AF403" s="200"/>
    </row>
    <row r="404" spans="5:32" ht="15.75" x14ac:dyDescent="0.25">
      <c r="E404" s="261"/>
      <c r="F404" s="193"/>
      <c r="G404" s="194"/>
      <c r="H404" s="195"/>
      <c r="I404" s="202"/>
      <c r="O404" s="197"/>
      <c r="P404" s="197"/>
      <c r="Q404" s="197"/>
      <c r="R404" s="197"/>
      <c r="S404" s="197"/>
      <c r="T404" s="197"/>
      <c r="U404" s="197"/>
      <c r="V404" s="197"/>
      <c r="W404" s="197"/>
      <c r="X404" s="197"/>
      <c r="Y404" s="197"/>
      <c r="Z404" s="197"/>
      <c r="AA404" s="197"/>
      <c r="AB404" s="197"/>
      <c r="AC404" s="197"/>
      <c r="AD404" s="208"/>
      <c r="AE404" s="200"/>
      <c r="AF404" s="200"/>
    </row>
    <row r="405" spans="5:32" ht="15.75" x14ac:dyDescent="0.25">
      <c r="E405" s="261"/>
      <c r="F405" s="193"/>
      <c r="G405" s="194"/>
      <c r="H405" s="195"/>
      <c r="I405" s="202"/>
      <c r="O405" s="197"/>
      <c r="P405" s="197"/>
      <c r="Q405" s="197"/>
      <c r="R405" s="197"/>
      <c r="S405" s="197"/>
      <c r="T405" s="197"/>
      <c r="U405" s="197"/>
      <c r="V405" s="197"/>
      <c r="W405" s="197"/>
      <c r="X405" s="197"/>
      <c r="Y405" s="197"/>
      <c r="Z405" s="197"/>
      <c r="AA405" s="197"/>
      <c r="AB405" s="197"/>
      <c r="AC405" s="197"/>
      <c r="AD405" s="208"/>
      <c r="AE405" s="200"/>
      <c r="AF405" s="200"/>
    </row>
    <row r="406" spans="5:32" ht="15.75" x14ac:dyDescent="0.25">
      <c r="E406" s="261"/>
      <c r="F406" s="193"/>
      <c r="G406" s="194"/>
      <c r="H406" s="195"/>
      <c r="I406" s="202"/>
      <c r="O406" s="197"/>
      <c r="P406" s="197"/>
      <c r="Q406" s="197"/>
      <c r="R406" s="197"/>
      <c r="S406" s="197"/>
      <c r="T406" s="197"/>
      <c r="U406" s="197"/>
      <c r="V406" s="197"/>
      <c r="W406" s="197"/>
      <c r="X406" s="197"/>
      <c r="Y406" s="197"/>
      <c r="Z406" s="197"/>
      <c r="AA406" s="197"/>
      <c r="AB406" s="197"/>
      <c r="AC406" s="197"/>
      <c r="AD406" s="208"/>
      <c r="AE406" s="200"/>
      <c r="AF406" s="200"/>
    </row>
    <row r="407" spans="5:32" ht="15.75" x14ac:dyDescent="0.25">
      <c r="E407" s="261"/>
      <c r="F407" s="193"/>
      <c r="G407" s="194"/>
      <c r="H407" s="195"/>
      <c r="I407" s="202"/>
      <c r="O407" s="197"/>
      <c r="P407" s="197"/>
      <c r="Q407" s="197"/>
      <c r="R407" s="197"/>
      <c r="S407" s="197"/>
      <c r="T407" s="197"/>
      <c r="U407" s="197"/>
      <c r="V407" s="197"/>
      <c r="W407" s="197"/>
      <c r="X407" s="197"/>
      <c r="Y407" s="197"/>
      <c r="Z407" s="197"/>
      <c r="AA407" s="197"/>
      <c r="AB407" s="197"/>
      <c r="AC407" s="197"/>
      <c r="AD407" s="208"/>
      <c r="AE407" s="200"/>
      <c r="AF407" s="200"/>
    </row>
    <row r="408" spans="5:32" ht="15.75" x14ac:dyDescent="0.25">
      <c r="E408" s="261"/>
      <c r="F408" s="193"/>
      <c r="G408" s="194"/>
      <c r="H408" s="195"/>
      <c r="I408" s="202"/>
      <c r="O408" s="197"/>
      <c r="P408" s="197"/>
      <c r="Q408" s="197"/>
      <c r="R408" s="197"/>
      <c r="S408" s="197"/>
      <c r="T408" s="197"/>
      <c r="U408" s="197"/>
      <c r="V408" s="197"/>
      <c r="W408" s="197"/>
      <c r="X408" s="197"/>
      <c r="Y408" s="197"/>
      <c r="Z408" s="197"/>
      <c r="AA408" s="197"/>
      <c r="AB408" s="197"/>
      <c r="AC408" s="197"/>
      <c r="AD408" s="208"/>
      <c r="AE408" s="200"/>
      <c r="AF408" s="200"/>
    </row>
    <row r="409" spans="5:32" ht="15.75" x14ac:dyDescent="0.25">
      <c r="E409" s="261"/>
      <c r="F409" s="193"/>
      <c r="G409" s="194"/>
      <c r="H409" s="195"/>
      <c r="I409" s="202"/>
      <c r="O409" s="197"/>
      <c r="P409" s="197"/>
      <c r="Q409" s="197"/>
      <c r="R409" s="197"/>
      <c r="S409" s="197"/>
      <c r="T409" s="197"/>
      <c r="U409" s="197"/>
      <c r="V409" s="197"/>
      <c r="W409" s="197"/>
      <c r="X409" s="197"/>
      <c r="Y409" s="197"/>
      <c r="Z409" s="197"/>
      <c r="AA409" s="197"/>
      <c r="AB409" s="197"/>
      <c r="AC409" s="197"/>
      <c r="AD409" s="208"/>
      <c r="AE409" s="200"/>
      <c r="AF409" s="200"/>
    </row>
    <row r="410" spans="5:32" ht="15.75" x14ac:dyDescent="0.25">
      <c r="E410" s="261"/>
      <c r="F410" s="193"/>
      <c r="G410" s="194"/>
      <c r="H410" s="195"/>
      <c r="I410" s="202"/>
      <c r="O410" s="197"/>
      <c r="P410" s="197"/>
      <c r="Q410" s="197"/>
      <c r="R410" s="197"/>
      <c r="S410" s="197"/>
      <c r="T410" s="197"/>
      <c r="U410" s="197"/>
      <c r="V410" s="197"/>
      <c r="W410" s="197"/>
      <c r="X410" s="197"/>
      <c r="Y410" s="197"/>
      <c r="Z410" s="197"/>
      <c r="AA410" s="197"/>
      <c r="AB410" s="197"/>
      <c r="AC410" s="197"/>
      <c r="AD410" s="208"/>
      <c r="AE410" s="200"/>
      <c r="AF410" s="200"/>
    </row>
    <row r="411" spans="5:32" ht="15.75" x14ac:dyDescent="0.25">
      <c r="E411" s="261"/>
      <c r="F411" s="193"/>
      <c r="G411" s="194"/>
      <c r="H411" s="195"/>
      <c r="I411" s="202"/>
      <c r="O411" s="197"/>
      <c r="P411" s="197"/>
      <c r="Q411" s="197"/>
      <c r="R411" s="197"/>
      <c r="S411" s="197"/>
      <c r="T411" s="197"/>
      <c r="U411" s="197"/>
      <c r="V411" s="197"/>
      <c r="W411" s="197"/>
      <c r="X411" s="197"/>
      <c r="Y411" s="197"/>
      <c r="Z411" s="197"/>
      <c r="AA411" s="197"/>
      <c r="AB411" s="197"/>
      <c r="AC411" s="197"/>
      <c r="AD411" s="208"/>
      <c r="AE411" s="200"/>
      <c r="AF411" s="200"/>
    </row>
    <row r="412" spans="5:32" ht="15.75" x14ac:dyDescent="0.25">
      <c r="E412" s="261"/>
      <c r="F412" s="193"/>
      <c r="G412" s="194"/>
      <c r="H412" s="195"/>
      <c r="I412" s="202"/>
      <c r="O412" s="197"/>
      <c r="P412" s="197"/>
      <c r="Q412" s="197"/>
      <c r="R412" s="197"/>
      <c r="S412" s="197"/>
      <c r="T412" s="197"/>
      <c r="U412" s="197"/>
      <c r="V412" s="197"/>
      <c r="W412" s="197"/>
      <c r="X412" s="197"/>
      <c r="Y412" s="197"/>
      <c r="Z412" s="197"/>
      <c r="AA412" s="197"/>
      <c r="AB412" s="197"/>
      <c r="AC412" s="197"/>
      <c r="AD412" s="208"/>
      <c r="AE412" s="200"/>
      <c r="AF412" s="200"/>
    </row>
    <row r="413" spans="5:32" ht="15.75" x14ac:dyDescent="0.25">
      <c r="E413" s="261"/>
      <c r="F413" s="193"/>
      <c r="G413" s="194"/>
      <c r="H413" s="195"/>
      <c r="I413" s="202"/>
      <c r="O413" s="197"/>
      <c r="P413" s="197"/>
      <c r="Q413" s="197"/>
      <c r="R413" s="197"/>
      <c r="S413" s="197"/>
      <c r="T413" s="197"/>
      <c r="U413" s="197"/>
      <c r="V413" s="197"/>
      <c r="W413" s="197"/>
      <c r="X413" s="197"/>
      <c r="Y413" s="197"/>
      <c r="Z413" s="197"/>
      <c r="AA413" s="197"/>
      <c r="AB413" s="197"/>
      <c r="AC413" s="197"/>
      <c r="AD413" s="208"/>
      <c r="AE413" s="200"/>
      <c r="AF413" s="200"/>
    </row>
    <row r="414" spans="5:32" ht="15.75" x14ac:dyDescent="0.25">
      <c r="E414" s="261"/>
      <c r="F414" s="193"/>
      <c r="G414" s="194"/>
      <c r="H414" s="195"/>
      <c r="I414" s="202"/>
      <c r="O414" s="197"/>
      <c r="P414" s="197"/>
      <c r="Q414" s="197"/>
      <c r="R414" s="197"/>
      <c r="S414" s="197"/>
      <c r="T414" s="197"/>
      <c r="U414" s="197"/>
      <c r="V414" s="197"/>
      <c r="W414" s="197"/>
      <c r="X414" s="197"/>
      <c r="Y414" s="197"/>
      <c r="Z414" s="197"/>
      <c r="AA414" s="197"/>
      <c r="AB414" s="197"/>
      <c r="AC414" s="197"/>
      <c r="AD414" s="208"/>
      <c r="AE414" s="200"/>
      <c r="AF414" s="200"/>
    </row>
    <row r="415" spans="5:32" ht="15.75" x14ac:dyDescent="0.25">
      <c r="E415" s="261"/>
      <c r="F415" s="193"/>
      <c r="G415" s="194"/>
      <c r="H415" s="195"/>
      <c r="I415" s="202"/>
      <c r="O415" s="197"/>
      <c r="P415" s="197"/>
      <c r="Q415" s="197"/>
      <c r="R415" s="197"/>
      <c r="S415" s="197"/>
      <c r="T415" s="197"/>
      <c r="U415" s="197"/>
      <c r="V415" s="197"/>
      <c r="W415" s="197"/>
      <c r="X415" s="197"/>
      <c r="Y415" s="197"/>
      <c r="Z415" s="197"/>
      <c r="AA415" s="197"/>
      <c r="AB415" s="197"/>
      <c r="AC415" s="197"/>
      <c r="AD415" s="208"/>
      <c r="AE415" s="200"/>
      <c r="AF415" s="200"/>
    </row>
    <row r="416" spans="5:32" ht="15.75" x14ac:dyDescent="0.25">
      <c r="E416" s="261"/>
      <c r="F416" s="193"/>
      <c r="G416" s="194"/>
      <c r="H416" s="195"/>
      <c r="I416" s="202"/>
      <c r="O416" s="197"/>
      <c r="P416" s="197"/>
      <c r="Q416" s="197"/>
      <c r="R416" s="197"/>
      <c r="S416" s="197"/>
      <c r="T416" s="197"/>
      <c r="U416" s="197"/>
      <c r="V416" s="197"/>
      <c r="W416" s="197"/>
      <c r="X416" s="197"/>
      <c r="Y416" s="197"/>
      <c r="Z416" s="197"/>
      <c r="AA416" s="197"/>
      <c r="AB416" s="197"/>
      <c r="AC416" s="197"/>
      <c r="AD416" s="208"/>
      <c r="AE416" s="200"/>
      <c r="AF416" s="200"/>
    </row>
    <row r="417" spans="5:32" ht="15.75" x14ac:dyDescent="0.25">
      <c r="E417" s="261"/>
      <c r="F417" s="193"/>
      <c r="G417" s="194"/>
      <c r="H417" s="195"/>
      <c r="I417" s="202"/>
      <c r="O417" s="197"/>
      <c r="P417" s="197"/>
      <c r="Q417" s="197"/>
      <c r="R417" s="197"/>
      <c r="S417" s="197"/>
      <c r="T417" s="197"/>
      <c r="U417" s="197"/>
      <c r="V417" s="197"/>
      <c r="W417" s="197"/>
      <c r="X417" s="197"/>
      <c r="Y417" s="197"/>
      <c r="Z417" s="197"/>
      <c r="AA417" s="197"/>
      <c r="AB417" s="197"/>
      <c r="AC417" s="197"/>
      <c r="AD417" s="208"/>
      <c r="AE417" s="200"/>
      <c r="AF417" s="200"/>
    </row>
    <row r="418" spans="5:32" ht="15.75" x14ac:dyDescent="0.25">
      <c r="E418" s="261"/>
      <c r="F418" s="193"/>
      <c r="G418" s="194"/>
      <c r="H418" s="195"/>
      <c r="I418" s="202"/>
      <c r="O418" s="197"/>
      <c r="P418" s="197"/>
      <c r="Q418" s="197"/>
      <c r="R418" s="197"/>
      <c r="S418" s="197"/>
      <c r="T418" s="197"/>
      <c r="U418" s="197"/>
      <c r="V418" s="197"/>
      <c r="W418" s="197"/>
      <c r="X418" s="197"/>
      <c r="Y418" s="197"/>
      <c r="Z418" s="197"/>
      <c r="AA418" s="197"/>
      <c r="AB418" s="197"/>
      <c r="AC418" s="197"/>
      <c r="AD418" s="208"/>
      <c r="AE418" s="200"/>
      <c r="AF418" s="200"/>
    </row>
    <row r="419" spans="5:32" ht="15.75" x14ac:dyDescent="0.25">
      <c r="E419" s="261"/>
      <c r="F419" s="193"/>
      <c r="G419" s="194"/>
      <c r="H419" s="195"/>
      <c r="I419" s="202"/>
      <c r="O419" s="197"/>
      <c r="P419" s="197"/>
      <c r="Q419" s="197"/>
      <c r="R419" s="197"/>
      <c r="S419" s="197"/>
      <c r="T419" s="197"/>
      <c r="U419" s="197"/>
      <c r="V419" s="197"/>
      <c r="W419" s="197"/>
      <c r="X419" s="197"/>
      <c r="Y419" s="197"/>
      <c r="Z419" s="197"/>
      <c r="AA419" s="197"/>
      <c r="AB419" s="197"/>
      <c r="AC419" s="197"/>
      <c r="AD419" s="208"/>
      <c r="AE419" s="200"/>
      <c r="AF419" s="200"/>
    </row>
    <row r="420" spans="5:32" ht="15.75" x14ac:dyDescent="0.25">
      <c r="E420" s="261"/>
      <c r="F420" s="193"/>
      <c r="G420" s="194"/>
      <c r="H420" s="195"/>
      <c r="I420" s="202"/>
      <c r="O420" s="197"/>
      <c r="P420" s="197"/>
      <c r="Q420" s="197"/>
      <c r="R420" s="197"/>
      <c r="S420" s="197"/>
      <c r="T420" s="197"/>
      <c r="U420" s="197"/>
      <c r="V420" s="197"/>
      <c r="W420" s="197"/>
      <c r="X420" s="197"/>
      <c r="Y420" s="197"/>
      <c r="Z420" s="197"/>
      <c r="AA420" s="197"/>
      <c r="AB420" s="197"/>
      <c r="AC420" s="197"/>
      <c r="AD420" s="208"/>
      <c r="AE420" s="200"/>
      <c r="AF420" s="200"/>
    </row>
    <row r="421" spans="5:32" ht="15.75" x14ac:dyDescent="0.25">
      <c r="E421" s="261"/>
      <c r="F421" s="193"/>
      <c r="G421" s="194"/>
      <c r="H421" s="195"/>
      <c r="I421" s="202"/>
      <c r="O421" s="197"/>
      <c r="P421" s="197"/>
      <c r="Q421" s="197"/>
      <c r="R421" s="197"/>
      <c r="S421" s="197"/>
      <c r="T421" s="197"/>
      <c r="U421" s="197"/>
      <c r="V421" s="197"/>
      <c r="W421" s="197"/>
      <c r="X421" s="197"/>
      <c r="Y421" s="197"/>
      <c r="Z421" s="197"/>
      <c r="AA421" s="197"/>
      <c r="AB421" s="197"/>
      <c r="AC421" s="197"/>
      <c r="AD421" s="208"/>
      <c r="AE421" s="200"/>
      <c r="AF421" s="200"/>
    </row>
    <row r="422" spans="5:32" ht="15.75" x14ac:dyDescent="0.25">
      <c r="E422" s="261"/>
      <c r="F422" s="193"/>
      <c r="G422" s="194"/>
      <c r="H422" s="195"/>
      <c r="I422" s="202"/>
      <c r="O422" s="197"/>
      <c r="P422" s="197"/>
      <c r="Q422" s="197"/>
      <c r="R422" s="197"/>
      <c r="S422" s="197"/>
      <c r="T422" s="197"/>
      <c r="U422" s="197"/>
      <c r="V422" s="197"/>
      <c r="W422" s="197"/>
      <c r="X422" s="197"/>
      <c r="Y422" s="197"/>
      <c r="Z422" s="197"/>
      <c r="AA422" s="197"/>
      <c r="AB422" s="197"/>
      <c r="AC422" s="197"/>
      <c r="AD422" s="208"/>
      <c r="AE422" s="200"/>
      <c r="AF422" s="200"/>
    </row>
    <row r="423" spans="5:32" ht="15.75" x14ac:dyDescent="0.25">
      <c r="E423" s="261"/>
      <c r="F423" s="193"/>
      <c r="G423" s="194"/>
      <c r="H423" s="195"/>
      <c r="I423" s="202"/>
      <c r="O423" s="197"/>
      <c r="P423" s="197"/>
      <c r="Q423" s="197"/>
      <c r="R423" s="197"/>
      <c r="S423" s="197"/>
      <c r="T423" s="197"/>
      <c r="U423" s="197"/>
      <c r="V423" s="197"/>
      <c r="W423" s="197"/>
      <c r="X423" s="197"/>
      <c r="Y423" s="197"/>
      <c r="Z423" s="197"/>
      <c r="AA423" s="197"/>
      <c r="AB423" s="197"/>
      <c r="AC423" s="197"/>
      <c r="AD423" s="208"/>
      <c r="AE423" s="200"/>
      <c r="AF423" s="200"/>
    </row>
    <row r="424" spans="5:32" ht="15.75" x14ac:dyDescent="0.25">
      <c r="E424" s="261"/>
      <c r="F424" s="193"/>
      <c r="G424" s="194"/>
      <c r="H424" s="195"/>
      <c r="I424" s="202"/>
      <c r="O424" s="197"/>
      <c r="P424" s="197"/>
      <c r="Q424" s="197"/>
      <c r="R424" s="197"/>
      <c r="S424" s="197"/>
      <c r="T424" s="197"/>
      <c r="U424" s="197"/>
      <c r="V424" s="197"/>
      <c r="W424" s="197"/>
      <c r="X424" s="197"/>
      <c r="Y424" s="197"/>
      <c r="Z424" s="197"/>
      <c r="AA424" s="197"/>
      <c r="AB424" s="197"/>
      <c r="AC424" s="197"/>
      <c r="AD424" s="208"/>
      <c r="AE424" s="200"/>
      <c r="AF424" s="200"/>
    </row>
    <row r="425" spans="5:32" ht="15.75" x14ac:dyDescent="0.25">
      <c r="E425" s="262"/>
      <c r="F425" s="193"/>
      <c r="G425" s="194"/>
      <c r="H425" s="195"/>
      <c r="I425" s="206"/>
      <c r="O425" s="197"/>
      <c r="P425" s="207"/>
      <c r="Q425" s="207"/>
      <c r="R425" s="207"/>
      <c r="S425" s="197"/>
      <c r="T425" s="197"/>
      <c r="U425" s="197"/>
      <c r="V425" s="197"/>
      <c r="W425" s="197"/>
      <c r="X425" s="197"/>
      <c r="Y425" s="197"/>
      <c r="Z425" s="197"/>
      <c r="AA425" s="197"/>
      <c r="AB425" s="197"/>
      <c r="AC425" s="197"/>
      <c r="AD425" s="208"/>
      <c r="AE425" s="200"/>
      <c r="AF425" s="200"/>
    </row>
    <row r="426" spans="5:32" ht="15.75" x14ac:dyDescent="0.25">
      <c r="E426" s="262"/>
      <c r="F426" s="193"/>
      <c r="G426" s="194"/>
      <c r="H426" s="195"/>
      <c r="I426" s="206"/>
      <c r="O426" s="197"/>
      <c r="P426" s="207"/>
      <c r="Q426" s="207"/>
      <c r="R426" s="207"/>
      <c r="S426" s="197"/>
      <c r="T426" s="197"/>
      <c r="U426" s="197"/>
      <c r="V426" s="197"/>
      <c r="W426" s="197"/>
      <c r="X426" s="197"/>
      <c r="Y426" s="197"/>
      <c r="Z426" s="197"/>
      <c r="AA426" s="197"/>
      <c r="AB426" s="197"/>
      <c r="AC426" s="197"/>
      <c r="AD426" s="208"/>
      <c r="AE426" s="200"/>
      <c r="AF426" s="200"/>
    </row>
    <row r="427" spans="5:32" ht="15.75" x14ac:dyDescent="0.25">
      <c r="E427" s="261"/>
      <c r="F427" s="193"/>
      <c r="G427" s="194"/>
      <c r="H427" s="195"/>
      <c r="I427" s="202"/>
      <c r="O427" s="197"/>
      <c r="P427" s="197"/>
      <c r="Q427" s="197"/>
      <c r="R427" s="197"/>
      <c r="S427" s="197"/>
      <c r="T427" s="197"/>
      <c r="U427" s="197"/>
      <c r="V427" s="197"/>
      <c r="W427" s="197"/>
      <c r="X427" s="197"/>
      <c r="Y427" s="197"/>
      <c r="Z427" s="197"/>
      <c r="AA427" s="197"/>
      <c r="AB427" s="197"/>
      <c r="AC427" s="197"/>
      <c r="AD427" s="208"/>
      <c r="AE427" s="200"/>
      <c r="AF427" s="200"/>
    </row>
    <row r="428" spans="5:32" ht="15.75" x14ac:dyDescent="0.25">
      <c r="E428" s="261"/>
      <c r="F428" s="193"/>
      <c r="G428" s="194"/>
      <c r="H428" s="195"/>
      <c r="I428" s="202"/>
      <c r="O428" s="197"/>
      <c r="P428" s="197"/>
      <c r="Q428" s="197"/>
      <c r="R428" s="197"/>
      <c r="S428" s="197"/>
      <c r="T428" s="197"/>
      <c r="U428" s="197"/>
      <c r="V428" s="197"/>
      <c r="W428" s="197"/>
      <c r="X428" s="197"/>
      <c r="Y428" s="197"/>
      <c r="Z428" s="197"/>
      <c r="AA428" s="197"/>
      <c r="AB428" s="197"/>
      <c r="AC428" s="197"/>
      <c r="AD428" s="208"/>
      <c r="AE428" s="200"/>
      <c r="AF428" s="200"/>
    </row>
    <row r="429" spans="5:32" ht="15.75" x14ac:dyDescent="0.25">
      <c r="E429" s="261"/>
      <c r="F429" s="193"/>
      <c r="G429" s="194"/>
      <c r="H429" s="195"/>
      <c r="I429" s="202"/>
      <c r="O429" s="197"/>
      <c r="P429" s="197"/>
      <c r="Q429" s="197"/>
      <c r="R429" s="197"/>
      <c r="S429" s="197"/>
      <c r="T429" s="197"/>
      <c r="U429" s="197"/>
      <c r="V429" s="197"/>
      <c r="W429" s="197"/>
      <c r="X429" s="197"/>
      <c r="Y429" s="197"/>
      <c r="Z429" s="197"/>
      <c r="AA429" s="197"/>
      <c r="AB429" s="197"/>
      <c r="AC429" s="197"/>
      <c r="AD429" s="208"/>
      <c r="AE429" s="200"/>
      <c r="AF429" s="200"/>
    </row>
    <row r="430" spans="5:32" ht="15.75" x14ac:dyDescent="0.25">
      <c r="E430" s="261"/>
      <c r="F430" s="193"/>
      <c r="G430" s="194"/>
      <c r="H430" s="195"/>
      <c r="I430" s="202"/>
      <c r="O430" s="197"/>
      <c r="P430" s="197"/>
      <c r="Q430" s="197"/>
      <c r="R430" s="197"/>
      <c r="S430" s="197"/>
      <c r="T430" s="197"/>
      <c r="U430" s="197"/>
      <c r="V430" s="197"/>
      <c r="W430" s="197"/>
      <c r="X430" s="197"/>
      <c r="Y430" s="197"/>
      <c r="Z430" s="197"/>
      <c r="AA430" s="197"/>
      <c r="AB430" s="197"/>
      <c r="AC430" s="197"/>
      <c r="AD430" s="208"/>
      <c r="AE430" s="200"/>
      <c r="AF430" s="200"/>
    </row>
    <row r="431" spans="5:32" ht="15.75" x14ac:dyDescent="0.25">
      <c r="E431" s="261"/>
      <c r="F431" s="193"/>
      <c r="G431" s="194"/>
      <c r="H431" s="195"/>
      <c r="I431" s="202"/>
      <c r="O431" s="197"/>
      <c r="P431" s="197"/>
      <c r="Q431" s="197"/>
      <c r="R431" s="197"/>
      <c r="S431" s="197"/>
      <c r="T431" s="197"/>
      <c r="U431" s="197"/>
      <c r="V431" s="197"/>
      <c r="W431" s="197"/>
      <c r="X431" s="197"/>
      <c r="Y431" s="197"/>
      <c r="Z431" s="197"/>
      <c r="AA431" s="197"/>
      <c r="AB431" s="197"/>
      <c r="AC431" s="197"/>
      <c r="AD431" s="208"/>
      <c r="AE431" s="200"/>
      <c r="AF431" s="200"/>
    </row>
    <row r="432" spans="5:32" ht="15.75" x14ac:dyDescent="0.25">
      <c r="E432" s="261"/>
      <c r="F432" s="193"/>
      <c r="G432" s="194"/>
      <c r="H432" s="195"/>
      <c r="I432" s="202"/>
      <c r="O432" s="197"/>
      <c r="P432" s="197"/>
      <c r="Q432" s="197"/>
      <c r="R432" s="197"/>
      <c r="S432" s="197"/>
      <c r="T432" s="197"/>
      <c r="U432" s="197"/>
      <c r="V432" s="197"/>
      <c r="W432" s="197"/>
      <c r="X432" s="197"/>
      <c r="Y432" s="197"/>
      <c r="Z432" s="197"/>
      <c r="AA432" s="197"/>
      <c r="AB432" s="197"/>
      <c r="AC432" s="197"/>
      <c r="AD432" s="208"/>
      <c r="AE432" s="200"/>
      <c r="AF432" s="200"/>
    </row>
    <row r="433" spans="5:32" ht="15.75" x14ac:dyDescent="0.25">
      <c r="E433" s="261"/>
      <c r="F433" s="193"/>
      <c r="G433" s="194"/>
      <c r="H433" s="195"/>
      <c r="I433" s="202"/>
      <c r="O433" s="197"/>
      <c r="P433" s="197"/>
      <c r="Q433" s="197"/>
      <c r="R433" s="197"/>
      <c r="S433" s="197"/>
      <c r="T433" s="197"/>
      <c r="U433" s="197"/>
      <c r="V433" s="197"/>
      <c r="W433" s="197"/>
      <c r="X433" s="197"/>
      <c r="Y433" s="197"/>
      <c r="Z433" s="197"/>
      <c r="AA433" s="197"/>
      <c r="AB433" s="197"/>
      <c r="AC433" s="197"/>
      <c r="AD433" s="208"/>
      <c r="AE433" s="200"/>
      <c r="AF433" s="200"/>
    </row>
    <row r="434" spans="5:32" ht="15.75" x14ac:dyDescent="0.25">
      <c r="E434" s="261"/>
      <c r="F434" s="193"/>
      <c r="G434" s="194"/>
      <c r="H434" s="195"/>
      <c r="I434" s="202"/>
      <c r="O434" s="197"/>
      <c r="P434" s="197"/>
      <c r="Q434" s="197"/>
      <c r="R434" s="197"/>
      <c r="S434" s="197"/>
      <c r="T434" s="197"/>
      <c r="U434" s="197"/>
      <c r="V434" s="197"/>
      <c r="W434" s="197"/>
      <c r="X434" s="197"/>
      <c r="Y434" s="197"/>
      <c r="Z434" s="197"/>
      <c r="AA434" s="197"/>
      <c r="AB434" s="197"/>
      <c r="AC434" s="197"/>
      <c r="AD434" s="208"/>
      <c r="AE434" s="200"/>
      <c r="AF434" s="200"/>
    </row>
    <row r="435" spans="5:32" ht="15.75" x14ac:dyDescent="0.25">
      <c r="E435" s="261"/>
      <c r="F435" s="193"/>
      <c r="G435" s="194"/>
      <c r="H435" s="195"/>
      <c r="I435" s="202"/>
      <c r="O435" s="197"/>
      <c r="P435" s="197"/>
      <c r="Q435" s="197"/>
      <c r="R435" s="197"/>
      <c r="S435" s="197"/>
      <c r="T435" s="197"/>
      <c r="U435" s="197"/>
      <c r="V435" s="197"/>
      <c r="W435" s="197"/>
      <c r="X435" s="197"/>
      <c r="Y435" s="197"/>
      <c r="Z435" s="197"/>
      <c r="AA435" s="197"/>
      <c r="AB435" s="197"/>
      <c r="AC435" s="197"/>
      <c r="AD435" s="208"/>
      <c r="AE435" s="200"/>
      <c r="AF435" s="200"/>
    </row>
    <row r="436" spans="5:32" ht="15.75" x14ac:dyDescent="0.25">
      <c r="E436" s="261"/>
      <c r="F436" s="193"/>
      <c r="G436" s="194"/>
      <c r="H436" s="195"/>
      <c r="I436" s="202"/>
      <c r="O436" s="197"/>
      <c r="P436" s="197"/>
      <c r="Q436" s="197"/>
      <c r="R436" s="197"/>
      <c r="S436" s="197"/>
      <c r="T436" s="197"/>
      <c r="U436" s="197"/>
      <c r="V436" s="197"/>
      <c r="W436" s="197"/>
      <c r="X436" s="197"/>
      <c r="Y436" s="197"/>
      <c r="Z436" s="197"/>
      <c r="AA436" s="197"/>
      <c r="AB436" s="197"/>
      <c r="AC436" s="197"/>
      <c r="AD436" s="208"/>
      <c r="AE436" s="200"/>
      <c r="AF436" s="200"/>
    </row>
    <row r="437" spans="5:32" ht="15.75" x14ac:dyDescent="0.25">
      <c r="E437" s="261"/>
      <c r="F437" s="193"/>
      <c r="G437" s="194"/>
      <c r="H437" s="195"/>
      <c r="I437" s="202"/>
      <c r="O437" s="197"/>
      <c r="P437" s="197"/>
      <c r="Q437" s="197"/>
      <c r="R437" s="197"/>
      <c r="S437" s="197"/>
      <c r="T437" s="197"/>
      <c r="U437" s="197"/>
      <c r="V437" s="197"/>
      <c r="W437" s="197"/>
      <c r="X437" s="197"/>
      <c r="Y437" s="197"/>
      <c r="Z437" s="197"/>
      <c r="AA437" s="197"/>
      <c r="AB437" s="197"/>
      <c r="AC437" s="197"/>
      <c r="AD437" s="208"/>
      <c r="AE437" s="200"/>
      <c r="AF437" s="200"/>
    </row>
    <row r="438" spans="5:32" ht="15.75" x14ac:dyDescent="0.25">
      <c r="E438" s="261"/>
      <c r="F438" s="193"/>
      <c r="G438" s="194"/>
      <c r="H438" s="195"/>
      <c r="I438" s="202"/>
      <c r="O438" s="197"/>
      <c r="P438" s="197"/>
      <c r="Q438" s="197"/>
      <c r="R438" s="197"/>
      <c r="S438" s="197"/>
      <c r="T438" s="197"/>
      <c r="U438" s="197"/>
      <c r="V438" s="197"/>
      <c r="W438" s="197"/>
      <c r="X438" s="197"/>
      <c r="Y438" s="197"/>
      <c r="Z438" s="197"/>
      <c r="AA438" s="197"/>
      <c r="AB438" s="197"/>
      <c r="AC438" s="197"/>
      <c r="AD438" s="208"/>
      <c r="AE438" s="200"/>
      <c r="AF438" s="200"/>
    </row>
    <row r="439" spans="5:32" ht="15.75" x14ac:dyDescent="0.25">
      <c r="E439" s="261"/>
      <c r="F439" s="193"/>
      <c r="G439" s="194"/>
      <c r="H439" s="195"/>
      <c r="I439" s="202"/>
      <c r="O439" s="197"/>
      <c r="P439" s="197"/>
      <c r="Q439" s="197"/>
      <c r="R439" s="197"/>
      <c r="S439" s="197"/>
      <c r="T439" s="197"/>
      <c r="U439" s="197"/>
      <c r="V439" s="197"/>
      <c r="W439" s="197"/>
      <c r="X439" s="197"/>
      <c r="Y439" s="197"/>
      <c r="Z439" s="197"/>
      <c r="AA439" s="197"/>
      <c r="AB439" s="197"/>
      <c r="AC439" s="197"/>
      <c r="AD439" s="208"/>
      <c r="AE439" s="200"/>
      <c r="AF439" s="200"/>
    </row>
    <row r="440" spans="5:32" ht="15.75" x14ac:dyDescent="0.25">
      <c r="E440" s="261"/>
      <c r="F440" s="193"/>
      <c r="G440" s="194"/>
      <c r="H440" s="195"/>
      <c r="I440" s="202"/>
      <c r="O440" s="197"/>
      <c r="P440" s="197"/>
      <c r="Q440" s="197"/>
      <c r="R440" s="197"/>
      <c r="S440" s="197"/>
      <c r="T440" s="197"/>
      <c r="U440" s="197"/>
      <c r="V440" s="197"/>
      <c r="W440" s="197"/>
      <c r="X440" s="197"/>
      <c r="Y440" s="197"/>
      <c r="Z440" s="197"/>
      <c r="AA440" s="197"/>
      <c r="AB440" s="197"/>
      <c r="AC440" s="197"/>
      <c r="AD440" s="208"/>
      <c r="AE440" s="200"/>
      <c r="AF440" s="200"/>
    </row>
    <row r="441" spans="5:32" ht="15.75" x14ac:dyDescent="0.25">
      <c r="E441" s="261"/>
      <c r="F441" s="193"/>
      <c r="G441" s="194"/>
      <c r="H441" s="195"/>
      <c r="I441" s="202"/>
      <c r="O441" s="197"/>
      <c r="P441" s="197"/>
      <c r="Q441" s="197"/>
      <c r="R441" s="197"/>
      <c r="S441" s="197"/>
      <c r="T441" s="197"/>
      <c r="U441" s="197"/>
      <c r="V441" s="197"/>
      <c r="W441" s="197"/>
      <c r="X441" s="197"/>
      <c r="Y441" s="197"/>
      <c r="Z441" s="197"/>
      <c r="AA441" s="197"/>
      <c r="AB441" s="197"/>
      <c r="AC441" s="197"/>
      <c r="AD441" s="208"/>
      <c r="AE441" s="200"/>
      <c r="AF441" s="200"/>
    </row>
    <row r="442" spans="5:32" ht="15.75" x14ac:dyDescent="0.25">
      <c r="E442" s="261"/>
      <c r="F442" s="193"/>
      <c r="G442" s="194"/>
      <c r="H442" s="195"/>
      <c r="I442" s="202"/>
      <c r="O442" s="197"/>
      <c r="P442" s="197"/>
      <c r="Q442" s="197"/>
      <c r="R442" s="197"/>
      <c r="S442" s="197"/>
      <c r="T442" s="197"/>
      <c r="U442" s="197"/>
      <c r="V442" s="197"/>
      <c r="W442" s="197"/>
      <c r="X442" s="197"/>
      <c r="Y442" s="197"/>
      <c r="Z442" s="197"/>
      <c r="AA442" s="197"/>
      <c r="AB442" s="197"/>
      <c r="AC442" s="197"/>
      <c r="AD442" s="208"/>
      <c r="AE442" s="200"/>
      <c r="AF442" s="200"/>
    </row>
    <row r="443" spans="5:32" ht="15.75" x14ac:dyDescent="0.25">
      <c r="E443" s="261"/>
      <c r="F443" s="193"/>
      <c r="G443" s="194"/>
      <c r="H443" s="195"/>
      <c r="I443" s="202"/>
      <c r="O443" s="197"/>
      <c r="P443" s="197"/>
      <c r="Q443" s="197"/>
      <c r="R443" s="197"/>
      <c r="S443" s="197"/>
      <c r="T443" s="197"/>
      <c r="U443" s="197"/>
      <c r="V443" s="197"/>
      <c r="W443" s="197"/>
      <c r="X443" s="197"/>
      <c r="Y443" s="197"/>
      <c r="Z443" s="197"/>
      <c r="AA443" s="197"/>
      <c r="AB443" s="197"/>
      <c r="AC443" s="197"/>
      <c r="AD443" s="208"/>
      <c r="AE443" s="200"/>
      <c r="AF443" s="200"/>
    </row>
    <row r="444" spans="5:32" ht="15.75" x14ac:dyDescent="0.25">
      <c r="E444" s="261"/>
      <c r="F444" s="193"/>
      <c r="G444" s="194"/>
      <c r="H444" s="195"/>
      <c r="I444" s="202"/>
      <c r="O444" s="197"/>
      <c r="P444" s="197"/>
      <c r="Q444" s="197"/>
      <c r="R444" s="197"/>
      <c r="S444" s="197"/>
      <c r="T444" s="197"/>
      <c r="U444" s="197"/>
      <c r="V444" s="197"/>
      <c r="W444" s="197"/>
      <c r="X444" s="197"/>
      <c r="Y444" s="197"/>
      <c r="Z444" s="197"/>
      <c r="AA444" s="197"/>
      <c r="AB444" s="197"/>
      <c r="AC444" s="197"/>
      <c r="AD444" s="208"/>
      <c r="AE444" s="200"/>
      <c r="AF444" s="200"/>
    </row>
    <row r="445" spans="5:32" ht="15.75" x14ac:dyDescent="0.25">
      <c r="E445" s="261"/>
      <c r="F445" s="193"/>
      <c r="G445" s="194"/>
      <c r="H445" s="195"/>
      <c r="I445" s="202"/>
      <c r="O445" s="197"/>
      <c r="P445" s="197"/>
      <c r="Q445" s="197"/>
      <c r="R445" s="197"/>
      <c r="S445" s="197"/>
      <c r="T445" s="197"/>
      <c r="U445" s="197"/>
      <c r="V445" s="197"/>
      <c r="W445" s="197"/>
      <c r="X445" s="197"/>
      <c r="Y445" s="197"/>
      <c r="Z445" s="197"/>
      <c r="AA445" s="197"/>
      <c r="AB445" s="197"/>
      <c r="AC445" s="197"/>
      <c r="AD445" s="208"/>
      <c r="AE445" s="200"/>
      <c r="AF445" s="200"/>
    </row>
    <row r="446" spans="5:32" ht="15.75" x14ac:dyDescent="0.25">
      <c r="E446" s="261"/>
      <c r="F446" s="193"/>
      <c r="G446" s="194"/>
      <c r="H446" s="195"/>
      <c r="I446" s="202"/>
      <c r="O446" s="197"/>
      <c r="P446" s="197"/>
      <c r="Q446" s="197"/>
      <c r="R446" s="197"/>
      <c r="S446" s="197"/>
      <c r="T446" s="197"/>
      <c r="U446" s="197"/>
      <c r="V446" s="197"/>
      <c r="W446" s="197"/>
      <c r="X446" s="197"/>
      <c r="Y446" s="197"/>
      <c r="Z446" s="197"/>
      <c r="AA446" s="197"/>
      <c r="AB446" s="197"/>
      <c r="AC446" s="197"/>
      <c r="AD446" s="208"/>
      <c r="AE446" s="200"/>
      <c r="AF446" s="200"/>
    </row>
    <row r="447" spans="5:32" ht="15.75" x14ac:dyDescent="0.25">
      <c r="E447" s="261"/>
      <c r="F447" s="193"/>
      <c r="G447" s="194"/>
      <c r="H447" s="195"/>
      <c r="I447" s="202"/>
      <c r="O447" s="197"/>
      <c r="P447" s="197"/>
      <c r="Q447" s="197"/>
      <c r="R447" s="197"/>
      <c r="S447" s="197"/>
      <c r="T447" s="197"/>
      <c r="U447" s="197"/>
      <c r="V447" s="197"/>
      <c r="W447" s="197"/>
      <c r="X447" s="197"/>
      <c r="Y447" s="197"/>
      <c r="Z447" s="197"/>
      <c r="AA447" s="197"/>
      <c r="AB447" s="197"/>
      <c r="AC447" s="197"/>
      <c r="AD447" s="208"/>
      <c r="AE447" s="200"/>
      <c r="AF447" s="200"/>
    </row>
    <row r="448" spans="5:32" ht="15.75" x14ac:dyDescent="0.25">
      <c r="E448" s="261"/>
      <c r="F448" s="193"/>
      <c r="G448" s="194"/>
      <c r="H448" s="195"/>
      <c r="I448" s="202"/>
      <c r="O448" s="197"/>
      <c r="P448" s="197"/>
      <c r="Q448" s="197"/>
      <c r="R448" s="197"/>
      <c r="S448" s="197"/>
      <c r="T448" s="197"/>
      <c r="U448" s="197"/>
      <c r="V448" s="197"/>
      <c r="W448" s="197"/>
      <c r="X448" s="197"/>
      <c r="Y448" s="197"/>
      <c r="Z448" s="197"/>
      <c r="AA448" s="197"/>
      <c r="AB448" s="197"/>
      <c r="AC448" s="197"/>
      <c r="AD448" s="208"/>
      <c r="AE448" s="200"/>
      <c r="AF448" s="200"/>
    </row>
    <row r="449" spans="5:32" ht="15.75" x14ac:dyDescent="0.25">
      <c r="E449" s="261"/>
      <c r="F449" s="193"/>
      <c r="G449" s="194"/>
      <c r="H449" s="195"/>
      <c r="I449" s="202"/>
      <c r="O449" s="197"/>
      <c r="P449" s="197"/>
      <c r="Q449" s="197"/>
      <c r="R449" s="197"/>
      <c r="S449" s="197"/>
      <c r="T449" s="197"/>
      <c r="U449" s="197"/>
      <c r="V449" s="197"/>
      <c r="W449" s="197"/>
      <c r="X449" s="197"/>
      <c r="Y449" s="197"/>
      <c r="Z449" s="197"/>
      <c r="AA449" s="197"/>
      <c r="AB449" s="197"/>
      <c r="AC449" s="197"/>
      <c r="AD449" s="208"/>
      <c r="AE449" s="200"/>
      <c r="AF449" s="200"/>
    </row>
    <row r="450" spans="5:32" ht="15.75" x14ac:dyDescent="0.25">
      <c r="E450" s="261"/>
      <c r="F450" s="193"/>
      <c r="G450" s="194"/>
      <c r="H450" s="195"/>
      <c r="I450" s="202"/>
      <c r="O450" s="197"/>
      <c r="P450" s="197"/>
      <c r="Q450" s="197"/>
      <c r="R450" s="197"/>
      <c r="S450" s="197"/>
      <c r="T450" s="197"/>
      <c r="U450" s="197"/>
      <c r="V450" s="197"/>
      <c r="W450" s="197"/>
      <c r="X450" s="197"/>
      <c r="Y450" s="197"/>
      <c r="Z450" s="197"/>
      <c r="AA450" s="197"/>
      <c r="AB450" s="197"/>
      <c r="AC450" s="197"/>
      <c r="AD450" s="208"/>
      <c r="AE450" s="200"/>
      <c r="AF450" s="200"/>
    </row>
    <row r="451" spans="5:32" ht="15.75" x14ac:dyDescent="0.25">
      <c r="E451" s="261"/>
      <c r="F451" s="193"/>
      <c r="G451" s="194"/>
      <c r="H451" s="195"/>
      <c r="I451" s="202"/>
      <c r="O451" s="197"/>
      <c r="P451" s="197"/>
      <c r="Q451" s="197"/>
      <c r="R451" s="197"/>
      <c r="S451" s="197"/>
      <c r="T451" s="197"/>
      <c r="U451" s="197"/>
      <c r="V451" s="197"/>
      <c r="W451" s="197"/>
      <c r="X451" s="197"/>
      <c r="Y451" s="197"/>
      <c r="Z451" s="197"/>
      <c r="AA451" s="197"/>
      <c r="AB451" s="197"/>
      <c r="AC451" s="197"/>
      <c r="AD451" s="208"/>
      <c r="AE451" s="200"/>
      <c r="AF451" s="200"/>
    </row>
    <row r="452" spans="5:32" ht="15.75" x14ac:dyDescent="0.25">
      <c r="E452" s="261"/>
      <c r="F452" s="193"/>
      <c r="G452" s="194"/>
      <c r="H452" s="195"/>
      <c r="I452" s="202"/>
      <c r="O452" s="197"/>
      <c r="P452" s="197"/>
      <c r="Q452" s="197"/>
      <c r="R452" s="197"/>
      <c r="S452" s="197"/>
      <c r="T452" s="197"/>
      <c r="U452" s="197"/>
      <c r="V452" s="197"/>
      <c r="W452" s="197"/>
      <c r="X452" s="197"/>
      <c r="Y452" s="197"/>
      <c r="Z452" s="197"/>
      <c r="AA452" s="197"/>
      <c r="AB452" s="197"/>
      <c r="AC452" s="197"/>
      <c r="AD452" s="208"/>
      <c r="AE452" s="200"/>
      <c r="AF452" s="200"/>
    </row>
    <row r="453" spans="5:32" ht="15.75" x14ac:dyDescent="0.25">
      <c r="E453" s="261"/>
      <c r="F453" s="193"/>
      <c r="G453" s="194"/>
      <c r="H453" s="195"/>
      <c r="I453" s="202"/>
      <c r="O453" s="197"/>
      <c r="P453" s="197"/>
      <c r="Q453" s="197"/>
      <c r="R453" s="197"/>
      <c r="S453" s="197"/>
      <c r="T453" s="197"/>
      <c r="U453" s="197"/>
      <c r="V453" s="197"/>
      <c r="W453" s="197"/>
      <c r="X453" s="197"/>
      <c r="Y453" s="197"/>
      <c r="Z453" s="197"/>
      <c r="AA453" s="197"/>
      <c r="AB453" s="197"/>
      <c r="AC453" s="197"/>
      <c r="AD453" s="208"/>
      <c r="AE453" s="200"/>
      <c r="AF453" s="200"/>
    </row>
    <row r="454" spans="5:32" ht="15.75" x14ac:dyDescent="0.25">
      <c r="E454" s="261"/>
      <c r="F454" s="193"/>
      <c r="G454" s="194"/>
      <c r="H454" s="195"/>
      <c r="I454" s="202"/>
      <c r="O454" s="197"/>
      <c r="P454" s="197"/>
      <c r="Q454" s="197"/>
      <c r="R454" s="197"/>
      <c r="S454" s="197"/>
      <c r="T454" s="197"/>
      <c r="U454" s="197"/>
      <c r="V454" s="197"/>
      <c r="W454" s="197"/>
      <c r="X454" s="197"/>
      <c r="Y454" s="197"/>
      <c r="Z454" s="197"/>
      <c r="AA454" s="197"/>
      <c r="AB454" s="197"/>
      <c r="AC454" s="197"/>
      <c r="AD454" s="208"/>
      <c r="AE454" s="200"/>
      <c r="AF454" s="200"/>
    </row>
    <row r="455" spans="5:32" ht="15.75" x14ac:dyDescent="0.25">
      <c r="E455" s="261"/>
      <c r="F455" s="193"/>
      <c r="G455" s="194"/>
      <c r="H455" s="195"/>
      <c r="I455" s="202"/>
      <c r="O455" s="197"/>
      <c r="P455" s="197"/>
      <c r="Q455" s="197"/>
      <c r="R455" s="197"/>
      <c r="S455" s="197"/>
      <c r="T455" s="197"/>
      <c r="U455" s="197"/>
      <c r="V455" s="197"/>
      <c r="W455" s="197"/>
      <c r="X455" s="197"/>
      <c r="Y455" s="197"/>
      <c r="Z455" s="197"/>
      <c r="AA455" s="197"/>
      <c r="AB455" s="197"/>
      <c r="AC455" s="197"/>
      <c r="AD455" s="208"/>
      <c r="AE455" s="200"/>
      <c r="AF455" s="200"/>
    </row>
    <row r="456" spans="5:32" ht="15.75" x14ac:dyDescent="0.25">
      <c r="E456" s="261"/>
      <c r="F456" s="193"/>
      <c r="G456" s="194"/>
      <c r="H456" s="195"/>
      <c r="I456" s="202"/>
      <c r="O456" s="197"/>
      <c r="P456" s="197"/>
      <c r="Q456" s="197"/>
      <c r="R456" s="197"/>
      <c r="S456" s="197"/>
      <c r="T456" s="197"/>
      <c r="U456" s="197"/>
      <c r="V456" s="197"/>
      <c r="W456" s="197"/>
      <c r="X456" s="197"/>
      <c r="Y456" s="197"/>
      <c r="Z456" s="197"/>
      <c r="AA456" s="197"/>
      <c r="AB456" s="197"/>
      <c r="AC456" s="197"/>
      <c r="AD456" s="208"/>
      <c r="AE456" s="200"/>
      <c r="AF456" s="200"/>
    </row>
    <row r="457" spans="5:32" ht="15.75" x14ac:dyDescent="0.25">
      <c r="E457" s="261"/>
      <c r="F457" s="193"/>
      <c r="G457" s="194"/>
      <c r="H457" s="195"/>
      <c r="I457" s="202"/>
      <c r="O457" s="197"/>
      <c r="P457" s="197"/>
      <c r="Q457" s="197"/>
      <c r="R457" s="197"/>
      <c r="S457" s="197"/>
      <c r="T457" s="197"/>
      <c r="U457" s="197"/>
      <c r="V457" s="197"/>
      <c r="W457" s="197"/>
      <c r="X457" s="197"/>
      <c r="Y457" s="197"/>
      <c r="Z457" s="197"/>
      <c r="AA457" s="197"/>
      <c r="AB457" s="197"/>
      <c r="AC457" s="197"/>
      <c r="AD457" s="208"/>
      <c r="AE457" s="200"/>
      <c r="AF457" s="200"/>
    </row>
    <row r="458" spans="5:32" ht="15.75" x14ac:dyDescent="0.25">
      <c r="E458" s="261"/>
      <c r="F458" s="193"/>
      <c r="G458" s="194"/>
      <c r="H458" s="195"/>
      <c r="I458" s="202"/>
      <c r="O458" s="197"/>
      <c r="P458" s="197"/>
      <c r="Q458" s="197"/>
      <c r="R458" s="197"/>
      <c r="S458" s="197"/>
      <c r="T458" s="197"/>
      <c r="U458" s="197"/>
      <c r="V458" s="197"/>
      <c r="W458" s="197"/>
      <c r="X458" s="197"/>
      <c r="Y458" s="197"/>
      <c r="Z458" s="197"/>
      <c r="AA458" s="197"/>
      <c r="AB458" s="197"/>
      <c r="AC458" s="197"/>
      <c r="AD458" s="208"/>
      <c r="AE458" s="200"/>
      <c r="AF458" s="200"/>
    </row>
    <row r="459" spans="5:32" ht="15.75" x14ac:dyDescent="0.25">
      <c r="E459" s="261"/>
      <c r="F459" s="193"/>
      <c r="G459" s="194"/>
      <c r="H459" s="195"/>
      <c r="I459" s="202"/>
      <c r="O459" s="197"/>
      <c r="P459" s="197"/>
      <c r="Q459" s="197"/>
      <c r="R459" s="197"/>
      <c r="S459" s="197"/>
      <c r="T459" s="197"/>
      <c r="U459" s="197"/>
      <c r="V459" s="197"/>
      <c r="W459" s="197"/>
      <c r="X459" s="197"/>
      <c r="Y459" s="197"/>
      <c r="Z459" s="197"/>
      <c r="AA459" s="197"/>
      <c r="AB459" s="197"/>
      <c r="AC459" s="197"/>
      <c r="AD459" s="208"/>
      <c r="AE459" s="200"/>
      <c r="AF459" s="200"/>
    </row>
    <row r="460" spans="5:32" ht="15.75" x14ac:dyDescent="0.25">
      <c r="E460" s="261"/>
      <c r="F460" s="193"/>
      <c r="G460" s="194"/>
      <c r="H460" s="195"/>
      <c r="I460" s="202"/>
      <c r="O460" s="197"/>
      <c r="P460" s="197"/>
      <c r="Q460" s="197"/>
      <c r="R460" s="197"/>
      <c r="S460" s="197"/>
      <c r="T460" s="197"/>
      <c r="U460" s="197"/>
      <c r="V460" s="197"/>
      <c r="W460" s="197"/>
      <c r="X460" s="197"/>
      <c r="Y460" s="197"/>
      <c r="Z460" s="197"/>
      <c r="AA460" s="197"/>
      <c r="AB460" s="197"/>
      <c r="AC460" s="197"/>
      <c r="AD460" s="208"/>
      <c r="AE460" s="200"/>
      <c r="AF460" s="200"/>
    </row>
    <row r="461" spans="5:32" ht="15.75" x14ac:dyDescent="0.25">
      <c r="E461" s="261"/>
      <c r="F461" s="193"/>
      <c r="G461" s="194"/>
      <c r="H461" s="195"/>
      <c r="I461" s="202"/>
      <c r="O461" s="197"/>
      <c r="P461" s="197"/>
      <c r="Q461" s="197"/>
      <c r="R461" s="197"/>
      <c r="S461" s="197"/>
      <c r="T461" s="197"/>
      <c r="U461" s="197"/>
      <c r="V461" s="197"/>
      <c r="W461" s="197"/>
      <c r="X461" s="197"/>
      <c r="Y461" s="197"/>
      <c r="Z461" s="197"/>
      <c r="AA461" s="197"/>
      <c r="AB461" s="197"/>
      <c r="AC461" s="197"/>
      <c r="AD461" s="208"/>
      <c r="AE461" s="200"/>
      <c r="AF461" s="200"/>
    </row>
    <row r="462" spans="5:32" ht="15.75" x14ac:dyDescent="0.25">
      <c r="E462" s="261"/>
      <c r="F462" s="193"/>
      <c r="G462" s="194"/>
      <c r="H462" s="195"/>
      <c r="I462" s="202"/>
      <c r="O462" s="197"/>
      <c r="P462" s="197"/>
      <c r="Q462" s="197"/>
      <c r="R462" s="197"/>
      <c r="S462" s="197"/>
      <c r="T462" s="197"/>
      <c r="U462" s="197"/>
      <c r="V462" s="197"/>
      <c r="W462" s="197"/>
      <c r="X462" s="197"/>
      <c r="Y462" s="197"/>
      <c r="Z462" s="197"/>
      <c r="AA462" s="197"/>
      <c r="AB462" s="197"/>
      <c r="AC462" s="197"/>
      <c r="AD462" s="208"/>
      <c r="AE462" s="200"/>
      <c r="AF462" s="200"/>
    </row>
    <row r="463" spans="5:32" ht="15.75" x14ac:dyDescent="0.25">
      <c r="E463" s="261"/>
      <c r="F463" s="193"/>
      <c r="G463" s="194"/>
      <c r="H463" s="195"/>
      <c r="I463" s="202"/>
      <c r="O463" s="197"/>
      <c r="P463" s="197"/>
      <c r="Q463" s="197"/>
      <c r="R463" s="197"/>
      <c r="S463" s="197"/>
      <c r="T463" s="197"/>
      <c r="U463" s="197"/>
      <c r="V463" s="197"/>
      <c r="W463" s="197"/>
      <c r="X463" s="197"/>
      <c r="Y463" s="197"/>
      <c r="Z463" s="197"/>
      <c r="AA463" s="197"/>
      <c r="AB463" s="197"/>
      <c r="AC463" s="197"/>
      <c r="AD463" s="208"/>
      <c r="AE463" s="200"/>
      <c r="AF463" s="200"/>
    </row>
    <row r="464" spans="5:32" ht="15.75" x14ac:dyDescent="0.25">
      <c r="E464" s="261"/>
      <c r="F464" s="193"/>
      <c r="G464" s="194"/>
      <c r="H464" s="195"/>
      <c r="I464" s="202"/>
      <c r="O464" s="197"/>
      <c r="P464" s="197"/>
      <c r="Q464" s="197"/>
      <c r="R464" s="197"/>
      <c r="S464" s="197"/>
      <c r="T464" s="197"/>
      <c r="U464" s="197"/>
      <c r="V464" s="197"/>
      <c r="W464" s="197"/>
      <c r="X464" s="197"/>
      <c r="Y464" s="197"/>
      <c r="Z464" s="197"/>
      <c r="AA464" s="197"/>
      <c r="AB464" s="197"/>
      <c r="AC464" s="197"/>
      <c r="AD464" s="208"/>
      <c r="AE464" s="200"/>
      <c r="AF464" s="200"/>
    </row>
    <row r="465" spans="5:32" ht="15.75" x14ac:dyDescent="0.25">
      <c r="E465" s="261"/>
      <c r="F465" s="193"/>
      <c r="G465" s="194"/>
      <c r="H465" s="195"/>
      <c r="I465" s="202"/>
      <c r="O465" s="197"/>
      <c r="P465" s="197"/>
      <c r="Q465" s="197"/>
      <c r="R465" s="197"/>
      <c r="S465" s="197"/>
      <c r="T465" s="197"/>
      <c r="U465" s="197"/>
      <c r="V465" s="197"/>
      <c r="W465" s="197"/>
      <c r="X465" s="197"/>
      <c r="Y465" s="197"/>
      <c r="Z465" s="197"/>
      <c r="AA465" s="197"/>
      <c r="AB465" s="197"/>
      <c r="AC465" s="197"/>
      <c r="AD465" s="208"/>
      <c r="AE465" s="200"/>
      <c r="AF465" s="200"/>
    </row>
    <row r="466" spans="5:32" ht="15.75" x14ac:dyDescent="0.25">
      <c r="E466" s="261"/>
      <c r="F466" s="193"/>
      <c r="G466" s="194"/>
      <c r="H466" s="195"/>
      <c r="I466" s="202"/>
      <c r="O466" s="197"/>
      <c r="P466" s="197"/>
      <c r="Q466" s="197"/>
      <c r="R466" s="197"/>
      <c r="S466" s="197"/>
      <c r="T466" s="197"/>
      <c r="U466" s="197"/>
      <c r="V466" s="197"/>
      <c r="W466" s="197"/>
      <c r="X466" s="197"/>
      <c r="Y466" s="197"/>
      <c r="Z466" s="197"/>
      <c r="AA466" s="197"/>
      <c r="AB466" s="197"/>
      <c r="AC466" s="197"/>
      <c r="AD466" s="208"/>
      <c r="AE466" s="200"/>
      <c r="AF466" s="200"/>
    </row>
    <row r="467" spans="5:32" ht="15.75" x14ac:dyDescent="0.25">
      <c r="E467" s="261"/>
      <c r="F467" s="193"/>
      <c r="G467" s="194"/>
      <c r="H467" s="195"/>
      <c r="I467" s="202"/>
      <c r="O467" s="197"/>
      <c r="P467" s="197"/>
      <c r="Q467" s="197"/>
      <c r="R467" s="197"/>
      <c r="S467" s="197"/>
      <c r="T467" s="197"/>
      <c r="U467" s="197"/>
      <c r="V467" s="197"/>
      <c r="W467" s="197"/>
      <c r="X467" s="197"/>
      <c r="Y467" s="197"/>
      <c r="Z467" s="197"/>
      <c r="AA467" s="197"/>
      <c r="AB467" s="197"/>
      <c r="AC467" s="197"/>
      <c r="AD467" s="208"/>
      <c r="AE467" s="200"/>
      <c r="AF467" s="200"/>
    </row>
    <row r="468" spans="5:32" ht="15.75" x14ac:dyDescent="0.25">
      <c r="E468" s="261"/>
      <c r="F468" s="193"/>
      <c r="G468" s="194"/>
      <c r="H468" s="195"/>
      <c r="I468" s="202"/>
      <c r="O468" s="197"/>
      <c r="P468" s="197"/>
      <c r="Q468" s="197"/>
      <c r="R468" s="197"/>
      <c r="S468" s="197"/>
      <c r="T468" s="197"/>
      <c r="U468" s="197"/>
      <c r="V468" s="197"/>
      <c r="W468" s="197"/>
      <c r="X468" s="197"/>
      <c r="Y468" s="197"/>
      <c r="Z468" s="197"/>
      <c r="AA468" s="197"/>
      <c r="AB468" s="197"/>
      <c r="AC468" s="197"/>
      <c r="AD468" s="208"/>
      <c r="AE468" s="200"/>
      <c r="AF468" s="200"/>
    </row>
    <row r="469" spans="5:32" ht="15.75" x14ac:dyDescent="0.25">
      <c r="E469" s="261"/>
      <c r="F469" s="193"/>
      <c r="G469" s="194"/>
      <c r="H469" s="195"/>
      <c r="I469" s="202"/>
      <c r="O469" s="197"/>
      <c r="P469" s="197"/>
      <c r="Q469" s="197"/>
      <c r="R469" s="197"/>
      <c r="S469" s="197"/>
      <c r="T469" s="197"/>
      <c r="U469" s="197"/>
      <c r="V469" s="197"/>
      <c r="W469" s="197"/>
      <c r="X469" s="197"/>
      <c r="Y469" s="197"/>
      <c r="Z469" s="197"/>
      <c r="AA469" s="197"/>
      <c r="AB469" s="197"/>
      <c r="AC469" s="197"/>
      <c r="AD469" s="208"/>
      <c r="AE469" s="200"/>
      <c r="AF469" s="200"/>
    </row>
    <row r="470" spans="5:32" ht="15.75" x14ac:dyDescent="0.25">
      <c r="E470" s="261"/>
      <c r="F470" s="193"/>
      <c r="G470" s="194"/>
      <c r="H470" s="195"/>
      <c r="I470" s="202"/>
      <c r="O470" s="197"/>
      <c r="P470" s="197"/>
      <c r="Q470" s="197"/>
      <c r="R470" s="197"/>
      <c r="S470" s="197"/>
      <c r="T470" s="197"/>
      <c r="U470" s="197"/>
      <c r="V470" s="197"/>
      <c r="W470" s="197"/>
      <c r="X470" s="197"/>
      <c r="Y470" s="197"/>
      <c r="Z470" s="197"/>
      <c r="AA470" s="197"/>
      <c r="AB470" s="197"/>
      <c r="AC470" s="197"/>
      <c r="AD470" s="208"/>
      <c r="AE470" s="200"/>
      <c r="AF470" s="200"/>
    </row>
    <row r="471" spans="5:32" ht="15.75" x14ac:dyDescent="0.25">
      <c r="E471" s="261"/>
      <c r="F471" s="193"/>
      <c r="G471" s="194"/>
      <c r="H471" s="195"/>
      <c r="I471" s="202"/>
      <c r="O471" s="197"/>
      <c r="P471" s="197"/>
      <c r="Q471" s="197"/>
      <c r="R471" s="197"/>
      <c r="S471" s="197"/>
      <c r="T471" s="197"/>
      <c r="U471" s="197"/>
      <c r="V471" s="197"/>
      <c r="W471" s="197"/>
      <c r="X471" s="197"/>
      <c r="Y471" s="197"/>
      <c r="Z471" s="197"/>
      <c r="AA471" s="197"/>
      <c r="AB471" s="197"/>
      <c r="AC471" s="197"/>
      <c r="AD471" s="208"/>
      <c r="AE471" s="200"/>
      <c r="AF471" s="200"/>
    </row>
    <row r="472" spans="5:32" ht="15.75" x14ac:dyDescent="0.25">
      <c r="E472" s="261"/>
      <c r="F472" s="193"/>
      <c r="G472" s="194"/>
      <c r="H472" s="195"/>
      <c r="I472" s="202"/>
      <c r="O472" s="197"/>
      <c r="P472" s="197"/>
      <c r="Q472" s="197"/>
      <c r="R472" s="197"/>
      <c r="S472" s="197"/>
      <c r="T472" s="197"/>
      <c r="U472" s="197"/>
      <c r="V472" s="197"/>
      <c r="W472" s="197"/>
      <c r="X472" s="197"/>
      <c r="Y472" s="197"/>
      <c r="Z472" s="197"/>
      <c r="AA472" s="197"/>
      <c r="AB472" s="197"/>
      <c r="AC472" s="197"/>
      <c r="AD472" s="208"/>
      <c r="AE472" s="200"/>
      <c r="AF472" s="200"/>
    </row>
    <row r="473" spans="5:32" ht="15.75" x14ac:dyDescent="0.25">
      <c r="E473" s="261"/>
      <c r="F473" s="193"/>
      <c r="G473" s="194"/>
      <c r="H473" s="195"/>
      <c r="I473" s="202"/>
      <c r="O473" s="197"/>
      <c r="P473" s="197"/>
      <c r="Q473" s="197"/>
      <c r="R473" s="197"/>
      <c r="S473" s="197"/>
      <c r="T473" s="197"/>
      <c r="U473" s="197"/>
      <c r="V473" s="197"/>
      <c r="W473" s="197"/>
      <c r="X473" s="197"/>
      <c r="Y473" s="197"/>
      <c r="Z473" s="197"/>
      <c r="AA473" s="197"/>
      <c r="AB473" s="197"/>
      <c r="AC473" s="197"/>
      <c r="AD473" s="208"/>
      <c r="AE473" s="200"/>
      <c r="AF473" s="200"/>
    </row>
    <row r="474" spans="5:32" ht="15.75" x14ac:dyDescent="0.25">
      <c r="E474" s="261"/>
      <c r="F474" s="193"/>
      <c r="G474" s="194"/>
      <c r="H474" s="195"/>
      <c r="I474" s="202"/>
      <c r="O474" s="197"/>
      <c r="P474" s="197"/>
      <c r="Q474" s="197"/>
      <c r="R474" s="197"/>
      <c r="S474" s="197"/>
      <c r="T474" s="197"/>
      <c r="U474" s="197"/>
      <c r="V474" s="197"/>
      <c r="W474" s="197"/>
      <c r="X474" s="197"/>
      <c r="Y474" s="197"/>
      <c r="Z474" s="197"/>
      <c r="AA474" s="197"/>
      <c r="AB474" s="197"/>
      <c r="AC474" s="197"/>
      <c r="AD474" s="208"/>
      <c r="AE474" s="200"/>
      <c r="AF474" s="200"/>
    </row>
    <row r="475" spans="5:32" ht="15.75" x14ac:dyDescent="0.25">
      <c r="E475" s="261"/>
      <c r="F475" s="193"/>
      <c r="G475" s="194"/>
      <c r="H475" s="195"/>
      <c r="I475" s="202"/>
      <c r="O475" s="197"/>
      <c r="P475" s="197"/>
      <c r="Q475" s="197"/>
      <c r="R475" s="197"/>
      <c r="S475" s="197"/>
      <c r="T475" s="197"/>
      <c r="U475" s="197"/>
      <c r="V475" s="197"/>
      <c r="W475" s="197"/>
      <c r="X475" s="197"/>
      <c r="Y475" s="197"/>
      <c r="Z475" s="197"/>
      <c r="AA475" s="197"/>
      <c r="AB475" s="197"/>
      <c r="AC475" s="197"/>
      <c r="AD475" s="208"/>
      <c r="AE475" s="200"/>
      <c r="AF475" s="200"/>
    </row>
    <row r="476" spans="5:32" ht="15.75" x14ac:dyDescent="0.25">
      <c r="E476" s="261"/>
      <c r="F476" s="193"/>
      <c r="G476" s="194"/>
      <c r="H476" s="195"/>
      <c r="I476" s="202"/>
      <c r="O476" s="197"/>
      <c r="P476" s="197"/>
      <c r="Q476" s="197"/>
      <c r="R476" s="197"/>
      <c r="S476" s="197"/>
      <c r="T476" s="197"/>
      <c r="U476" s="197"/>
      <c r="V476" s="197"/>
      <c r="W476" s="197"/>
      <c r="X476" s="197"/>
      <c r="Y476" s="197"/>
      <c r="Z476" s="197"/>
      <c r="AA476" s="197"/>
      <c r="AB476" s="197"/>
      <c r="AC476" s="197"/>
      <c r="AD476" s="208"/>
      <c r="AE476" s="200"/>
      <c r="AF476" s="200"/>
    </row>
    <row r="477" spans="5:32" ht="15.75" x14ac:dyDescent="0.25">
      <c r="E477" s="261"/>
      <c r="F477" s="193"/>
      <c r="G477" s="194"/>
      <c r="H477" s="195"/>
      <c r="I477" s="202"/>
      <c r="O477" s="197"/>
      <c r="P477" s="197"/>
      <c r="Q477" s="197"/>
      <c r="R477" s="197"/>
      <c r="S477" s="197"/>
      <c r="T477" s="197"/>
      <c r="U477" s="197"/>
      <c r="V477" s="197"/>
      <c r="W477" s="197"/>
      <c r="X477" s="197"/>
      <c r="Y477" s="197"/>
      <c r="Z477" s="197"/>
      <c r="AA477" s="197"/>
      <c r="AB477" s="197"/>
      <c r="AC477" s="197"/>
      <c r="AD477" s="208"/>
      <c r="AE477" s="200"/>
      <c r="AF477" s="200"/>
    </row>
    <row r="478" spans="5:32" ht="15.75" x14ac:dyDescent="0.25">
      <c r="E478" s="261"/>
      <c r="F478" s="193"/>
      <c r="G478" s="194"/>
      <c r="H478" s="195"/>
      <c r="I478" s="202"/>
      <c r="O478" s="197"/>
      <c r="P478" s="197"/>
      <c r="Q478" s="197"/>
      <c r="R478" s="197"/>
      <c r="S478" s="197"/>
      <c r="T478" s="197"/>
      <c r="U478" s="197"/>
      <c r="V478" s="197"/>
      <c r="W478" s="197"/>
      <c r="X478" s="197"/>
      <c r="Y478" s="197"/>
      <c r="Z478" s="197"/>
      <c r="AA478" s="197"/>
      <c r="AB478" s="197"/>
      <c r="AC478" s="197"/>
      <c r="AD478" s="208"/>
      <c r="AE478" s="200"/>
      <c r="AF478" s="200"/>
    </row>
    <row r="479" spans="5:32" ht="15.75" x14ac:dyDescent="0.25">
      <c r="E479" s="261"/>
      <c r="F479" s="193"/>
      <c r="G479" s="194"/>
      <c r="H479" s="195"/>
      <c r="I479" s="202"/>
      <c r="O479" s="197"/>
      <c r="P479" s="197"/>
      <c r="Q479" s="197"/>
      <c r="R479" s="197"/>
      <c r="S479" s="197"/>
      <c r="T479" s="197"/>
      <c r="U479" s="197"/>
      <c r="V479" s="197"/>
      <c r="W479" s="197"/>
      <c r="X479" s="197"/>
      <c r="Y479" s="197"/>
      <c r="Z479" s="197"/>
      <c r="AA479" s="197"/>
      <c r="AB479" s="197"/>
      <c r="AC479" s="197"/>
      <c r="AD479" s="208"/>
      <c r="AE479" s="200"/>
      <c r="AF479" s="200"/>
    </row>
    <row r="480" spans="5:32" ht="15.75" x14ac:dyDescent="0.25">
      <c r="E480" s="261"/>
      <c r="F480" s="193"/>
      <c r="G480" s="194"/>
      <c r="H480" s="195"/>
      <c r="I480" s="202"/>
      <c r="O480" s="197"/>
      <c r="P480" s="197"/>
      <c r="Q480" s="197"/>
      <c r="R480" s="197"/>
      <c r="S480" s="197"/>
      <c r="T480" s="197"/>
      <c r="U480" s="197"/>
      <c r="V480" s="197"/>
      <c r="W480" s="197"/>
      <c r="X480" s="197"/>
      <c r="Y480" s="197"/>
      <c r="Z480" s="197"/>
      <c r="AA480" s="197"/>
      <c r="AB480" s="197"/>
      <c r="AC480" s="197"/>
      <c r="AD480" s="208"/>
      <c r="AE480" s="200"/>
      <c r="AF480" s="200"/>
    </row>
    <row r="481" spans="5:32" ht="15.75" x14ac:dyDescent="0.25">
      <c r="E481" s="261"/>
      <c r="F481" s="193"/>
      <c r="G481" s="194"/>
      <c r="H481" s="195"/>
      <c r="I481" s="202"/>
      <c r="O481" s="197"/>
      <c r="P481" s="197"/>
      <c r="Q481" s="197"/>
      <c r="R481" s="197"/>
      <c r="S481" s="197"/>
      <c r="T481" s="197"/>
      <c r="U481" s="197"/>
      <c r="V481" s="197"/>
      <c r="W481" s="197"/>
      <c r="X481" s="197"/>
      <c r="Y481" s="197"/>
      <c r="Z481" s="197"/>
      <c r="AA481" s="197"/>
      <c r="AB481" s="197"/>
      <c r="AC481" s="197"/>
      <c r="AD481" s="208"/>
      <c r="AE481" s="200"/>
      <c r="AF481" s="200"/>
    </row>
    <row r="482" spans="5:32" ht="15.75" x14ac:dyDescent="0.25">
      <c r="E482" s="262"/>
      <c r="F482" s="193"/>
      <c r="G482" s="194"/>
      <c r="H482" s="195"/>
      <c r="I482" s="206"/>
      <c r="O482" s="197"/>
      <c r="P482" s="207"/>
      <c r="Q482" s="207"/>
      <c r="R482" s="207"/>
      <c r="S482" s="197"/>
      <c r="T482" s="197"/>
      <c r="U482" s="197"/>
      <c r="V482" s="197"/>
      <c r="W482" s="197"/>
      <c r="X482" s="197"/>
      <c r="Y482" s="197"/>
      <c r="Z482" s="197"/>
      <c r="AA482" s="197"/>
      <c r="AB482" s="197"/>
      <c r="AC482" s="197"/>
      <c r="AD482" s="208"/>
      <c r="AE482" s="200"/>
      <c r="AF482" s="200"/>
    </row>
    <row r="483" spans="5:32" ht="15.75" x14ac:dyDescent="0.25">
      <c r="E483" s="261"/>
      <c r="F483" s="193"/>
      <c r="G483" s="194"/>
      <c r="H483" s="195"/>
      <c r="I483" s="202"/>
      <c r="O483" s="197"/>
      <c r="P483" s="197"/>
      <c r="Q483" s="197"/>
      <c r="R483" s="197"/>
      <c r="S483" s="197"/>
      <c r="T483" s="197"/>
      <c r="U483" s="197"/>
      <c r="V483" s="197"/>
      <c r="W483" s="197"/>
      <c r="X483" s="197"/>
      <c r="Y483" s="197"/>
      <c r="Z483" s="197"/>
      <c r="AA483" s="197"/>
      <c r="AB483" s="197"/>
      <c r="AC483" s="197"/>
      <c r="AD483" s="208"/>
      <c r="AE483" s="200"/>
      <c r="AF483" s="200"/>
    </row>
    <row r="484" spans="5:32" ht="15.75" x14ac:dyDescent="0.25">
      <c r="E484" s="261"/>
      <c r="F484" s="193"/>
      <c r="G484" s="194"/>
      <c r="H484" s="195"/>
      <c r="I484" s="202"/>
      <c r="O484" s="197"/>
      <c r="P484" s="197"/>
      <c r="Q484" s="197"/>
      <c r="R484" s="197"/>
      <c r="S484" s="197"/>
      <c r="T484" s="197"/>
      <c r="U484" s="197"/>
      <c r="V484" s="197"/>
      <c r="W484" s="197"/>
      <c r="X484" s="197"/>
      <c r="Y484" s="197"/>
      <c r="Z484" s="197"/>
      <c r="AA484" s="197"/>
      <c r="AB484" s="197"/>
      <c r="AC484" s="197"/>
      <c r="AD484" s="208"/>
      <c r="AE484" s="200"/>
      <c r="AF484" s="200"/>
    </row>
    <row r="485" spans="5:32" ht="15.75" x14ac:dyDescent="0.25">
      <c r="E485" s="261"/>
      <c r="F485" s="193"/>
      <c r="G485" s="194"/>
      <c r="H485" s="195"/>
      <c r="I485" s="202"/>
      <c r="O485" s="197"/>
      <c r="P485" s="197"/>
      <c r="Q485" s="197"/>
      <c r="R485" s="197"/>
      <c r="S485" s="197"/>
      <c r="T485" s="197"/>
      <c r="U485" s="197"/>
      <c r="V485" s="197"/>
      <c r="W485" s="197"/>
      <c r="X485" s="197"/>
      <c r="Y485" s="197"/>
      <c r="Z485" s="197"/>
      <c r="AA485" s="197"/>
      <c r="AB485" s="197"/>
      <c r="AC485" s="197"/>
      <c r="AD485" s="208"/>
      <c r="AE485" s="200"/>
      <c r="AF485" s="200"/>
    </row>
    <row r="486" spans="5:32" ht="15.75" x14ac:dyDescent="0.25">
      <c r="E486" s="261"/>
      <c r="F486" s="193"/>
      <c r="G486" s="194"/>
      <c r="H486" s="195"/>
      <c r="I486" s="202"/>
      <c r="O486" s="197"/>
      <c r="P486" s="197"/>
      <c r="Q486" s="197"/>
      <c r="R486" s="197"/>
      <c r="S486" s="197"/>
      <c r="T486" s="197"/>
      <c r="U486" s="197"/>
      <c r="V486" s="197"/>
      <c r="W486" s="197"/>
      <c r="X486" s="197"/>
      <c r="Y486" s="197"/>
      <c r="Z486" s="197"/>
      <c r="AA486" s="197"/>
      <c r="AB486" s="197"/>
      <c r="AC486" s="197"/>
      <c r="AD486" s="208"/>
      <c r="AE486" s="200"/>
      <c r="AF486" s="200"/>
    </row>
    <row r="487" spans="5:32" ht="15.75" x14ac:dyDescent="0.25">
      <c r="E487" s="261"/>
      <c r="F487" s="193"/>
      <c r="G487" s="194"/>
      <c r="H487" s="195"/>
      <c r="I487" s="202"/>
      <c r="O487" s="197"/>
      <c r="P487" s="197"/>
      <c r="Q487" s="197"/>
      <c r="R487" s="197"/>
      <c r="S487" s="197"/>
      <c r="T487" s="197"/>
      <c r="U487" s="197"/>
      <c r="V487" s="197"/>
      <c r="W487" s="197"/>
      <c r="X487" s="197"/>
      <c r="Y487" s="197"/>
      <c r="Z487" s="197"/>
      <c r="AA487" s="197"/>
      <c r="AB487" s="197"/>
      <c r="AC487" s="197"/>
      <c r="AD487" s="208"/>
      <c r="AE487" s="200"/>
      <c r="AF487" s="200"/>
    </row>
    <row r="488" spans="5:32" ht="15.75" x14ac:dyDescent="0.25">
      <c r="E488" s="261"/>
      <c r="F488" s="193"/>
      <c r="G488" s="194"/>
      <c r="H488" s="195"/>
      <c r="I488" s="202"/>
      <c r="O488" s="197"/>
      <c r="P488" s="197"/>
      <c r="Q488" s="197"/>
      <c r="R488" s="197"/>
      <c r="S488" s="197"/>
      <c r="T488" s="197"/>
      <c r="U488" s="197"/>
      <c r="V488" s="197"/>
      <c r="W488" s="197"/>
      <c r="X488" s="197"/>
      <c r="Y488" s="197"/>
      <c r="Z488" s="197"/>
      <c r="AA488" s="197"/>
      <c r="AB488" s="197"/>
      <c r="AC488" s="197"/>
      <c r="AD488" s="208"/>
      <c r="AE488" s="200"/>
      <c r="AF488" s="200"/>
    </row>
    <row r="489" spans="5:32" ht="15.75" x14ac:dyDescent="0.25">
      <c r="E489" s="261"/>
      <c r="F489" s="193"/>
      <c r="G489" s="194"/>
      <c r="H489" s="195"/>
      <c r="I489" s="202"/>
      <c r="O489" s="197"/>
      <c r="P489" s="197"/>
      <c r="Q489" s="197"/>
      <c r="R489" s="197"/>
      <c r="S489" s="197"/>
      <c r="T489" s="197"/>
      <c r="U489" s="197"/>
      <c r="V489" s="197"/>
      <c r="W489" s="197"/>
      <c r="X489" s="197"/>
      <c r="Y489" s="197"/>
      <c r="Z489" s="197"/>
      <c r="AA489" s="197"/>
      <c r="AB489" s="197"/>
      <c r="AC489" s="197"/>
      <c r="AD489" s="208"/>
      <c r="AE489" s="200"/>
      <c r="AF489" s="200"/>
    </row>
    <row r="490" spans="5:32" ht="15.75" x14ac:dyDescent="0.25">
      <c r="E490" s="261"/>
      <c r="F490" s="193"/>
      <c r="G490" s="194"/>
      <c r="H490" s="195"/>
      <c r="I490" s="202"/>
      <c r="O490" s="197"/>
      <c r="P490" s="197"/>
      <c r="Q490" s="197"/>
      <c r="R490" s="197"/>
      <c r="S490" s="197"/>
      <c r="T490" s="197"/>
      <c r="U490" s="197"/>
      <c r="V490" s="197"/>
      <c r="W490" s="197"/>
      <c r="X490" s="197"/>
      <c r="Y490" s="197"/>
      <c r="Z490" s="197"/>
      <c r="AA490" s="197"/>
      <c r="AB490" s="197"/>
      <c r="AC490" s="197"/>
      <c r="AD490" s="208"/>
      <c r="AE490" s="200"/>
      <c r="AF490" s="200"/>
    </row>
    <row r="491" spans="5:32" ht="15.75" x14ac:dyDescent="0.25">
      <c r="E491" s="261"/>
      <c r="F491" s="193"/>
      <c r="G491" s="194"/>
      <c r="H491" s="195"/>
      <c r="I491" s="202"/>
      <c r="O491" s="197"/>
      <c r="P491" s="197"/>
      <c r="Q491" s="197"/>
      <c r="R491" s="197"/>
      <c r="S491" s="197"/>
      <c r="T491" s="197"/>
      <c r="U491" s="197"/>
      <c r="V491" s="197"/>
      <c r="W491" s="197"/>
      <c r="X491" s="197"/>
      <c r="Y491" s="197"/>
      <c r="Z491" s="197"/>
      <c r="AA491" s="197"/>
      <c r="AB491" s="197"/>
      <c r="AC491" s="197"/>
      <c r="AD491" s="208"/>
      <c r="AE491" s="200"/>
      <c r="AF491" s="200"/>
    </row>
    <row r="492" spans="5:32" ht="15.75" x14ac:dyDescent="0.25">
      <c r="E492" s="261"/>
      <c r="F492" s="193"/>
      <c r="G492" s="194"/>
      <c r="H492" s="195"/>
      <c r="I492" s="202"/>
      <c r="O492" s="197"/>
      <c r="P492" s="197"/>
      <c r="Q492" s="197"/>
      <c r="R492" s="197"/>
      <c r="S492" s="197"/>
      <c r="T492" s="197"/>
      <c r="U492" s="197"/>
      <c r="V492" s="197"/>
      <c r="W492" s="197"/>
      <c r="X492" s="197"/>
      <c r="Y492" s="197"/>
      <c r="Z492" s="197"/>
      <c r="AA492" s="197"/>
      <c r="AB492" s="197"/>
      <c r="AC492" s="197"/>
      <c r="AD492" s="208"/>
      <c r="AE492" s="200"/>
      <c r="AF492" s="200"/>
    </row>
    <row r="493" spans="5:32" ht="15.75" x14ac:dyDescent="0.25">
      <c r="E493" s="261"/>
      <c r="F493" s="193"/>
      <c r="G493" s="194"/>
      <c r="H493" s="195"/>
      <c r="I493" s="202"/>
      <c r="O493" s="197"/>
      <c r="P493" s="197"/>
      <c r="Q493" s="197"/>
      <c r="R493" s="197"/>
      <c r="S493" s="197"/>
      <c r="T493" s="197"/>
      <c r="U493" s="197"/>
      <c r="V493" s="197"/>
      <c r="W493" s="197"/>
      <c r="X493" s="197"/>
      <c r="Y493" s="197"/>
      <c r="Z493" s="197"/>
      <c r="AA493" s="197"/>
      <c r="AB493" s="197"/>
      <c r="AC493" s="197"/>
      <c r="AD493" s="208"/>
      <c r="AE493" s="200"/>
      <c r="AF493" s="200"/>
    </row>
    <row r="494" spans="5:32" ht="15.75" x14ac:dyDescent="0.25">
      <c r="E494" s="261"/>
      <c r="F494" s="193"/>
      <c r="G494" s="194"/>
      <c r="H494" s="195"/>
      <c r="I494" s="202"/>
      <c r="O494" s="197"/>
      <c r="P494" s="197"/>
      <c r="Q494" s="197"/>
      <c r="R494" s="197"/>
      <c r="S494" s="197"/>
      <c r="T494" s="197"/>
      <c r="U494" s="197"/>
      <c r="V494" s="197"/>
      <c r="W494" s="197"/>
      <c r="X494" s="197"/>
      <c r="Y494" s="197"/>
      <c r="Z494" s="197"/>
      <c r="AA494" s="197"/>
      <c r="AB494" s="197"/>
      <c r="AC494" s="197"/>
      <c r="AD494" s="208"/>
      <c r="AE494" s="200"/>
      <c r="AF494" s="200"/>
    </row>
    <row r="495" spans="5:32" ht="15.75" x14ac:dyDescent="0.25">
      <c r="E495" s="261"/>
      <c r="F495" s="193"/>
      <c r="G495" s="194"/>
      <c r="H495" s="195"/>
      <c r="I495" s="202"/>
      <c r="O495" s="197"/>
      <c r="P495" s="197"/>
      <c r="Q495" s="197"/>
      <c r="R495" s="197"/>
      <c r="S495" s="197"/>
      <c r="T495" s="197"/>
      <c r="U495" s="197"/>
      <c r="V495" s="197"/>
      <c r="W495" s="197"/>
      <c r="X495" s="197"/>
      <c r="Y495" s="197"/>
      <c r="Z495" s="197"/>
      <c r="AA495" s="197"/>
      <c r="AB495" s="197"/>
      <c r="AC495" s="197"/>
      <c r="AD495" s="208"/>
      <c r="AE495" s="200"/>
      <c r="AF495" s="200"/>
    </row>
    <row r="496" spans="5:32" ht="15.75" x14ac:dyDescent="0.25">
      <c r="E496" s="261"/>
      <c r="F496" s="193"/>
      <c r="G496" s="194"/>
      <c r="H496" s="195"/>
      <c r="I496" s="202"/>
      <c r="O496" s="197"/>
      <c r="P496" s="197"/>
      <c r="Q496" s="197"/>
      <c r="R496" s="197"/>
      <c r="S496" s="197"/>
      <c r="T496" s="197"/>
      <c r="U496" s="197"/>
      <c r="V496" s="197"/>
      <c r="W496" s="197"/>
      <c r="X496" s="197"/>
      <c r="Y496" s="197"/>
      <c r="Z496" s="197"/>
      <c r="AA496" s="197"/>
      <c r="AB496" s="197"/>
      <c r="AC496" s="197"/>
      <c r="AD496" s="208"/>
      <c r="AE496" s="200"/>
      <c r="AF496" s="200"/>
    </row>
    <row r="497" spans="5:32" ht="15.75" x14ac:dyDescent="0.25">
      <c r="E497" s="261"/>
      <c r="F497" s="193"/>
      <c r="G497" s="194"/>
      <c r="H497" s="195"/>
      <c r="I497" s="202"/>
      <c r="O497" s="197"/>
      <c r="P497" s="197"/>
      <c r="Q497" s="197"/>
      <c r="R497" s="197"/>
      <c r="S497" s="197"/>
      <c r="T497" s="197"/>
      <c r="U497" s="197"/>
      <c r="V497" s="197"/>
      <c r="W497" s="197"/>
      <c r="X497" s="197"/>
      <c r="Y497" s="197"/>
      <c r="Z497" s="197"/>
      <c r="AA497" s="197"/>
      <c r="AB497" s="197"/>
      <c r="AC497" s="197"/>
      <c r="AD497" s="208"/>
      <c r="AE497" s="200"/>
      <c r="AF497" s="200"/>
    </row>
    <row r="498" spans="5:32" ht="15.75" x14ac:dyDescent="0.25">
      <c r="E498" s="261"/>
      <c r="F498" s="193"/>
      <c r="G498" s="194"/>
      <c r="H498" s="195"/>
      <c r="I498" s="202"/>
      <c r="O498" s="197"/>
      <c r="P498" s="197"/>
      <c r="Q498" s="197"/>
      <c r="R498" s="197"/>
      <c r="S498" s="197"/>
      <c r="T498" s="197"/>
      <c r="U498" s="197"/>
      <c r="V498" s="197"/>
      <c r="W498" s="197"/>
      <c r="X498" s="197"/>
      <c r="Y498" s="197"/>
      <c r="Z498" s="197"/>
      <c r="AA498" s="197"/>
      <c r="AB498" s="197"/>
      <c r="AC498" s="197"/>
      <c r="AD498" s="208"/>
      <c r="AE498" s="200"/>
      <c r="AF498" s="200"/>
    </row>
    <row r="499" spans="5:32" ht="15.75" x14ac:dyDescent="0.25">
      <c r="E499" s="261"/>
      <c r="F499" s="193"/>
      <c r="G499" s="194"/>
      <c r="H499" s="195"/>
      <c r="I499" s="202"/>
      <c r="O499" s="197"/>
      <c r="P499" s="197"/>
      <c r="Q499" s="197"/>
      <c r="R499" s="197"/>
      <c r="S499" s="197"/>
      <c r="T499" s="197"/>
      <c r="U499" s="197"/>
      <c r="V499" s="197"/>
      <c r="W499" s="197"/>
      <c r="X499" s="197"/>
      <c r="Y499" s="197"/>
      <c r="Z499" s="197"/>
      <c r="AA499" s="197"/>
      <c r="AB499" s="197"/>
      <c r="AC499" s="197"/>
      <c r="AD499" s="208"/>
      <c r="AE499" s="200"/>
      <c r="AF499" s="200"/>
    </row>
    <row r="500" spans="5:32" ht="15.75" x14ac:dyDescent="0.25">
      <c r="E500" s="261"/>
      <c r="F500" s="193"/>
      <c r="G500" s="194"/>
      <c r="H500" s="195"/>
      <c r="I500" s="202"/>
      <c r="O500" s="197"/>
      <c r="P500" s="197"/>
      <c r="Q500" s="197"/>
      <c r="R500" s="197"/>
      <c r="S500" s="197"/>
      <c r="T500" s="197"/>
      <c r="U500" s="197"/>
      <c r="V500" s="197"/>
      <c r="W500" s="197"/>
      <c r="X500" s="197"/>
      <c r="Y500" s="197"/>
      <c r="Z500" s="197"/>
      <c r="AA500" s="197"/>
      <c r="AB500" s="197"/>
      <c r="AC500" s="197"/>
      <c r="AD500" s="208"/>
      <c r="AE500" s="200"/>
      <c r="AF500" s="200"/>
    </row>
    <row r="501" spans="5:32" ht="15.75" x14ac:dyDescent="0.25">
      <c r="E501" s="261"/>
      <c r="F501" s="193"/>
      <c r="G501" s="194"/>
      <c r="H501" s="195"/>
      <c r="I501" s="202"/>
      <c r="O501" s="197"/>
      <c r="P501" s="197"/>
      <c r="Q501" s="197"/>
      <c r="R501" s="197"/>
      <c r="S501" s="197"/>
      <c r="T501" s="197"/>
      <c r="U501" s="197"/>
      <c r="V501" s="197"/>
      <c r="W501" s="197"/>
      <c r="X501" s="197"/>
      <c r="Y501" s="197"/>
      <c r="Z501" s="197"/>
      <c r="AA501" s="197"/>
      <c r="AB501" s="197"/>
      <c r="AC501" s="197"/>
      <c r="AD501" s="208"/>
      <c r="AE501" s="200"/>
      <c r="AF501" s="200"/>
    </row>
    <row r="502" spans="5:32" ht="15.75" x14ac:dyDescent="0.25">
      <c r="E502" s="261"/>
      <c r="F502" s="193"/>
      <c r="G502" s="194"/>
      <c r="H502" s="195"/>
      <c r="I502" s="202"/>
      <c r="O502" s="197"/>
      <c r="P502" s="197"/>
      <c r="Q502" s="197"/>
      <c r="R502" s="197"/>
      <c r="S502" s="197"/>
      <c r="T502" s="197"/>
      <c r="U502" s="197"/>
      <c r="V502" s="197"/>
      <c r="W502" s="197"/>
      <c r="X502" s="197"/>
      <c r="Y502" s="197"/>
      <c r="Z502" s="197"/>
      <c r="AA502" s="197"/>
      <c r="AB502" s="197"/>
      <c r="AC502" s="197"/>
      <c r="AD502" s="208"/>
      <c r="AE502" s="200"/>
      <c r="AF502" s="200"/>
    </row>
    <row r="503" spans="5:32" ht="15.75" x14ac:dyDescent="0.25">
      <c r="E503" s="261"/>
      <c r="F503" s="193"/>
      <c r="G503" s="194"/>
      <c r="H503" s="195"/>
      <c r="I503" s="202"/>
      <c r="O503" s="197"/>
      <c r="P503" s="197"/>
      <c r="Q503" s="197"/>
      <c r="R503" s="197"/>
      <c r="S503" s="197"/>
      <c r="T503" s="197"/>
      <c r="U503" s="197"/>
      <c r="V503" s="197"/>
      <c r="W503" s="197"/>
      <c r="X503" s="197"/>
      <c r="Y503" s="197"/>
      <c r="Z503" s="197"/>
      <c r="AA503" s="197"/>
      <c r="AB503" s="197"/>
      <c r="AC503" s="197"/>
      <c r="AD503" s="208"/>
      <c r="AE503" s="200"/>
      <c r="AF503" s="200"/>
    </row>
    <row r="504" spans="5:32" ht="15.75" x14ac:dyDescent="0.25">
      <c r="E504" s="261"/>
      <c r="F504" s="193"/>
      <c r="G504" s="194"/>
      <c r="H504" s="195"/>
      <c r="I504" s="202"/>
      <c r="O504" s="197"/>
      <c r="P504" s="197"/>
      <c r="Q504" s="197"/>
      <c r="R504" s="197"/>
      <c r="S504" s="197"/>
      <c r="T504" s="197"/>
      <c r="U504" s="197"/>
      <c r="V504" s="197"/>
      <c r="W504" s="197"/>
      <c r="X504" s="197"/>
      <c r="Y504" s="197"/>
      <c r="Z504" s="197"/>
      <c r="AA504" s="197"/>
      <c r="AB504" s="197"/>
      <c r="AC504" s="197"/>
      <c r="AD504" s="208"/>
      <c r="AE504" s="200"/>
      <c r="AF504" s="200"/>
    </row>
    <row r="505" spans="5:32" ht="15.75" x14ac:dyDescent="0.25">
      <c r="E505" s="261"/>
      <c r="F505" s="193"/>
      <c r="G505" s="194"/>
      <c r="H505" s="195"/>
      <c r="I505" s="202"/>
      <c r="O505" s="197"/>
      <c r="P505" s="197"/>
      <c r="Q505" s="197"/>
      <c r="R505" s="197"/>
      <c r="S505" s="197"/>
      <c r="T505" s="197"/>
      <c r="U505" s="197"/>
      <c r="V505" s="197"/>
      <c r="W505" s="197"/>
      <c r="X505" s="197"/>
      <c r="Y505" s="197"/>
      <c r="Z505" s="197"/>
      <c r="AA505" s="197"/>
      <c r="AB505" s="197"/>
      <c r="AC505" s="197"/>
      <c r="AD505" s="208"/>
      <c r="AE505" s="200"/>
      <c r="AF505" s="200"/>
    </row>
    <row r="506" spans="5:32" ht="15.75" x14ac:dyDescent="0.25">
      <c r="E506" s="261"/>
      <c r="F506" s="193"/>
      <c r="G506" s="194"/>
      <c r="H506" s="195"/>
      <c r="I506" s="202"/>
      <c r="O506" s="197"/>
      <c r="P506" s="197"/>
      <c r="Q506" s="197"/>
      <c r="R506" s="197"/>
      <c r="S506" s="197"/>
      <c r="T506" s="197"/>
      <c r="U506" s="197"/>
      <c r="V506" s="197"/>
      <c r="W506" s="197"/>
      <c r="X506" s="197"/>
      <c r="Y506" s="197"/>
      <c r="Z506" s="197"/>
      <c r="AA506" s="197"/>
      <c r="AB506" s="197"/>
      <c r="AC506" s="197"/>
      <c r="AD506" s="208"/>
      <c r="AE506" s="200"/>
      <c r="AF506" s="200"/>
    </row>
    <row r="507" spans="5:32" ht="15.75" x14ac:dyDescent="0.25">
      <c r="E507" s="261"/>
      <c r="F507" s="193"/>
      <c r="G507" s="194"/>
      <c r="H507" s="195"/>
      <c r="I507" s="202"/>
      <c r="O507" s="197"/>
      <c r="P507" s="197"/>
      <c r="Q507" s="197"/>
      <c r="R507" s="197"/>
      <c r="S507" s="197"/>
      <c r="T507" s="197"/>
      <c r="U507" s="197"/>
      <c r="V507" s="197"/>
      <c r="W507" s="197"/>
      <c r="X507" s="197"/>
      <c r="Y507" s="197"/>
      <c r="Z507" s="197"/>
      <c r="AA507" s="197"/>
      <c r="AB507" s="197"/>
      <c r="AC507" s="197"/>
      <c r="AD507" s="208"/>
      <c r="AE507" s="200"/>
      <c r="AF507" s="200"/>
    </row>
    <row r="508" spans="5:32" ht="15.75" x14ac:dyDescent="0.25">
      <c r="E508" s="261"/>
      <c r="F508" s="193"/>
      <c r="G508" s="194"/>
      <c r="H508" s="195"/>
      <c r="I508" s="202"/>
      <c r="O508" s="197"/>
      <c r="P508" s="197"/>
      <c r="Q508" s="197"/>
      <c r="R508" s="197"/>
      <c r="S508" s="197"/>
      <c r="T508" s="197"/>
      <c r="U508" s="197"/>
      <c r="V508" s="197"/>
      <c r="W508" s="197"/>
      <c r="X508" s="197"/>
      <c r="Y508" s="197"/>
      <c r="Z508" s="197"/>
      <c r="AA508" s="197"/>
      <c r="AB508" s="197"/>
      <c r="AC508" s="197"/>
      <c r="AD508" s="208"/>
      <c r="AE508" s="200"/>
      <c r="AF508" s="200"/>
    </row>
    <row r="509" spans="5:32" ht="15.75" x14ac:dyDescent="0.25">
      <c r="E509" s="261"/>
      <c r="F509" s="193"/>
      <c r="G509" s="194"/>
      <c r="H509" s="195"/>
      <c r="I509" s="202"/>
      <c r="O509" s="197"/>
      <c r="P509" s="197"/>
      <c r="Q509" s="197"/>
      <c r="R509" s="197"/>
      <c r="S509" s="197"/>
      <c r="T509" s="197"/>
      <c r="U509" s="197"/>
      <c r="V509" s="197"/>
      <c r="W509" s="197"/>
      <c r="X509" s="197"/>
      <c r="Y509" s="197"/>
      <c r="Z509" s="197"/>
      <c r="AA509" s="197"/>
      <c r="AB509" s="197"/>
      <c r="AC509" s="197"/>
      <c r="AD509" s="208"/>
      <c r="AE509" s="200"/>
      <c r="AF509" s="200"/>
    </row>
    <row r="510" spans="5:32" ht="15.75" x14ac:dyDescent="0.25">
      <c r="E510" s="261"/>
      <c r="F510" s="193"/>
      <c r="G510" s="194"/>
      <c r="H510" s="195"/>
      <c r="I510" s="202"/>
      <c r="O510" s="197"/>
      <c r="P510" s="197"/>
      <c r="Q510" s="197"/>
      <c r="R510" s="197"/>
      <c r="S510" s="197"/>
      <c r="T510" s="197"/>
      <c r="U510" s="197"/>
      <c r="V510" s="197"/>
      <c r="W510" s="197"/>
      <c r="X510" s="197"/>
      <c r="Y510" s="197"/>
      <c r="Z510" s="197"/>
      <c r="AA510" s="197"/>
      <c r="AB510" s="197"/>
      <c r="AC510" s="197"/>
      <c r="AD510" s="208"/>
      <c r="AE510" s="200"/>
      <c r="AF510" s="200"/>
    </row>
    <row r="511" spans="5:32" ht="15.75" x14ac:dyDescent="0.25">
      <c r="E511" s="261"/>
      <c r="F511" s="193"/>
      <c r="G511" s="194"/>
      <c r="H511" s="195"/>
      <c r="I511" s="202"/>
      <c r="O511" s="197"/>
      <c r="P511" s="197"/>
      <c r="Q511" s="197"/>
      <c r="R511" s="197"/>
      <c r="S511" s="197"/>
      <c r="T511" s="197"/>
      <c r="U511" s="197"/>
      <c r="V511" s="197"/>
      <c r="W511" s="197"/>
      <c r="X511" s="197"/>
      <c r="Y511" s="197"/>
      <c r="Z511" s="197"/>
      <c r="AA511" s="197"/>
      <c r="AB511" s="197"/>
      <c r="AC511" s="197"/>
      <c r="AD511" s="208"/>
      <c r="AE511" s="200"/>
      <c r="AF511" s="200"/>
    </row>
    <row r="512" spans="5:32" ht="15.75" x14ac:dyDescent="0.25">
      <c r="E512" s="261"/>
      <c r="F512" s="193"/>
      <c r="G512" s="194"/>
      <c r="H512" s="195"/>
      <c r="I512" s="202"/>
      <c r="O512" s="197"/>
      <c r="P512" s="197"/>
      <c r="Q512" s="197"/>
      <c r="R512" s="197"/>
      <c r="S512" s="197"/>
      <c r="T512" s="197"/>
      <c r="U512" s="197"/>
      <c r="V512" s="197"/>
      <c r="W512" s="197"/>
      <c r="X512" s="197"/>
      <c r="Y512" s="197"/>
      <c r="Z512" s="197"/>
      <c r="AA512" s="197"/>
      <c r="AB512" s="197"/>
      <c r="AC512" s="197"/>
      <c r="AD512" s="208"/>
      <c r="AE512" s="200"/>
      <c r="AF512" s="200"/>
    </row>
    <row r="513" spans="5:32" ht="15.75" x14ac:dyDescent="0.25">
      <c r="E513" s="261"/>
      <c r="F513" s="193"/>
      <c r="G513" s="194"/>
      <c r="H513" s="195"/>
      <c r="I513" s="202"/>
      <c r="O513" s="197"/>
      <c r="P513" s="197"/>
      <c r="Q513" s="197"/>
      <c r="R513" s="197"/>
      <c r="S513" s="197"/>
      <c r="T513" s="197"/>
      <c r="U513" s="197"/>
      <c r="V513" s="197"/>
      <c r="W513" s="197"/>
      <c r="X513" s="197"/>
      <c r="Y513" s="197"/>
      <c r="Z513" s="197"/>
      <c r="AA513" s="197"/>
      <c r="AB513" s="197"/>
      <c r="AC513" s="197"/>
      <c r="AD513" s="208"/>
      <c r="AE513" s="200"/>
      <c r="AF513" s="200"/>
    </row>
    <row r="514" spans="5:32" ht="15.75" x14ac:dyDescent="0.25">
      <c r="E514" s="261"/>
      <c r="F514" s="193"/>
      <c r="G514" s="194"/>
      <c r="H514" s="195"/>
      <c r="I514" s="202"/>
      <c r="O514" s="197"/>
      <c r="P514" s="197"/>
      <c r="Q514" s="197"/>
      <c r="R514" s="197"/>
      <c r="S514" s="197"/>
      <c r="T514" s="197"/>
      <c r="U514" s="197"/>
      <c r="V514" s="197"/>
      <c r="W514" s="197"/>
      <c r="X514" s="197"/>
      <c r="Y514" s="197"/>
      <c r="Z514" s="197"/>
      <c r="AA514" s="197"/>
      <c r="AB514" s="197"/>
      <c r="AC514" s="197"/>
      <c r="AD514" s="208"/>
      <c r="AE514" s="200"/>
      <c r="AF514" s="200"/>
    </row>
    <row r="515" spans="5:32" ht="15.75" x14ac:dyDescent="0.25">
      <c r="E515" s="261"/>
      <c r="F515" s="193"/>
      <c r="G515" s="194"/>
      <c r="H515" s="195"/>
      <c r="I515" s="202"/>
      <c r="O515" s="197"/>
      <c r="P515" s="197"/>
      <c r="Q515" s="197"/>
      <c r="R515" s="197"/>
      <c r="S515" s="197"/>
      <c r="T515" s="197"/>
      <c r="U515" s="197"/>
      <c r="V515" s="197"/>
      <c r="W515" s="197"/>
      <c r="X515" s="197"/>
      <c r="Y515" s="197"/>
      <c r="Z515" s="197"/>
      <c r="AA515" s="197"/>
      <c r="AB515" s="197"/>
      <c r="AC515" s="197"/>
      <c r="AD515" s="208"/>
      <c r="AE515" s="200"/>
      <c r="AF515" s="200"/>
    </row>
    <row r="516" spans="5:32" ht="15.75" x14ac:dyDescent="0.25">
      <c r="E516" s="261"/>
      <c r="F516" s="193"/>
      <c r="G516" s="194"/>
      <c r="H516" s="195"/>
      <c r="I516" s="202"/>
      <c r="O516" s="197"/>
      <c r="P516" s="197"/>
      <c r="Q516" s="197"/>
      <c r="R516" s="197"/>
      <c r="S516" s="197"/>
      <c r="T516" s="197"/>
      <c r="U516" s="197"/>
      <c r="V516" s="197"/>
      <c r="W516" s="197"/>
      <c r="X516" s="197"/>
      <c r="Y516" s="197"/>
      <c r="Z516" s="197"/>
      <c r="AA516" s="197"/>
      <c r="AB516" s="197"/>
      <c r="AC516" s="197"/>
      <c r="AD516" s="208"/>
      <c r="AE516" s="200"/>
      <c r="AF516" s="200"/>
    </row>
    <row r="517" spans="5:32" ht="15.75" x14ac:dyDescent="0.25">
      <c r="E517" s="261"/>
      <c r="F517" s="193"/>
      <c r="G517" s="194"/>
      <c r="H517" s="195"/>
      <c r="I517" s="202"/>
      <c r="O517" s="197"/>
      <c r="P517" s="197"/>
      <c r="Q517" s="197"/>
      <c r="R517" s="197"/>
      <c r="S517" s="197"/>
      <c r="T517" s="197"/>
      <c r="U517" s="197"/>
      <c r="V517" s="197"/>
      <c r="W517" s="197"/>
      <c r="X517" s="197"/>
      <c r="Y517" s="197"/>
      <c r="Z517" s="197"/>
      <c r="AA517" s="197"/>
      <c r="AB517" s="197"/>
      <c r="AC517" s="197"/>
      <c r="AD517" s="208"/>
      <c r="AE517" s="200"/>
      <c r="AF517" s="200"/>
    </row>
    <row r="518" spans="5:32" ht="15.75" x14ac:dyDescent="0.25">
      <c r="E518" s="261"/>
      <c r="F518" s="193"/>
      <c r="G518" s="194"/>
      <c r="H518" s="195"/>
      <c r="I518" s="202"/>
      <c r="O518" s="197"/>
      <c r="P518" s="197"/>
      <c r="Q518" s="197"/>
      <c r="R518" s="197"/>
      <c r="S518" s="197"/>
      <c r="T518" s="197"/>
      <c r="U518" s="197"/>
      <c r="V518" s="197"/>
      <c r="W518" s="197"/>
      <c r="X518" s="197"/>
      <c r="Y518" s="197"/>
      <c r="Z518" s="197"/>
      <c r="AA518" s="197"/>
      <c r="AB518" s="197"/>
      <c r="AC518" s="197"/>
      <c r="AD518" s="208"/>
      <c r="AE518" s="200"/>
      <c r="AF518" s="200"/>
    </row>
    <row r="519" spans="5:32" ht="15.75" x14ac:dyDescent="0.25">
      <c r="E519" s="261"/>
      <c r="F519" s="193"/>
      <c r="G519" s="194"/>
      <c r="H519" s="195"/>
      <c r="I519" s="202"/>
      <c r="O519" s="197"/>
      <c r="P519" s="197"/>
      <c r="Q519" s="197"/>
      <c r="R519" s="197"/>
      <c r="S519" s="197"/>
      <c r="T519" s="197"/>
      <c r="U519" s="197"/>
      <c r="V519" s="197"/>
      <c r="W519" s="197"/>
      <c r="X519" s="197"/>
      <c r="Y519" s="197"/>
      <c r="Z519" s="197"/>
      <c r="AA519" s="197"/>
      <c r="AB519" s="197"/>
      <c r="AC519" s="197"/>
      <c r="AD519" s="208"/>
      <c r="AE519" s="200"/>
      <c r="AF519" s="200"/>
    </row>
    <row r="520" spans="5:32" ht="15.75" x14ac:dyDescent="0.25">
      <c r="E520" s="261"/>
      <c r="F520" s="193"/>
      <c r="G520" s="194"/>
      <c r="H520" s="195"/>
      <c r="I520" s="202"/>
      <c r="O520" s="197"/>
      <c r="P520" s="197"/>
      <c r="Q520" s="197"/>
      <c r="R520" s="197"/>
      <c r="S520" s="197"/>
      <c r="T520" s="197"/>
      <c r="U520" s="197"/>
      <c r="V520" s="197"/>
      <c r="W520" s="197"/>
      <c r="X520" s="197"/>
      <c r="Y520" s="197"/>
      <c r="Z520" s="197"/>
      <c r="AA520" s="197"/>
      <c r="AB520" s="197"/>
      <c r="AC520" s="197"/>
      <c r="AD520" s="208"/>
      <c r="AE520" s="200"/>
      <c r="AF520" s="200"/>
    </row>
    <row r="521" spans="5:32" ht="15.75" x14ac:dyDescent="0.25">
      <c r="E521" s="261"/>
      <c r="F521" s="193"/>
      <c r="G521" s="194"/>
      <c r="H521" s="195"/>
      <c r="I521" s="202"/>
      <c r="O521" s="197"/>
      <c r="P521" s="197"/>
      <c r="Q521" s="197"/>
      <c r="R521" s="197"/>
      <c r="S521" s="197"/>
      <c r="T521" s="197"/>
      <c r="U521" s="197"/>
      <c r="V521" s="197"/>
      <c r="W521" s="197"/>
      <c r="X521" s="197"/>
      <c r="Y521" s="197"/>
      <c r="Z521" s="197"/>
      <c r="AA521" s="197"/>
      <c r="AB521" s="197"/>
      <c r="AC521" s="197"/>
      <c r="AD521" s="208"/>
      <c r="AE521" s="200"/>
      <c r="AF521" s="200"/>
    </row>
    <row r="522" spans="5:32" ht="15.75" x14ac:dyDescent="0.25">
      <c r="E522" s="261"/>
      <c r="F522" s="193"/>
      <c r="G522" s="194"/>
      <c r="H522" s="195"/>
      <c r="I522" s="202"/>
      <c r="O522" s="197"/>
      <c r="P522" s="197"/>
      <c r="Q522" s="197"/>
      <c r="R522" s="197"/>
      <c r="S522" s="197"/>
      <c r="T522" s="197"/>
      <c r="U522" s="197"/>
      <c r="V522" s="197"/>
      <c r="W522" s="197"/>
      <c r="X522" s="197"/>
      <c r="Y522" s="197"/>
      <c r="Z522" s="197"/>
      <c r="AA522" s="197"/>
      <c r="AB522" s="197"/>
      <c r="AC522" s="197"/>
      <c r="AD522" s="208"/>
      <c r="AE522" s="200"/>
      <c r="AF522" s="200"/>
    </row>
    <row r="523" spans="5:32" ht="15.75" x14ac:dyDescent="0.25">
      <c r="E523" s="261"/>
      <c r="F523" s="193"/>
      <c r="G523" s="194"/>
      <c r="H523" s="195"/>
      <c r="I523" s="202"/>
      <c r="O523" s="197"/>
      <c r="P523" s="197"/>
      <c r="Q523" s="197"/>
      <c r="R523" s="197"/>
      <c r="S523" s="197"/>
      <c r="T523" s="197"/>
      <c r="U523" s="197"/>
      <c r="V523" s="197"/>
      <c r="W523" s="197"/>
      <c r="X523" s="197"/>
      <c r="Y523" s="197"/>
      <c r="Z523" s="197"/>
      <c r="AA523" s="197"/>
      <c r="AB523" s="197"/>
      <c r="AC523" s="197"/>
      <c r="AD523" s="208"/>
      <c r="AE523" s="200"/>
      <c r="AF523" s="200"/>
    </row>
    <row r="524" spans="5:32" ht="15.75" x14ac:dyDescent="0.25">
      <c r="E524" s="261"/>
      <c r="F524" s="193"/>
      <c r="G524" s="194"/>
      <c r="H524" s="195"/>
      <c r="I524" s="202"/>
      <c r="O524" s="197"/>
      <c r="P524" s="197"/>
      <c r="Q524" s="197"/>
      <c r="R524" s="197"/>
      <c r="S524" s="197"/>
      <c r="T524" s="197"/>
      <c r="U524" s="197"/>
      <c r="V524" s="197"/>
      <c r="W524" s="197"/>
      <c r="X524" s="197"/>
      <c r="Y524" s="197"/>
      <c r="Z524" s="197"/>
      <c r="AA524" s="197"/>
      <c r="AB524" s="197"/>
      <c r="AC524" s="197"/>
      <c r="AD524" s="208"/>
      <c r="AE524" s="200"/>
      <c r="AF524" s="200"/>
    </row>
    <row r="525" spans="5:32" ht="15.75" x14ac:dyDescent="0.25">
      <c r="E525" s="261"/>
      <c r="F525" s="193"/>
      <c r="G525" s="194"/>
      <c r="H525" s="195"/>
      <c r="I525" s="202"/>
      <c r="O525" s="197"/>
      <c r="P525" s="197"/>
      <c r="Q525" s="197"/>
      <c r="R525" s="197"/>
      <c r="S525" s="197"/>
      <c r="T525" s="197"/>
      <c r="U525" s="197"/>
      <c r="V525" s="197"/>
      <c r="W525" s="197"/>
      <c r="X525" s="197"/>
      <c r="Y525" s="197"/>
      <c r="Z525" s="197"/>
      <c r="AA525" s="197"/>
      <c r="AB525" s="197"/>
      <c r="AC525" s="197"/>
      <c r="AD525" s="208"/>
      <c r="AE525" s="200"/>
      <c r="AF525" s="200"/>
    </row>
    <row r="526" spans="5:32" ht="15.75" x14ac:dyDescent="0.25">
      <c r="E526" s="261"/>
      <c r="F526" s="193"/>
      <c r="G526" s="194"/>
      <c r="H526" s="195"/>
      <c r="I526" s="202"/>
      <c r="O526" s="197"/>
      <c r="P526" s="197"/>
      <c r="Q526" s="197"/>
      <c r="R526" s="197"/>
      <c r="S526" s="197"/>
      <c r="T526" s="197"/>
      <c r="U526" s="197"/>
      <c r="V526" s="197"/>
      <c r="W526" s="197"/>
      <c r="X526" s="197"/>
      <c r="Y526" s="197"/>
      <c r="Z526" s="197"/>
      <c r="AA526" s="197"/>
      <c r="AB526" s="197"/>
      <c r="AC526" s="197"/>
      <c r="AD526" s="208"/>
      <c r="AE526" s="200"/>
      <c r="AF526" s="200"/>
    </row>
    <row r="527" spans="5:32" ht="15.75" x14ac:dyDescent="0.25">
      <c r="E527" s="261"/>
      <c r="F527" s="193"/>
      <c r="G527" s="194"/>
      <c r="H527" s="195"/>
      <c r="I527" s="202"/>
      <c r="O527" s="197"/>
      <c r="P527" s="197"/>
      <c r="Q527" s="197"/>
      <c r="R527" s="197"/>
      <c r="S527" s="197"/>
      <c r="T527" s="197"/>
      <c r="U527" s="197"/>
      <c r="V527" s="197"/>
      <c r="W527" s="197"/>
      <c r="X527" s="197"/>
      <c r="Y527" s="197"/>
      <c r="Z527" s="197"/>
      <c r="AA527" s="197"/>
      <c r="AB527" s="197"/>
      <c r="AC527" s="197"/>
      <c r="AD527" s="208"/>
      <c r="AE527" s="200"/>
      <c r="AF527" s="200"/>
    </row>
    <row r="528" spans="5:32" ht="15.75" x14ac:dyDescent="0.25">
      <c r="E528" s="261"/>
      <c r="F528" s="193"/>
      <c r="G528" s="194"/>
      <c r="H528" s="195"/>
      <c r="I528" s="202"/>
      <c r="O528" s="197"/>
      <c r="P528" s="197"/>
      <c r="Q528" s="197"/>
      <c r="R528" s="197"/>
      <c r="S528" s="197"/>
      <c r="T528" s="197"/>
      <c r="U528" s="197"/>
      <c r="V528" s="197"/>
      <c r="W528" s="197"/>
      <c r="X528" s="197"/>
      <c r="Y528" s="197"/>
      <c r="Z528" s="197"/>
      <c r="AA528" s="197"/>
      <c r="AB528" s="197"/>
      <c r="AC528" s="197"/>
      <c r="AD528" s="208"/>
      <c r="AE528" s="200"/>
      <c r="AF528" s="200"/>
    </row>
    <row r="529" spans="5:32" ht="15.75" x14ac:dyDescent="0.25">
      <c r="E529" s="261"/>
      <c r="F529" s="193"/>
      <c r="G529" s="194"/>
      <c r="H529" s="195"/>
      <c r="I529" s="202"/>
      <c r="O529" s="197"/>
      <c r="P529" s="197"/>
      <c r="Q529" s="197"/>
      <c r="R529" s="197"/>
      <c r="S529" s="197"/>
      <c r="T529" s="197"/>
      <c r="U529" s="197"/>
      <c r="V529" s="197"/>
      <c r="W529" s="197"/>
      <c r="X529" s="197"/>
      <c r="Y529" s="197"/>
      <c r="Z529" s="197"/>
      <c r="AA529" s="197"/>
      <c r="AB529" s="197"/>
      <c r="AC529" s="197"/>
      <c r="AD529" s="208"/>
      <c r="AE529" s="200"/>
      <c r="AF529" s="200"/>
    </row>
    <row r="530" spans="5:32" ht="15.75" x14ac:dyDescent="0.25">
      <c r="E530" s="261"/>
      <c r="F530" s="193"/>
      <c r="G530" s="194"/>
      <c r="H530" s="195"/>
      <c r="I530" s="202"/>
      <c r="O530" s="197"/>
      <c r="P530" s="197"/>
      <c r="Q530" s="197"/>
      <c r="R530" s="197"/>
      <c r="S530" s="197"/>
      <c r="T530" s="197"/>
      <c r="U530" s="197"/>
      <c r="V530" s="197"/>
      <c r="W530" s="197"/>
      <c r="X530" s="197"/>
      <c r="Y530" s="197"/>
      <c r="Z530" s="197"/>
      <c r="AA530" s="197"/>
      <c r="AB530" s="197"/>
      <c r="AC530" s="197"/>
      <c r="AD530" s="208"/>
      <c r="AE530" s="200"/>
      <c r="AF530" s="200"/>
    </row>
    <row r="531" spans="5:32" ht="15.75" x14ac:dyDescent="0.25">
      <c r="E531" s="261"/>
      <c r="F531" s="193"/>
      <c r="G531" s="194"/>
      <c r="H531" s="195"/>
      <c r="I531" s="202"/>
      <c r="O531" s="197"/>
      <c r="P531" s="197"/>
      <c r="Q531" s="197"/>
      <c r="R531" s="197"/>
      <c r="S531" s="197"/>
      <c r="T531" s="197"/>
      <c r="U531" s="197"/>
      <c r="V531" s="197"/>
      <c r="W531" s="197"/>
      <c r="X531" s="197"/>
      <c r="Y531" s="197"/>
      <c r="Z531" s="197"/>
      <c r="AA531" s="197"/>
      <c r="AB531" s="197"/>
      <c r="AC531" s="197"/>
      <c r="AD531" s="208"/>
      <c r="AE531" s="200"/>
      <c r="AF531" s="200"/>
    </row>
    <row r="532" spans="5:32" ht="15.75" x14ac:dyDescent="0.25">
      <c r="E532" s="261"/>
      <c r="F532" s="193"/>
      <c r="G532" s="194"/>
      <c r="H532" s="195"/>
      <c r="I532" s="202"/>
      <c r="O532" s="197"/>
      <c r="P532" s="197"/>
      <c r="Q532" s="197"/>
      <c r="R532" s="197"/>
      <c r="S532" s="197"/>
      <c r="T532" s="197"/>
      <c r="U532" s="197"/>
      <c r="V532" s="197"/>
      <c r="W532" s="197"/>
      <c r="X532" s="197"/>
      <c r="Y532" s="197"/>
      <c r="Z532" s="197"/>
      <c r="AA532" s="197"/>
      <c r="AB532" s="197"/>
      <c r="AC532" s="197"/>
      <c r="AD532" s="208"/>
      <c r="AE532" s="200"/>
      <c r="AF532" s="200"/>
    </row>
    <row r="533" spans="5:32" ht="15.75" x14ac:dyDescent="0.25">
      <c r="E533" s="261"/>
      <c r="F533" s="193"/>
      <c r="G533" s="194"/>
      <c r="H533" s="195"/>
      <c r="I533" s="202"/>
      <c r="O533" s="197"/>
      <c r="P533" s="197"/>
      <c r="Q533" s="197"/>
      <c r="R533" s="197"/>
      <c r="S533" s="197"/>
      <c r="T533" s="197"/>
      <c r="U533" s="197"/>
      <c r="V533" s="197"/>
      <c r="W533" s="197"/>
      <c r="X533" s="197"/>
      <c r="Y533" s="197"/>
      <c r="Z533" s="197"/>
      <c r="AA533" s="197"/>
      <c r="AB533" s="197"/>
      <c r="AC533" s="197"/>
      <c r="AD533" s="208"/>
      <c r="AE533" s="200"/>
      <c r="AF533" s="200"/>
    </row>
    <row r="534" spans="5:32" ht="15.75" x14ac:dyDescent="0.25">
      <c r="E534" s="261"/>
      <c r="F534" s="193"/>
      <c r="G534" s="194"/>
      <c r="H534" s="195"/>
      <c r="I534" s="202"/>
      <c r="O534" s="197"/>
      <c r="P534" s="197"/>
      <c r="Q534" s="197"/>
      <c r="R534" s="197"/>
      <c r="S534" s="197"/>
      <c r="T534" s="197"/>
      <c r="U534" s="197"/>
      <c r="V534" s="197"/>
      <c r="W534" s="197"/>
      <c r="X534" s="197"/>
      <c r="Y534" s="197"/>
      <c r="Z534" s="197"/>
      <c r="AA534" s="197"/>
      <c r="AB534" s="197"/>
      <c r="AC534" s="197"/>
      <c r="AD534" s="208"/>
      <c r="AE534" s="200"/>
      <c r="AF534" s="200"/>
    </row>
    <row r="535" spans="5:32" ht="15.75" x14ac:dyDescent="0.25">
      <c r="E535" s="261"/>
      <c r="F535" s="193"/>
      <c r="G535" s="194"/>
      <c r="H535" s="195"/>
      <c r="I535" s="202"/>
      <c r="O535" s="197"/>
      <c r="P535" s="197"/>
      <c r="Q535" s="197"/>
      <c r="R535" s="197"/>
      <c r="S535" s="197"/>
      <c r="T535" s="197"/>
      <c r="U535" s="197"/>
      <c r="V535" s="197"/>
      <c r="W535" s="197"/>
      <c r="X535" s="197"/>
      <c r="Y535" s="197"/>
      <c r="Z535" s="197"/>
      <c r="AA535" s="197"/>
      <c r="AB535" s="197"/>
      <c r="AC535" s="197"/>
      <c r="AD535" s="208"/>
      <c r="AE535" s="200"/>
      <c r="AF535" s="200"/>
    </row>
    <row r="536" spans="5:32" ht="15.75" x14ac:dyDescent="0.25">
      <c r="E536" s="261"/>
      <c r="F536" s="193"/>
      <c r="G536" s="194"/>
      <c r="H536" s="195"/>
      <c r="I536" s="202"/>
      <c r="O536" s="197"/>
      <c r="P536" s="197"/>
      <c r="Q536" s="197"/>
      <c r="R536" s="197"/>
      <c r="S536" s="197"/>
      <c r="T536" s="197"/>
      <c r="U536" s="197"/>
      <c r="V536" s="197"/>
      <c r="W536" s="197"/>
      <c r="X536" s="197"/>
      <c r="Y536" s="197"/>
      <c r="Z536" s="197"/>
      <c r="AA536" s="197"/>
      <c r="AB536" s="197"/>
      <c r="AC536" s="197"/>
      <c r="AD536" s="208"/>
      <c r="AE536" s="200"/>
      <c r="AF536" s="200"/>
    </row>
    <row r="537" spans="5:32" ht="15.75" x14ac:dyDescent="0.25">
      <c r="E537" s="261"/>
      <c r="F537" s="193"/>
      <c r="G537" s="194"/>
      <c r="H537" s="195"/>
      <c r="I537" s="202"/>
      <c r="O537" s="197"/>
      <c r="P537" s="197"/>
      <c r="Q537" s="197"/>
      <c r="R537" s="197"/>
      <c r="S537" s="197"/>
      <c r="T537" s="197"/>
      <c r="U537" s="197"/>
      <c r="V537" s="197"/>
      <c r="W537" s="197"/>
      <c r="X537" s="197"/>
      <c r="Y537" s="197"/>
      <c r="Z537" s="197"/>
      <c r="AA537" s="197"/>
      <c r="AB537" s="197"/>
      <c r="AC537" s="197"/>
      <c r="AD537" s="208"/>
      <c r="AE537" s="200"/>
      <c r="AF537" s="200"/>
    </row>
    <row r="538" spans="5:32" ht="15.75" x14ac:dyDescent="0.25">
      <c r="E538" s="261"/>
      <c r="F538" s="193"/>
      <c r="G538" s="194"/>
      <c r="H538" s="195"/>
      <c r="I538" s="202"/>
      <c r="O538" s="197"/>
      <c r="P538" s="197"/>
      <c r="Q538" s="197"/>
      <c r="R538" s="197"/>
      <c r="S538" s="197"/>
      <c r="T538" s="197"/>
      <c r="U538" s="197"/>
      <c r="V538" s="197"/>
      <c r="W538" s="197"/>
      <c r="X538" s="197"/>
      <c r="Y538" s="197"/>
      <c r="Z538" s="197"/>
      <c r="AA538" s="197"/>
      <c r="AB538" s="197"/>
      <c r="AC538" s="197"/>
      <c r="AD538" s="208"/>
      <c r="AE538" s="200"/>
      <c r="AF538" s="200"/>
    </row>
    <row r="539" spans="5:32" ht="15.75" x14ac:dyDescent="0.25">
      <c r="E539" s="261"/>
      <c r="F539" s="193"/>
      <c r="G539" s="194"/>
      <c r="H539" s="195"/>
      <c r="I539" s="202"/>
      <c r="O539" s="197"/>
      <c r="P539" s="197"/>
      <c r="Q539" s="197"/>
      <c r="R539" s="197"/>
      <c r="S539" s="197"/>
      <c r="T539" s="197"/>
      <c r="U539" s="197"/>
      <c r="V539" s="197"/>
      <c r="W539" s="197"/>
      <c r="X539" s="197"/>
      <c r="Y539" s="197"/>
      <c r="Z539" s="197"/>
      <c r="AA539" s="197"/>
      <c r="AB539" s="197"/>
      <c r="AC539" s="197"/>
      <c r="AD539" s="208"/>
      <c r="AE539" s="200"/>
      <c r="AF539" s="200"/>
    </row>
    <row r="540" spans="5:32" ht="15.75" x14ac:dyDescent="0.25">
      <c r="E540" s="261"/>
      <c r="F540" s="193"/>
      <c r="G540" s="194"/>
      <c r="H540" s="195"/>
      <c r="I540" s="202"/>
      <c r="O540" s="197"/>
      <c r="P540" s="197"/>
      <c r="Q540" s="197"/>
      <c r="R540" s="197"/>
      <c r="S540" s="197"/>
      <c r="T540" s="197"/>
      <c r="U540" s="197"/>
      <c r="V540" s="197"/>
      <c r="W540" s="197"/>
      <c r="X540" s="197"/>
      <c r="Y540" s="197"/>
      <c r="Z540" s="197"/>
      <c r="AA540" s="197"/>
      <c r="AB540" s="197"/>
      <c r="AC540" s="197"/>
      <c r="AD540" s="208"/>
      <c r="AE540" s="200"/>
      <c r="AF540" s="200"/>
    </row>
    <row r="541" spans="5:32" ht="15.75" x14ac:dyDescent="0.25">
      <c r="E541" s="261"/>
      <c r="F541" s="193"/>
      <c r="G541" s="194"/>
      <c r="H541" s="195"/>
      <c r="I541" s="202"/>
      <c r="O541" s="197"/>
      <c r="P541" s="197"/>
      <c r="Q541" s="197"/>
      <c r="R541" s="197"/>
      <c r="S541" s="197"/>
      <c r="T541" s="197"/>
      <c r="U541" s="197"/>
      <c r="V541" s="197"/>
      <c r="W541" s="197"/>
      <c r="X541" s="197"/>
      <c r="Y541" s="197"/>
      <c r="Z541" s="197"/>
      <c r="AA541" s="197"/>
      <c r="AB541" s="197"/>
      <c r="AC541" s="197"/>
      <c r="AD541" s="208"/>
      <c r="AE541" s="200"/>
      <c r="AF541" s="200"/>
    </row>
    <row r="542" spans="5:32" ht="15.75" x14ac:dyDescent="0.25">
      <c r="E542" s="261"/>
      <c r="F542" s="193"/>
      <c r="G542" s="194"/>
      <c r="H542" s="195"/>
      <c r="I542" s="202"/>
      <c r="O542" s="197"/>
      <c r="P542" s="197"/>
      <c r="Q542" s="197"/>
      <c r="R542" s="197"/>
      <c r="S542" s="197"/>
      <c r="T542" s="197"/>
      <c r="U542" s="197"/>
      <c r="V542" s="197"/>
      <c r="W542" s="197"/>
      <c r="X542" s="197"/>
      <c r="Y542" s="197"/>
      <c r="Z542" s="197"/>
      <c r="AA542" s="197"/>
      <c r="AB542" s="197"/>
      <c r="AC542" s="197"/>
      <c r="AD542" s="208"/>
      <c r="AE542" s="200"/>
      <c r="AF542" s="200"/>
    </row>
    <row r="543" spans="5:32" ht="15.75" x14ac:dyDescent="0.25">
      <c r="E543" s="261"/>
      <c r="F543" s="193"/>
      <c r="G543" s="194"/>
      <c r="H543" s="195"/>
      <c r="I543" s="202"/>
      <c r="O543" s="197"/>
      <c r="P543" s="197"/>
      <c r="Q543" s="197"/>
      <c r="R543" s="197"/>
      <c r="S543" s="197"/>
      <c r="T543" s="197"/>
      <c r="U543" s="197"/>
      <c r="V543" s="197"/>
      <c r="W543" s="197"/>
      <c r="X543" s="197"/>
      <c r="Y543" s="197"/>
      <c r="Z543" s="197"/>
      <c r="AA543" s="197"/>
      <c r="AB543" s="197"/>
      <c r="AC543" s="197"/>
      <c r="AD543" s="208"/>
      <c r="AE543" s="200"/>
      <c r="AF543" s="200"/>
    </row>
    <row r="544" spans="5:32" ht="15.75" x14ac:dyDescent="0.25">
      <c r="E544" s="261"/>
      <c r="F544" s="193"/>
      <c r="G544" s="194"/>
      <c r="H544" s="195"/>
      <c r="I544" s="202"/>
      <c r="O544" s="197"/>
      <c r="P544" s="197"/>
      <c r="Q544" s="197"/>
      <c r="R544" s="197"/>
      <c r="S544" s="197"/>
      <c r="T544" s="197"/>
      <c r="U544" s="197"/>
      <c r="V544" s="197"/>
      <c r="W544" s="197"/>
      <c r="X544" s="197"/>
      <c r="Y544" s="197"/>
      <c r="Z544" s="197"/>
      <c r="AA544" s="197"/>
      <c r="AB544" s="197"/>
      <c r="AC544" s="197"/>
      <c r="AD544" s="208"/>
      <c r="AE544" s="200"/>
      <c r="AF544" s="200"/>
    </row>
    <row r="545" spans="5:32" ht="15.75" x14ac:dyDescent="0.25">
      <c r="E545" s="261"/>
      <c r="F545" s="193"/>
      <c r="G545" s="194"/>
      <c r="H545" s="195"/>
      <c r="I545" s="202"/>
      <c r="O545" s="197"/>
      <c r="P545" s="197"/>
      <c r="Q545" s="197"/>
      <c r="R545" s="197"/>
      <c r="S545" s="197"/>
      <c r="T545" s="197"/>
      <c r="U545" s="197"/>
      <c r="V545" s="197"/>
      <c r="W545" s="197"/>
      <c r="X545" s="197"/>
      <c r="Y545" s="197"/>
      <c r="Z545" s="197"/>
      <c r="AA545" s="197"/>
      <c r="AB545" s="197"/>
      <c r="AC545" s="197"/>
      <c r="AD545" s="208"/>
      <c r="AE545" s="200"/>
      <c r="AF545" s="200"/>
    </row>
    <row r="546" spans="5:32" ht="15.75" x14ac:dyDescent="0.25">
      <c r="E546" s="261"/>
      <c r="F546" s="193"/>
      <c r="G546" s="194"/>
      <c r="H546" s="195"/>
      <c r="I546" s="202"/>
      <c r="O546" s="197"/>
      <c r="P546" s="197"/>
      <c r="Q546" s="197"/>
      <c r="R546" s="197"/>
      <c r="S546" s="197"/>
      <c r="T546" s="197"/>
      <c r="U546" s="197"/>
      <c r="V546" s="197"/>
      <c r="W546" s="197"/>
      <c r="X546" s="197"/>
      <c r="Y546" s="197"/>
      <c r="Z546" s="197"/>
      <c r="AA546" s="197"/>
      <c r="AB546" s="197"/>
      <c r="AC546" s="197"/>
      <c r="AD546" s="208"/>
      <c r="AE546" s="200"/>
      <c r="AF546" s="200"/>
    </row>
    <row r="547" spans="5:32" ht="15.75" x14ac:dyDescent="0.25">
      <c r="E547" s="261"/>
      <c r="F547" s="193"/>
      <c r="G547" s="194"/>
      <c r="H547" s="195"/>
      <c r="I547" s="202"/>
      <c r="O547" s="197"/>
      <c r="P547" s="197"/>
      <c r="Q547" s="197"/>
      <c r="R547" s="197"/>
      <c r="S547" s="197"/>
      <c r="T547" s="197"/>
      <c r="U547" s="197"/>
      <c r="V547" s="197"/>
      <c r="W547" s="197"/>
      <c r="X547" s="197"/>
      <c r="Y547" s="197"/>
      <c r="Z547" s="197"/>
      <c r="AA547" s="197"/>
      <c r="AB547" s="197"/>
      <c r="AC547" s="197"/>
      <c r="AD547" s="208"/>
      <c r="AE547" s="200"/>
      <c r="AF547" s="200"/>
    </row>
    <row r="548" spans="5:32" ht="15.75" x14ac:dyDescent="0.25">
      <c r="E548" s="261"/>
      <c r="F548" s="193"/>
      <c r="G548" s="194"/>
      <c r="H548" s="195"/>
      <c r="I548" s="202"/>
      <c r="O548" s="197"/>
      <c r="P548" s="197"/>
      <c r="Q548" s="197"/>
      <c r="R548" s="197"/>
      <c r="S548" s="197"/>
      <c r="T548" s="197"/>
      <c r="U548" s="197"/>
      <c r="V548" s="197"/>
      <c r="W548" s="197"/>
      <c r="X548" s="197"/>
      <c r="Y548" s="197"/>
      <c r="Z548" s="197"/>
      <c r="AA548" s="197"/>
      <c r="AB548" s="197"/>
      <c r="AC548" s="197"/>
      <c r="AD548" s="208"/>
      <c r="AE548" s="200"/>
      <c r="AF548" s="200"/>
    </row>
    <row r="549" spans="5:32" ht="15.75" x14ac:dyDescent="0.25">
      <c r="E549" s="261"/>
      <c r="F549" s="193"/>
      <c r="G549" s="194"/>
      <c r="H549" s="195"/>
      <c r="I549" s="202"/>
      <c r="O549" s="197"/>
      <c r="P549" s="197"/>
      <c r="Q549" s="197"/>
      <c r="R549" s="197"/>
      <c r="S549" s="197"/>
      <c r="T549" s="197"/>
      <c r="U549" s="197"/>
      <c r="V549" s="197"/>
      <c r="W549" s="197"/>
      <c r="X549" s="197"/>
      <c r="Y549" s="197"/>
      <c r="Z549" s="197"/>
      <c r="AA549" s="197"/>
      <c r="AB549" s="197"/>
      <c r="AC549" s="197"/>
      <c r="AD549" s="208"/>
      <c r="AE549" s="200"/>
      <c r="AF549" s="200"/>
    </row>
    <row r="550" spans="5:32" ht="15.75" x14ac:dyDescent="0.25">
      <c r="E550" s="261"/>
      <c r="F550" s="193"/>
      <c r="G550" s="194"/>
      <c r="H550" s="195"/>
      <c r="I550" s="202"/>
      <c r="O550" s="197"/>
      <c r="P550" s="197"/>
      <c r="Q550" s="197"/>
      <c r="R550" s="197"/>
      <c r="S550" s="197"/>
      <c r="T550" s="197"/>
      <c r="U550" s="197"/>
      <c r="V550" s="197"/>
      <c r="W550" s="197"/>
      <c r="X550" s="197"/>
      <c r="Y550" s="197"/>
      <c r="Z550" s="197"/>
      <c r="AA550" s="197"/>
      <c r="AB550" s="197"/>
      <c r="AC550" s="197"/>
      <c r="AD550" s="208"/>
      <c r="AE550" s="200"/>
      <c r="AF550" s="200"/>
    </row>
    <row r="551" spans="5:32" ht="15.75" x14ac:dyDescent="0.25">
      <c r="E551" s="261"/>
      <c r="F551" s="193"/>
      <c r="G551" s="194"/>
      <c r="H551" s="195"/>
      <c r="I551" s="202"/>
      <c r="O551" s="197"/>
      <c r="P551" s="197"/>
      <c r="Q551" s="197"/>
      <c r="R551" s="197"/>
      <c r="S551" s="197"/>
      <c r="T551" s="197"/>
      <c r="U551" s="197"/>
      <c r="V551" s="197"/>
      <c r="W551" s="197"/>
      <c r="X551" s="197"/>
      <c r="Y551" s="197"/>
      <c r="Z551" s="197"/>
      <c r="AA551" s="197"/>
      <c r="AB551" s="197"/>
      <c r="AC551" s="197"/>
      <c r="AD551" s="208"/>
      <c r="AE551" s="200"/>
      <c r="AF551" s="200"/>
    </row>
    <row r="552" spans="5:32" ht="15.75" x14ac:dyDescent="0.25">
      <c r="E552" s="261"/>
      <c r="F552" s="193"/>
      <c r="G552" s="194"/>
      <c r="H552" s="195"/>
      <c r="I552" s="202"/>
      <c r="O552" s="197"/>
      <c r="P552" s="197"/>
      <c r="Q552" s="197"/>
      <c r="R552" s="197"/>
      <c r="S552" s="197"/>
      <c r="T552" s="197"/>
      <c r="U552" s="197"/>
      <c r="V552" s="197"/>
      <c r="W552" s="197"/>
      <c r="X552" s="197"/>
      <c r="Y552" s="197"/>
      <c r="Z552" s="197"/>
      <c r="AA552" s="197"/>
      <c r="AB552" s="197"/>
      <c r="AC552" s="197"/>
      <c r="AD552" s="208"/>
      <c r="AE552" s="200"/>
      <c r="AF552" s="200"/>
    </row>
    <row r="553" spans="5:32" ht="15.75" x14ac:dyDescent="0.25">
      <c r="E553" s="261"/>
      <c r="F553" s="193"/>
      <c r="G553" s="194"/>
      <c r="H553" s="195"/>
      <c r="I553" s="202"/>
      <c r="O553" s="197"/>
      <c r="P553" s="197"/>
      <c r="Q553" s="197"/>
      <c r="R553" s="197"/>
      <c r="S553" s="197"/>
      <c r="T553" s="197"/>
      <c r="U553" s="197"/>
      <c r="V553" s="197"/>
      <c r="W553" s="197"/>
      <c r="X553" s="197"/>
      <c r="Y553" s="197"/>
      <c r="Z553" s="197"/>
      <c r="AA553" s="197"/>
      <c r="AB553" s="197"/>
      <c r="AC553" s="197"/>
      <c r="AD553" s="208"/>
      <c r="AE553" s="200"/>
      <c r="AF553" s="200"/>
    </row>
    <row r="554" spans="5:32" ht="15.75" x14ac:dyDescent="0.25">
      <c r="E554" s="261"/>
      <c r="F554" s="193"/>
      <c r="G554" s="194"/>
      <c r="H554" s="195"/>
      <c r="I554" s="202"/>
      <c r="O554" s="197"/>
      <c r="P554" s="197"/>
      <c r="Q554" s="197"/>
      <c r="R554" s="197"/>
      <c r="S554" s="197"/>
      <c r="T554" s="197"/>
      <c r="U554" s="197"/>
      <c r="V554" s="197"/>
      <c r="W554" s="197"/>
      <c r="X554" s="197"/>
      <c r="Y554" s="197"/>
      <c r="Z554" s="197"/>
      <c r="AA554" s="197"/>
      <c r="AB554" s="197"/>
      <c r="AC554" s="197"/>
      <c r="AD554" s="208"/>
      <c r="AE554" s="200"/>
      <c r="AF554" s="200"/>
    </row>
    <row r="555" spans="5:32" ht="15.75" x14ac:dyDescent="0.25">
      <c r="E555" s="261"/>
      <c r="F555" s="193"/>
      <c r="G555" s="194"/>
      <c r="H555" s="195"/>
      <c r="I555" s="202"/>
      <c r="O555" s="197"/>
      <c r="P555" s="197"/>
      <c r="Q555" s="197"/>
      <c r="R555" s="197"/>
      <c r="S555" s="197"/>
      <c r="T555" s="197"/>
      <c r="U555" s="197"/>
      <c r="V555" s="197"/>
      <c r="W555" s="197"/>
      <c r="X555" s="197"/>
      <c r="Y555" s="197"/>
      <c r="Z555" s="197"/>
      <c r="AA555" s="197"/>
      <c r="AB555" s="197"/>
      <c r="AC555" s="197"/>
      <c r="AD555" s="208"/>
      <c r="AE555" s="200"/>
      <c r="AF555" s="200"/>
    </row>
    <row r="556" spans="5:32" ht="15.75" x14ac:dyDescent="0.25">
      <c r="E556" s="261"/>
      <c r="F556" s="193"/>
      <c r="G556" s="194"/>
      <c r="H556" s="195"/>
      <c r="I556" s="202"/>
      <c r="O556" s="197"/>
      <c r="P556" s="197"/>
      <c r="Q556" s="197"/>
      <c r="R556" s="197"/>
      <c r="S556" s="197"/>
      <c r="T556" s="197"/>
      <c r="U556" s="197"/>
      <c r="V556" s="197"/>
      <c r="W556" s="197"/>
      <c r="X556" s="197"/>
      <c r="Y556" s="197"/>
      <c r="Z556" s="197"/>
      <c r="AA556" s="197"/>
      <c r="AB556" s="197"/>
      <c r="AC556" s="197"/>
      <c r="AD556" s="208"/>
      <c r="AE556" s="200"/>
      <c r="AF556" s="200"/>
    </row>
    <row r="557" spans="5:32" ht="15.75" x14ac:dyDescent="0.25">
      <c r="E557" s="261"/>
      <c r="F557" s="193"/>
      <c r="G557" s="194"/>
      <c r="H557" s="195"/>
      <c r="I557" s="202"/>
      <c r="O557" s="197"/>
      <c r="P557" s="197"/>
      <c r="Q557" s="197"/>
      <c r="R557" s="197"/>
      <c r="S557" s="197"/>
      <c r="T557" s="197"/>
      <c r="U557" s="197"/>
      <c r="V557" s="197"/>
      <c r="W557" s="197"/>
      <c r="X557" s="197"/>
      <c r="Y557" s="197"/>
      <c r="Z557" s="197"/>
      <c r="AA557" s="197"/>
      <c r="AB557" s="197"/>
      <c r="AC557" s="197"/>
      <c r="AD557" s="208"/>
      <c r="AE557" s="200"/>
      <c r="AF557" s="200"/>
    </row>
    <row r="558" spans="5:32" ht="15.75" x14ac:dyDescent="0.25">
      <c r="E558" s="261"/>
      <c r="F558" s="193"/>
      <c r="G558" s="194"/>
      <c r="H558" s="195"/>
      <c r="I558" s="202"/>
      <c r="O558" s="197"/>
      <c r="P558" s="197"/>
      <c r="Q558" s="197"/>
      <c r="R558" s="197"/>
      <c r="S558" s="197"/>
      <c r="T558" s="197"/>
      <c r="U558" s="197"/>
      <c r="V558" s="197"/>
      <c r="W558" s="197"/>
      <c r="X558" s="197"/>
      <c r="Y558" s="197"/>
      <c r="Z558" s="197"/>
      <c r="AA558" s="197"/>
      <c r="AB558" s="197"/>
      <c r="AC558" s="197"/>
      <c r="AD558" s="208"/>
      <c r="AE558" s="200"/>
      <c r="AF558" s="200"/>
    </row>
    <row r="559" spans="5:32" ht="15.75" x14ac:dyDescent="0.25">
      <c r="E559" s="261"/>
      <c r="F559" s="193"/>
      <c r="G559" s="194"/>
      <c r="H559" s="195"/>
      <c r="I559" s="202"/>
      <c r="O559" s="197"/>
      <c r="P559" s="197"/>
      <c r="Q559" s="197"/>
      <c r="R559" s="197"/>
      <c r="S559" s="197"/>
      <c r="T559" s="197"/>
      <c r="U559" s="197"/>
      <c r="V559" s="197"/>
      <c r="W559" s="197"/>
      <c r="X559" s="197"/>
      <c r="Y559" s="197"/>
      <c r="Z559" s="197"/>
      <c r="AA559" s="197"/>
      <c r="AB559" s="197"/>
      <c r="AC559" s="197"/>
      <c r="AD559" s="208"/>
      <c r="AE559" s="200"/>
      <c r="AF559" s="200"/>
    </row>
    <row r="560" spans="5:32" ht="15.75" x14ac:dyDescent="0.25">
      <c r="E560" s="261"/>
      <c r="F560" s="193"/>
      <c r="G560" s="194"/>
      <c r="H560" s="195"/>
      <c r="I560" s="202"/>
      <c r="O560" s="197"/>
      <c r="P560" s="197"/>
      <c r="Q560" s="197"/>
      <c r="R560" s="197"/>
      <c r="S560" s="197"/>
      <c r="T560" s="197"/>
      <c r="U560" s="197"/>
      <c r="V560" s="197"/>
      <c r="W560" s="197"/>
      <c r="X560" s="197"/>
      <c r="Y560" s="197"/>
      <c r="Z560" s="197"/>
      <c r="AA560" s="197"/>
      <c r="AB560" s="197"/>
      <c r="AC560" s="197"/>
      <c r="AD560" s="208"/>
      <c r="AE560" s="200"/>
      <c r="AF560" s="200"/>
    </row>
    <row r="561" spans="5:32" ht="15.75" x14ac:dyDescent="0.25">
      <c r="E561" s="261"/>
      <c r="F561" s="193"/>
      <c r="G561" s="194"/>
      <c r="H561" s="195"/>
      <c r="I561" s="202"/>
      <c r="O561" s="197"/>
      <c r="P561" s="197"/>
      <c r="Q561" s="197"/>
      <c r="R561" s="197"/>
      <c r="S561" s="197"/>
      <c r="T561" s="197"/>
      <c r="U561" s="197"/>
      <c r="V561" s="197"/>
      <c r="W561" s="197"/>
      <c r="X561" s="197"/>
      <c r="Y561" s="197"/>
      <c r="Z561" s="197"/>
      <c r="AA561" s="197"/>
      <c r="AB561" s="197"/>
      <c r="AC561" s="197"/>
      <c r="AD561" s="208"/>
      <c r="AE561" s="200"/>
      <c r="AF561" s="200"/>
    </row>
    <row r="562" spans="5:32" ht="15.75" x14ac:dyDescent="0.25">
      <c r="E562" s="261"/>
      <c r="F562" s="193"/>
      <c r="G562" s="194"/>
      <c r="H562" s="195"/>
      <c r="I562" s="202"/>
      <c r="O562" s="197"/>
      <c r="P562" s="197"/>
      <c r="Q562" s="197"/>
      <c r="R562" s="197"/>
      <c r="S562" s="197"/>
      <c r="T562" s="197"/>
      <c r="U562" s="197"/>
      <c r="V562" s="197"/>
      <c r="W562" s="197"/>
      <c r="X562" s="197"/>
      <c r="Y562" s="197"/>
      <c r="Z562" s="197"/>
      <c r="AA562" s="197"/>
      <c r="AB562" s="197"/>
      <c r="AC562" s="197"/>
      <c r="AD562" s="208"/>
      <c r="AE562" s="200"/>
      <c r="AF562" s="200"/>
    </row>
    <row r="563" spans="5:32" ht="15.75" x14ac:dyDescent="0.25">
      <c r="E563" s="261"/>
      <c r="F563" s="193"/>
      <c r="G563" s="194"/>
      <c r="H563" s="195"/>
      <c r="I563" s="202"/>
      <c r="O563" s="197"/>
      <c r="P563" s="197"/>
      <c r="Q563" s="197"/>
      <c r="R563" s="197"/>
      <c r="S563" s="197"/>
      <c r="T563" s="197"/>
      <c r="U563" s="197"/>
      <c r="V563" s="197"/>
      <c r="W563" s="197"/>
      <c r="X563" s="197"/>
      <c r="Y563" s="197"/>
      <c r="Z563" s="197"/>
      <c r="AA563" s="197"/>
      <c r="AB563" s="197"/>
      <c r="AC563" s="197"/>
      <c r="AD563" s="208"/>
      <c r="AE563" s="200"/>
      <c r="AF563" s="200"/>
    </row>
    <row r="564" spans="5:32" ht="15.75" x14ac:dyDescent="0.25">
      <c r="E564" s="261"/>
      <c r="F564" s="193"/>
      <c r="G564" s="194"/>
      <c r="H564" s="195"/>
      <c r="I564" s="202"/>
      <c r="O564" s="197"/>
      <c r="P564" s="197"/>
      <c r="Q564" s="197"/>
      <c r="R564" s="197"/>
      <c r="S564" s="197"/>
      <c r="T564" s="197"/>
      <c r="U564" s="197"/>
      <c r="V564" s="197"/>
      <c r="W564" s="197"/>
      <c r="X564" s="197"/>
      <c r="Y564" s="197"/>
      <c r="Z564" s="197"/>
      <c r="AA564" s="197"/>
      <c r="AB564" s="197"/>
      <c r="AC564" s="197"/>
      <c r="AD564" s="208"/>
      <c r="AE564" s="200"/>
      <c r="AF564" s="200"/>
    </row>
    <row r="565" spans="5:32" ht="15.75" x14ac:dyDescent="0.25">
      <c r="E565" s="261"/>
      <c r="F565" s="193"/>
      <c r="G565" s="194"/>
      <c r="H565" s="195"/>
      <c r="I565" s="202"/>
      <c r="O565" s="197"/>
      <c r="P565" s="197"/>
      <c r="Q565" s="197"/>
      <c r="R565" s="197"/>
      <c r="S565" s="197"/>
      <c r="T565" s="197"/>
      <c r="U565" s="197"/>
      <c r="V565" s="197"/>
      <c r="W565" s="197"/>
      <c r="X565" s="197"/>
      <c r="Y565" s="197"/>
      <c r="Z565" s="197"/>
      <c r="AA565" s="197"/>
      <c r="AB565" s="197"/>
      <c r="AC565" s="197"/>
      <c r="AD565" s="208"/>
      <c r="AE565" s="200"/>
      <c r="AF565" s="200"/>
    </row>
    <row r="566" spans="5:32" ht="15.75" x14ac:dyDescent="0.25">
      <c r="E566" s="261"/>
      <c r="F566" s="193"/>
      <c r="G566" s="194"/>
      <c r="H566" s="195"/>
      <c r="I566" s="202"/>
      <c r="O566" s="197"/>
      <c r="P566" s="197"/>
      <c r="Q566" s="197"/>
      <c r="R566" s="197"/>
      <c r="S566" s="197"/>
      <c r="T566" s="197"/>
      <c r="U566" s="197"/>
      <c r="V566" s="197"/>
      <c r="W566" s="197"/>
      <c r="X566" s="197"/>
      <c r="Y566" s="197"/>
      <c r="Z566" s="197"/>
      <c r="AA566" s="197"/>
      <c r="AB566" s="197"/>
      <c r="AC566" s="197"/>
      <c r="AD566" s="208"/>
      <c r="AE566" s="200"/>
      <c r="AF566" s="200"/>
    </row>
    <row r="567" spans="5:32" ht="15.75" x14ac:dyDescent="0.25">
      <c r="E567" s="262"/>
      <c r="F567" s="193"/>
      <c r="G567" s="194"/>
      <c r="H567" s="195"/>
      <c r="I567" s="206"/>
      <c r="O567" s="197"/>
      <c r="P567" s="207"/>
      <c r="Q567" s="207"/>
      <c r="R567" s="207"/>
      <c r="S567" s="197"/>
      <c r="T567" s="197"/>
      <c r="U567" s="197"/>
      <c r="V567" s="197"/>
      <c r="W567" s="197"/>
      <c r="X567" s="197"/>
      <c r="Y567" s="197"/>
      <c r="Z567" s="197"/>
      <c r="AA567" s="197"/>
      <c r="AB567" s="197"/>
      <c r="AC567" s="197"/>
      <c r="AD567" s="208"/>
      <c r="AE567" s="200"/>
      <c r="AF567" s="200"/>
    </row>
    <row r="568" spans="5:32" ht="15.75" x14ac:dyDescent="0.25">
      <c r="E568" s="261"/>
      <c r="F568" s="193"/>
      <c r="G568" s="194"/>
      <c r="H568" s="195"/>
      <c r="I568" s="202"/>
      <c r="O568" s="197"/>
      <c r="P568" s="197"/>
      <c r="Q568" s="197"/>
      <c r="R568" s="197"/>
      <c r="S568" s="197"/>
      <c r="T568" s="197"/>
      <c r="U568" s="197"/>
      <c r="V568" s="197"/>
      <c r="W568" s="197"/>
      <c r="X568" s="197"/>
      <c r="Y568" s="197"/>
      <c r="Z568" s="197"/>
      <c r="AA568" s="197"/>
      <c r="AB568" s="197"/>
      <c r="AC568" s="197"/>
      <c r="AD568" s="208"/>
      <c r="AE568" s="200"/>
      <c r="AF568" s="200"/>
    </row>
    <row r="569" spans="5:32" ht="15.75" x14ac:dyDescent="0.25">
      <c r="E569" s="261"/>
      <c r="F569" s="193"/>
      <c r="G569" s="194"/>
      <c r="H569" s="195"/>
      <c r="I569" s="202"/>
      <c r="O569" s="197"/>
      <c r="P569" s="197"/>
      <c r="Q569" s="197"/>
      <c r="R569" s="197"/>
      <c r="S569" s="197"/>
      <c r="T569" s="197"/>
      <c r="U569" s="197"/>
      <c r="V569" s="197"/>
      <c r="W569" s="197"/>
      <c r="X569" s="197"/>
      <c r="Y569" s="197"/>
      <c r="Z569" s="197"/>
      <c r="AA569" s="197"/>
      <c r="AB569" s="197"/>
      <c r="AC569" s="197"/>
      <c r="AD569" s="208"/>
      <c r="AE569" s="200"/>
      <c r="AF569" s="200"/>
    </row>
    <row r="570" spans="5:32" ht="15.75" x14ac:dyDescent="0.25">
      <c r="E570" s="261"/>
      <c r="F570" s="193"/>
      <c r="G570" s="194"/>
      <c r="H570" s="195"/>
      <c r="I570" s="202"/>
      <c r="O570" s="197"/>
      <c r="P570" s="197"/>
      <c r="Q570" s="197"/>
      <c r="R570" s="197"/>
      <c r="S570" s="197"/>
      <c r="T570" s="197"/>
      <c r="U570" s="197"/>
      <c r="V570" s="197"/>
      <c r="W570" s="197"/>
      <c r="X570" s="197"/>
      <c r="Y570" s="197"/>
      <c r="Z570" s="197"/>
      <c r="AA570" s="197"/>
      <c r="AB570" s="197"/>
      <c r="AC570" s="197"/>
      <c r="AD570" s="208"/>
      <c r="AE570" s="200"/>
      <c r="AF570" s="200"/>
    </row>
    <row r="571" spans="5:32" ht="15.75" x14ac:dyDescent="0.25">
      <c r="E571" s="261"/>
      <c r="F571" s="193"/>
      <c r="G571" s="194"/>
      <c r="H571" s="195"/>
      <c r="I571" s="202"/>
      <c r="O571" s="197"/>
      <c r="P571" s="197"/>
      <c r="Q571" s="197"/>
      <c r="R571" s="197"/>
      <c r="S571" s="197"/>
      <c r="T571" s="197"/>
      <c r="U571" s="197"/>
      <c r="V571" s="197"/>
      <c r="W571" s="197"/>
      <c r="X571" s="197"/>
      <c r="Y571" s="197"/>
      <c r="Z571" s="197"/>
      <c r="AA571" s="197"/>
      <c r="AB571" s="197"/>
      <c r="AC571" s="197"/>
      <c r="AD571" s="208"/>
      <c r="AE571" s="200"/>
      <c r="AF571" s="200"/>
    </row>
    <row r="572" spans="5:32" ht="15.75" x14ac:dyDescent="0.25">
      <c r="E572" s="261"/>
      <c r="F572" s="193"/>
      <c r="G572" s="194"/>
      <c r="H572" s="195"/>
      <c r="I572" s="202"/>
      <c r="O572" s="197"/>
      <c r="P572" s="197"/>
      <c r="Q572" s="197"/>
      <c r="R572" s="197"/>
      <c r="S572" s="197"/>
      <c r="T572" s="197"/>
      <c r="U572" s="197"/>
      <c r="V572" s="197"/>
      <c r="W572" s="197"/>
      <c r="X572" s="197"/>
      <c r="Y572" s="197"/>
      <c r="Z572" s="197"/>
      <c r="AA572" s="197"/>
      <c r="AB572" s="197"/>
      <c r="AC572" s="197"/>
      <c r="AD572" s="208"/>
      <c r="AE572" s="200"/>
      <c r="AF572" s="200"/>
    </row>
    <row r="573" spans="5:32" ht="15.75" x14ac:dyDescent="0.25">
      <c r="E573" s="261"/>
      <c r="F573" s="193"/>
      <c r="G573" s="194"/>
      <c r="H573" s="195"/>
      <c r="I573" s="202"/>
      <c r="O573" s="197"/>
      <c r="P573" s="197"/>
      <c r="Q573" s="197"/>
      <c r="R573" s="197"/>
      <c r="S573" s="197"/>
      <c r="T573" s="197"/>
      <c r="U573" s="197"/>
      <c r="V573" s="197"/>
      <c r="W573" s="197"/>
      <c r="X573" s="197"/>
      <c r="Y573" s="197"/>
      <c r="Z573" s="197"/>
      <c r="AA573" s="197"/>
      <c r="AB573" s="197"/>
      <c r="AC573" s="197"/>
      <c r="AD573" s="208"/>
      <c r="AE573" s="200"/>
      <c r="AF573" s="200"/>
    </row>
    <row r="574" spans="5:32" ht="15.75" x14ac:dyDescent="0.25">
      <c r="E574" s="261"/>
      <c r="F574" s="193"/>
      <c r="G574" s="194"/>
      <c r="H574" s="195"/>
      <c r="I574" s="202"/>
      <c r="O574" s="197"/>
      <c r="P574" s="197"/>
      <c r="Q574" s="197"/>
      <c r="R574" s="197"/>
      <c r="S574" s="197"/>
      <c r="T574" s="197"/>
      <c r="U574" s="197"/>
      <c r="V574" s="197"/>
      <c r="W574" s="197"/>
      <c r="X574" s="197"/>
      <c r="Y574" s="197"/>
      <c r="Z574" s="197"/>
      <c r="AA574" s="197"/>
      <c r="AB574" s="197"/>
      <c r="AC574" s="197"/>
      <c r="AD574" s="208"/>
      <c r="AE574" s="200"/>
      <c r="AF574" s="200"/>
    </row>
    <row r="575" spans="5:32" ht="15.75" x14ac:dyDescent="0.25">
      <c r="E575" s="261"/>
      <c r="F575" s="193"/>
      <c r="G575" s="194"/>
      <c r="H575" s="195"/>
      <c r="I575" s="202"/>
      <c r="O575" s="197"/>
      <c r="P575" s="197"/>
      <c r="Q575" s="197"/>
      <c r="R575" s="197"/>
      <c r="S575" s="197"/>
      <c r="T575" s="197"/>
      <c r="U575" s="197"/>
      <c r="V575" s="197"/>
      <c r="W575" s="197"/>
      <c r="X575" s="197"/>
      <c r="Y575" s="197"/>
      <c r="Z575" s="197"/>
      <c r="AA575" s="197"/>
      <c r="AB575" s="197"/>
      <c r="AC575" s="197"/>
      <c r="AD575" s="208"/>
      <c r="AE575" s="200"/>
      <c r="AF575" s="200"/>
    </row>
    <row r="576" spans="5:32" ht="15.75" x14ac:dyDescent="0.25">
      <c r="E576" s="261"/>
      <c r="F576" s="193"/>
      <c r="G576" s="194"/>
      <c r="H576" s="195"/>
      <c r="I576" s="202"/>
      <c r="O576" s="197"/>
      <c r="P576" s="197"/>
      <c r="Q576" s="197"/>
      <c r="R576" s="197"/>
      <c r="S576" s="197"/>
      <c r="T576" s="197"/>
      <c r="U576" s="197"/>
      <c r="V576" s="197"/>
      <c r="W576" s="197"/>
      <c r="X576" s="197"/>
      <c r="Y576" s="197"/>
      <c r="Z576" s="197"/>
      <c r="AA576" s="197"/>
      <c r="AB576" s="197"/>
      <c r="AC576" s="197"/>
      <c r="AD576" s="208"/>
      <c r="AE576" s="200"/>
      <c r="AF576" s="200"/>
    </row>
    <row r="577" spans="5:32" ht="15.75" x14ac:dyDescent="0.25">
      <c r="E577" s="261"/>
      <c r="F577" s="193"/>
      <c r="G577" s="194"/>
      <c r="H577" s="195"/>
      <c r="I577" s="202"/>
      <c r="O577" s="197"/>
      <c r="P577" s="197"/>
      <c r="Q577" s="197"/>
      <c r="R577" s="197"/>
      <c r="S577" s="197"/>
      <c r="T577" s="197"/>
      <c r="U577" s="197"/>
      <c r="V577" s="197"/>
      <c r="W577" s="197"/>
      <c r="X577" s="197"/>
      <c r="Y577" s="197"/>
      <c r="Z577" s="197"/>
      <c r="AA577" s="197"/>
      <c r="AB577" s="197"/>
      <c r="AC577" s="197"/>
      <c r="AD577" s="208"/>
      <c r="AE577" s="200"/>
      <c r="AF577" s="200"/>
    </row>
    <row r="578" spans="5:32" ht="15.75" x14ac:dyDescent="0.25">
      <c r="E578" s="261"/>
      <c r="F578" s="193"/>
      <c r="G578" s="194"/>
      <c r="H578" s="195"/>
      <c r="I578" s="202"/>
      <c r="O578" s="197"/>
      <c r="P578" s="197"/>
      <c r="Q578" s="197"/>
      <c r="R578" s="197"/>
      <c r="S578" s="197"/>
      <c r="T578" s="197"/>
      <c r="U578" s="197"/>
      <c r="V578" s="197"/>
      <c r="W578" s="197"/>
      <c r="X578" s="197"/>
      <c r="Y578" s="197"/>
      <c r="Z578" s="197"/>
      <c r="AA578" s="197"/>
      <c r="AB578" s="197"/>
      <c r="AC578" s="197"/>
      <c r="AD578" s="208"/>
      <c r="AE578" s="200"/>
      <c r="AF578" s="200"/>
    </row>
    <row r="579" spans="5:32" ht="15.75" x14ac:dyDescent="0.25">
      <c r="E579" s="261"/>
      <c r="F579" s="193"/>
      <c r="G579" s="194"/>
      <c r="H579" s="195"/>
      <c r="I579" s="202"/>
      <c r="O579" s="197"/>
      <c r="P579" s="197"/>
      <c r="Q579" s="197"/>
      <c r="R579" s="197"/>
      <c r="S579" s="197"/>
      <c r="T579" s="197"/>
      <c r="U579" s="197"/>
      <c r="V579" s="197"/>
      <c r="W579" s="197"/>
      <c r="X579" s="197"/>
      <c r="Y579" s="197"/>
      <c r="Z579" s="197"/>
      <c r="AA579" s="197"/>
      <c r="AB579" s="197"/>
      <c r="AC579" s="197"/>
      <c r="AD579" s="208"/>
      <c r="AE579" s="200"/>
      <c r="AF579" s="200"/>
    </row>
    <row r="580" spans="5:32" ht="15.75" x14ac:dyDescent="0.25">
      <c r="E580" s="261"/>
      <c r="F580" s="193"/>
      <c r="G580" s="194"/>
      <c r="H580" s="195"/>
      <c r="I580" s="202"/>
      <c r="O580" s="197"/>
      <c r="P580" s="197"/>
      <c r="Q580" s="197"/>
      <c r="R580" s="197"/>
      <c r="S580" s="197"/>
      <c r="T580" s="197"/>
      <c r="U580" s="197"/>
      <c r="V580" s="197"/>
      <c r="W580" s="197"/>
      <c r="X580" s="197"/>
      <c r="Y580" s="197"/>
      <c r="Z580" s="197"/>
      <c r="AA580" s="197"/>
      <c r="AB580" s="197"/>
      <c r="AC580" s="197"/>
      <c r="AD580" s="208"/>
      <c r="AE580" s="200"/>
      <c r="AF580" s="200"/>
    </row>
    <row r="581" spans="5:32" ht="15.75" x14ac:dyDescent="0.25">
      <c r="E581" s="261"/>
      <c r="F581" s="193"/>
      <c r="G581" s="194"/>
      <c r="H581" s="195"/>
      <c r="I581" s="202"/>
      <c r="O581" s="197"/>
      <c r="P581" s="197"/>
      <c r="Q581" s="197"/>
      <c r="R581" s="197"/>
      <c r="S581" s="197"/>
      <c r="T581" s="197"/>
      <c r="U581" s="197"/>
      <c r="V581" s="197"/>
      <c r="W581" s="197"/>
      <c r="X581" s="197"/>
      <c r="Y581" s="197"/>
      <c r="Z581" s="197"/>
      <c r="AA581" s="197"/>
      <c r="AB581" s="197"/>
      <c r="AC581" s="197"/>
      <c r="AD581" s="208"/>
      <c r="AE581" s="200"/>
      <c r="AF581" s="200"/>
    </row>
    <row r="582" spans="5:32" ht="15.75" x14ac:dyDescent="0.25">
      <c r="E582" s="261"/>
      <c r="F582" s="193"/>
      <c r="G582" s="194"/>
      <c r="H582" s="195"/>
      <c r="I582" s="202"/>
      <c r="O582" s="197"/>
      <c r="P582" s="197"/>
      <c r="Q582" s="197"/>
      <c r="R582" s="197"/>
      <c r="S582" s="197"/>
      <c r="T582" s="197"/>
      <c r="U582" s="197"/>
      <c r="V582" s="197"/>
      <c r="W582" s="197"/>
      <c r="X582" s="197"/>
      <c r="Y582" s="197"/>
      <c r="Z582" s="197"/>
      <c r="AA582" s="197"/>
      <c r="AB582" s="197"/>
      <c r="AC582" s="197"/>
      <c r="AD582" s="208"/>
      <c r="AE582" s="200"/>
      <c r="AF582" s="200"/>
    </row>
    <row r="583" spans="5:32" ht="15.75" x14ac:dyDescent="0.25">
      <c r="E583" s="261"/>
      <c r="F583" s="193"/>
      <c r="G583" s="194"/>
      <c r="H583" s="195"/>
      <c r="I583" s="202"/>
      <c r="O583" s="197"/>
      <c r="P583" s="197"/>
      <c r="Q583" s="197"/>
      <c r="R583" s="197"/>
      <c r="S583" s="197"/>
      <c r="T583" s="197"/>
      <c r="U583" s="197"/>
      <c r="V583" s="197"/>
      <c r="W583" s="197"/>
      <c r="X583" s="197"/>
      <c r="Y583" s="197"/>
      <c r="Z583" s="197"/>
      <c r="AA583" s="197"/>
      <c r="AB583" s="197"/>
      <c r="AC583" s="197"/>
      <c r="AD583" s="208"/>
      <c r="AE583" s="200"/>
      <c r="AF583" s="200"/>
    </row>
    <row r="584" spans="5:32" ht="15.75" x14ac:dyDescent="0.25">
      <c r="E584" s="261"/>
      <c r="F584" s="193"/>
      <c r="G584" s="194"/>
      <c r="H584" s="195"/>
      <c r="I584" s="202"/>
      <c r="O584" s="197"/>
      <c r="P584" s="197"/>
      <c r="Q584" s="197"/>
      <c r="R584" s="197"/>
      <c r="S584" s="197"/>
      <c r="T584" s="197"/>
      <c r="U584" s="197"/>
      <c r="V584" s="197"/>
      <c r="W584" s="197"/>
      <c r="X584" s="197"/>
      <c r="Y584" s="197"/>
      <c r="Z584" s="197"/>
      <c r="AA584" s="197"/>
      <c r="AB584" s="197"/>
      <c r="AC584" s="197"/>
      <c r="AD584" s="208"/>
      <c r="AE584" s="200"/>
      <c r="AF584" s="200"/>
    </row>
    <row r="585" spans="5:32" ht="15.75" x14ac:dyDescent="0.25">
      <c r="E585" s="261"/>
      <c r="F585" s="193"/>
      <c r="G585" s="194"/>
      <c r="H585" s="195"/>
      <c r="I585" s="202"/>
      <c r="O585" s="197"/>
      <c r="P585" s="197"/>
      <c r="Q585" s="197"/>
      <c r="R585" s="197"/>
      <c r="S585" s="197"/>
      <c r="T585" s="197"/>
      <c r="U585" s="197"/>
      <c r="V585" s="197"/>
      <c r="W585" s="197"/>
      <c r="X585" s="197"/>
      <c r="Y585" s="197"/>
      <c r="Z585" s="197"/>
      <c r="AA585" s="197"/>
      <c r="AB585" s="197"/>
      <c r="AC585" s="197"/>
      <c r="AD585" s="208"/>
      <c r="AE585" s="200"/>
      <c r="AF585" s="200"/>
    </row>
    <row r="586" spans="5:32" ht="15.75" x14ac:dyDescent="0.25">
      <c r="E586" s="261"/>
      <c r="F586" s="193"/>
      <c r="G586" s="194"/>
      <c r="H586" s="195"/>
      <c r="I586" s="202"/>
      <c r="O586" s="197"/>
      <c r="P586" s="197"/>
      <c r="Q586" s="197"/>
      <c r="R586" s="197"/>
      <c r="S586" s="197"/>
      <c r="T586" s="197"/>
      <c r="U586" s="197"/>
      <c r="V586" s="197"/>
      <c r="W586" s="197"/>
      <c r="X586" s="197"/>
      <c r="Y586" s="197"/>
      <c r="Z586" s="197"/>
      <c r="AA586" s="197"/>
      <c r="AB586" s="197"/>
      <c r="AC586" s="197"/>
      <c r="AD586" s="208"/>
      <c r="AE586" s="200"/>
      <c r="AF586" s="200"/>
    </row>
    <row r="587" spans="5:32" ht="15.75" x14ac:dyDescent="0.25">
      <c r="E587" s="261"/>
      <c r="F587" s="193"/>
      <c r="G587" s="194"/>
      <c r="H587" s="195"/>
      <c r="I587" s="202"/>
      <c r="O587" s="197"/>
      <c r="P587" s="197"/>
      <c r="Q587" s="197"/>
      <c r="R587" s="197"/>
      <c r="S587" s="197"/>
      <c r="T587" s="197"/>
      <c r="U587" s="197"/>
      <c r="V587" s="197"/>
      <c r="W587" s="197"/>
      <c r="X587" s="197"/>
      <c r="Y587" s="197"/>
      <c r="Z587" s="197"/>
      <c r="AA587" s="197"/>
      <c r="AB587" s="197"/>
      <c r="AC587" s="197"/>
      <c r="AD587" s="208"/>
      <c r="AE587" s="200"/>
      <c r="AF587" s="200"/>
    </row>
    <row r="588" spans="5:32" ht="15.75" x14ac:dyDescent="0.25">
      <c r="E588" s="261"/>
      <c r="F588" s="193"/>
      <c r="G588" s="194"/>
      <c r="H588" s="195"/>
      <c r="I588" s="202"/>
      <c r="O588" s="197"/>
      <c r="P588" s="197"/>
      <c r="Q588" s="197"/>
      <c r="R588" s="197"/>
      <c r="S588" s="197"/>
      <c r="T588" s="197"/>
      <c r="U588" s="197"/>
      <c r="V588" s="197"/>
      <c r="W588" s="197"/>
      <c r="X588" s="197"/>
      <c r="Y588" s="197"/>
      <c r="Z588" s="197"/>
      <c r="AA588" s="197"/>
      <c r="AB588" s="197"/>
      <c r="AC588" s="197"/>
      <c r="AD588" s="208"/>
      <c r="AE588" s="200"/>
      <c r="AF588" s="200"/>
    </row>
    <row r="589" spans="5:32" ht="15.75" x14ac:dyDescent="0.25">
      <c r="E589" s="261"/>
      <c r="F589" s="193"/>
      <c r="G589" s="194"/>
      <c r="H589" s="195"/>
      <c r="I589" s="202"/>
      <c r="O589" s="197"/>
      <c r="P589" s="197"/>
      <c r="Q589" s="197"/>
      <c r="R589" s="197"/>
      <c r="S589" s="197"/>
      <c r="T589" s="197"/>
      <c r="U589" s="197"/>
      <c r="V589" s="197"/>
      <c r="W589" s="197"/>
      <c r="X589" s="197"/>
      <c r="Y589" s="197"/>
      <c r="Z589" s="197"/>
      <c r="AA589" s="197"/>
      <c r="AB589" s="197"/>
      <c r="AC589" s="197"/>
      <c r="AD589" s="208"/>
      <c r="AE589" s="200"/>
      <c r="AF589" s="200"/>
    </row>
    <row r="590" spans="5:32" ht="15.75" x14ac:dyDescent="0.25">
      <c r="E590" s="261"/>
      <c r="F590" s="193"/>
      <c r="G590" s="194"/>
      <c r="H590" s="195"/>
      <c r="I590" s="202"/>
      <c r="O590" s="197"/>
      <c r="P590" s="197"/>
      <c r="Q590" s="197"/>
      <c r="R590" s="197"/>
      <c r="S590" s="197"/>
      <c r="T590" s="197"/>
      <c r="U590" s="197"/>
      <c r="V590" s="197"/>
      <c r="W590" s="197"/>
      <c r="X590" s="197"/>
      <c r="Y590" s="197"/>
      <c r="Z590" s="197"/>
      <c r="AA590" s="197"/>
      <c r="AB590" s="197"/>
      <c r="AC590" s="197"/>
      <c r="AD590" s="208"/>
      <c r="AE590" s="200"/>
      <c r="AF590" s="200"/>
    </row>
    <row r="591" spans="5:32" ht="15.75" x14ac:dyDescent="0.25">
      <c r="E591" s="261"/>
      <c r="F591" s="193"/>
      <c r="G591" s="194"/>
      <c r="H591" s="195"/>
      <c r="I591" s="202"/>
      <c r="O591" s="197"/>
      <c r="P591" s="197"/>
      <c r="Q591" s="197"/>
      <c r="R591" s="197"/>
      <c r="S591" s="197"/>
      <c r="T591" s="197"/>
      <c r="U591" s="197"/>
      <c r="V591" s="197"/>
      <c r="W591" s="197"/>
      <c r="X591" s="197"/>
      <c r="Y591" s="197"/>
      <c r="Z591" s="197"/>
      <c r="AA591" s="197"/>
      <c r="AB591" s="197"/>
      <c r="AC591" s="197"/>
      <c r="AD591" s="208"/>
      <c r="AE591" s="200"/>
      <c r="AF591" s="200"/>
    </row>
    <row r="592" spans="5:32" ht="15.75" x14ac:dyDescent="0.25">
      <c r="E592" s="261"/>
      <c r="F592" s="193"/>
      <c r="G592" s="194"/>
      <c r="H592" s="195"/>
      <c r="I592" s="202"/>
      <c r="O592" s="197"/>
      <c r="P592" s="197"/>
      <c r="Q592" s="197"/>
      <c r="R592" s="197"/>
      <c r="S592" s="197"/>
      <c r="T592" s="197"/>
      <c r="U592" s="197"/>
      <c r="V592" s="197"/>
      <c r="W592" s="197"/>
      <c r="X592" s="197"/>
      <c r="Y592" s="197"/>
      <c r="Z592" s="197"/>
      <c r="AA592" s="197"/>
      <c r="AB592" s="197"/>
      <c r="AC592" s="197"/>
      <c r="AD592" s="208"/>
      <c r="AE592" s="200"/>
      <c r="AF592" s="200"/>
    </row>
    <row r="593" spans="5:32" ht="15.75" x14ac:dyDescent="0.25">
      <c r="E593" s="261"/>
      <c r="F593" s="193"/>
      <c r="G593" s="194"/>
      <c r="H593" s="195"/>
      <c r="I593" s="202"/>
      <c r="O593" s="197"/>
      <c r="P593" s="197"/>
      <c r="Q593" s="197"/>
      <c r="R593" s="197"/>
      <c r="S593" s="197"/>
      <c r="T593" s="197"/>
      <c r="U593" s="197"/>
      <c r="V593" s="197"/>
      <c r="W593" s="197"/>
      <c r="X593" s="197"/>
      <c r="Y593" s="197"/>
      <c r="Z593" s="197"/>
      <c r="AA593" s="197"/>
      <c r="AB593" s="197"/>
      <c r="AC593" s="197"/>
      <c r="AD593" s="208"/>
      <c r="AE593" s="200"/>
      <c r="AF593" s="200"/>
    </row>
    <row r="594" spans="5:32" ht="15.75" x14ac:dyDescent="0.25">
      <c r="E594" s="261"/>
      <c r="F594" s="193"/>
      <c r="G594" s="194"/>
      <c r="H594" s="195"/>
      <c r="I594" s="202"/>
      <c r="O594" s="197"/>
      <c r="P594" s="197"/>
      <c r="Q594" s="197"/>
      <c r="R594" s="197"/>
      <c r="S594" s="197"/>
      <c r="T594" s="197"/>
      <c r="U594" s="197"/>
      <c r="V594" s="197"/>
      <c r="W594" s="197"/>
      <c r="X594" s="197"/>
      <c r="Y594" s="197"/>
      <c r="Z594" s="197"/>
      <c r="AA594" s="197"/>
      <c r="AB594" s="197"/>
      <c r="AC594" s="197"/>
      <c r="AD594" s="208"/>
      <c r="AE594" s="200"/>
      <c r="AF594" s="200"/>
    </row>
    <row r="595" spans="5:32" ht="15.75" x14ac:dyDescent="0.25">
      <c r="E595" s="261"/>
      <c r="F595" s="193"/>
      <c r="G595" s="194"/>
      <c r="H595" s="195"/>
      <c r="I595" s="202"/>
      <c r="O595" s="197"/>
      <c r="P595" s="197"/>
      <c r="Q595" s="197"/>
      <c r="R595" s="197"/>
      <c r="S595" s="197"/>
      <c r="T595" s="197"/>
      <c r="U595" s="197"/>
      <c r="V595" s="197"/>
      <c r="W595" s="197"/>
      <c r="X595" s="197"/>
      <c r="Y595" s="197"/>
      <c r="Z595" s="197"/>
      <c r="AA595" s="197"/>
      <c r="AB595" s="197"/>
      <c r="AC595" s="197"/>
      <c r="AD595" s="208"/>
      <c r="AE595" s="200"/>
      <c r="AF595" s="200"/>
    </row>
    <row r="596" spans="5:32" ht="15.75" x14ac:dyDescent="0.25">
      <c r="E596" s="261"/>
      <c r="F596" s="193"/>
      <c r="G596" s="194"/>
      <c r="H596" s="195"/>
      <c r="I596" s="202"/>
      <c r="O596" s="197"/>
      <c r="P596" s="197"/>
      <c r="Q596" s="197"/>
      <c r="R596" s="197"/>
      <c r="S596" s="197"/>
      <c r="T596" s="197"/>
      <c r="U596" s="197"/>
      <c r="V596" s="197"/>
      <c r="W596" s="197"/>
      <c r="X596" s="197"/>
      <c r="Y596" s="197"/>
      <c r="Z596" s="197"/>
      <c r="AA596" s="197"/>
      <c r="AB596" s="197"/>
      <c r="AC596" s="197"/>
      <c r="AD596" s="208"/>
      <c r="AE596" s="200"/>
      <c r="AF596" s="200"/>
    </row>
    <row r="597" spans="5:32" ht="15.75" x14ac:dyDescent="0.25">
      <c r="E597" s="261"/>
      <c r="F597" s="193"/>
      <c r="G597" s="194"/>
      <c r="H597" s="195"/>
      <c r="I597" s="202"/>
      <c r="O597" s="197"/>
      <c r="P597" s="197"/>
      <c r="Q597" s="197"/>
      <c r="R597" s="197"/>
      <c r="S597" s="197"/>
      <c r="T597" s="197"/>
      <c r="U597" s="197"/>
      <c r="V597" s="197"/>
      <c r="W597" s="197"/>
      <c r="X597" s="197"/>
      <c r="Y597" s="197"/>
      <c r="Z597" s="197"/>
      <c r="AA597" s="197"/>
      <c r="AB597" s="197"/>
      <c r="AC597" s="197"/>
      <c r="AD597" s="208"/>
      <c r="AE597" s="200"/>
      <c r="AF597" s="200"/>
    </row>
    <row r="598" spans="5:32" ht="15.75" x14ac:dyDescent="0.25">
      <c r="E598" s="261"/>
      <c r="F598" s="193"/>
      <c r="G598" s="194"/>
      <c r="H598" s="195"/>
      <c r="I598" s="202"/>
      <c r="O598" s="197"/>
      <c r="P598" s="197"/>
      <c r="Q598" s="197"/>
      <c r="R598" s="197"/>
      <c r="S598" s="197"/>
      <c r="T598" s="197"/>
      <c r="U598" s="197"/>
      <c r="V598" s="197"/>
      <c r="W598" s="197"/>
      <c r="X598" s="197"/>
      <c r="Y598" s="197"/>
      <c r="Z598" s="197"/>
      <c r="AA598" s="197"/>
      <c r="AB598" s="197"/>
      <c r="AC598" s="197"/>
      <c r="AD598" s="208"/>
      <c r="AE598" s="200"/>
      <c r="AF598" s="200"/>
    </row>
    <row r="599" spans="5:32" ht="15.75" x14ac:dyDescent="0.25">
      <c r="E599" s="261"/>
      <c r="F599" s="193"/>
      <c r="G599" s="194"/>
      <c r="H599" s="195"/>
      <c r="I599" s="202"/>
      <c r="O599" s="197"/>
      <c r="P599" s="197"/>
      <c r="Q599" s="197"/>
      <c r="R599" s="197"/>
      <c r="S599" s="197"/>
      <c r="T599" s="197"/>
      <c r="U599" s="197"/>
      <c r="V599" s="197"/>
      <c r="W599" s="197"/>
      <c r="X599" s="197"/>
      <c r="Y599" s="197"/>
      <c r="Z599" s="197"/>
      <c r="AA599" s="197"/>
      <c r="AB599" s="197"/>
      <c r="AC599" s="197"/>
      <c r="AD599" s="208"/>
      <c r="AE599" s="200"/>
      <c r="AF599" s="200"/>
    </row>
    <row r="600" spans="5:32" ht="15.75" x14ac:dyDescent="0.25">
      <c r="E600" s="261"/>
      <c r="F600" s="193"/>
      <c r="G600" s="194"/>
      <c r="H600" s="195"/>
      <c r="I600" s="202"/>
      <c r="O600" s="197"/>
      <c r="P600" s="197"/>
      <c r="Q600" s="197"/>
      <c r="R600" s="197"/>
      <c r="S600" s="197"/>
      <c r="T600" s="197"/>
      <c r="U600" s="197"/>
      <c r="V600" s="197"/>
      <c r="W600" s="197"/>
      <c r="X600" s="197"/>
      <c r="Y600" s="197"/>
      <c r="Z600" s="197"/>
      <c r="AA600" s="197"/>
      <c r="AB600" s="197"/>
      <c r="AC600" s="197"/>
      <c r="AD600" s="208"/>
      <c r="AE600" s="200"/>
      <c r="AF600" s="200"/>
    </row>
    <row r="601" spans="5:32" ht="15.75" x14ac:dyDescent="0.25">
      <c r="E601" s="261"/>
      <c r="F601" s="193"/>
      <c r="G601" s="194"/>
      <c r="H601" s="195"/>
      <c r="I601" s="202"/>
      <c r="O601" s="197"/>
      <c r="P601" s="197"/>
      <c r="Q601" s="197"/>
      <c r="R601" s="197"/>
      <c r="S601" s="197"/>
      <c r="T601" s="197"/>
      <c r="U601" s="197"/>
      <c r="V601" s="197"/>
      <c r="W601" s="197"/>
      <c r="X601" s="197"/>
      <c r="Y601" s="197"/>
      <c r="Z601" s="197"/>
      <c r="AA601" s="197"/>
      <c r="AB601" s="197"/>
      <c r="AC601" s="197"/>
      <c r="AD601" s="208"/>
      <c r="AE601" s="200"/>
      <c r="AF601" s="200"/>
    </row>
    <row r="602" spans="5:32" ht="15.75" x14ac:dyDescent="0.25">
      <c r="E602" s="261"/>
      <c r="F602" s="193"/>
      <c r="G602" s="194"/>
      <c r="H602" s="195"/>
      <c r="I602" s="202"/>
      <c r="O602" s="197"/>
      <c r="P602" s="197"/>
      <c r="Q602" s="197"/>
      <c r="R602" s="197"/>
      <c r="S602" s="197"/>
      <c r="T602" s="197"/>
      <c r="U602" s="197"/>
      <c r="V602" s="197"/>
      <c r="W602" s="197"/>
      <c r="X602" s="197"/>
      <c r="Y602" s="197"/>
      <c r="Z602" s="197"/>
      <c r="AA602" s="197"/>
      <c r="AB602" s="197"/>
      <c r="AC602" s="197"/>
      <c r="AD602" s="208"/>
      <c r="AE602" s="200"/>
      <c r="AF602" s="200"/>
    </row>
    <row r="603" spans="5:32" ht="15.75" x14ac:dyDescent="0.25">
      <c r="E603" s="261"/>
      <c r="F603" s="193"/>
      <c r="G603" s="194"/>
      <c r="H603" s="195"/>
      <c r="I603" s="202"/>
      <c r="O603" s="197"/>
      <c r="P603" s="197"/>
      <c r="Q603" s="197"/>
      <c r="R603" s="197"/>
      <c r="S603" s="197"/>
      <c r="T603" s="197"/>
      <c r="U603" s="197"/>
      <c r="V603" s="197"/>
      <c r="W603" s="197"/>
      <c r="X603" s="197"/>
      <c r="Y603" s="197"/>
      <c r="Z603" s="197"/>
      <c r="AA603" s="197"/>
      <c r="AB603" s="197"/>
      <c r="AC603" s="197"/>
      <c r="AD603" s="208"/>
      <c r="AE603" s="200"/>
      <c r="AF603" s="200"/>
    </row>
    <row r="604" spans="5:32" ht="15.75" x14ac:dyDescent="0.25">
      <c r="E604" s="261"/>
      <c r="F604" s="193"/>
      <c r="G604" s="194"/>
      <c r="H604" s="195"/>
      <c r="I604" s="202"/>
      <c r="O604" s="197"/>
      <c r="P604" s="197"/>
      <c r="Q604" s="197"/>
      <c r="R604" s="197"/>
      <c r="S604" s="197"/>
      <c r="T604" s="197"/>
      <c r="U604" s="197"/>
      <c r="V604" s="197"/>
      <c r="W604" s="197"/>
      <c r="X604" s="197"/>
      <c r="Y604" s="197"/>
      <c r="Z604" s="197"/>
      <c r="AA604" s="197"/>
      <c r="AB604" s="197"/>
      <c r="AC604" s="197"/>
      <c r="AD604" s="208"/>
      <c r="AE604" s="200"/>
      <c r="AF604" s="200"/>
    </row>
    <row r="605" spans="5:32" ht="15.75" x14ac:dyDescent="0.25">
      <c r="E605" s="261"/>
      <c r="F605" s="193"/>
      <c r="G605" s="194"/>
      <c r="H605" s="195"/>
      <c r="I605" s="202"/>
      <c r="O605" s="197"/>
      <c r="P605" s="197"/>
      <c r="Q605" s="197"/>
      <c r="R605" s="197"/>
      <c r="S605" s="197"/>
      <c r="T605" s="197"/>
      <c r="U605" s="197"/>
      <c r="V605" s="197"/>
      <c r="W605" s="197"/>
      <c r="X605" s="197"/>
      <c r="Y605" s="197"/>
      <c r="Z605" s="197"/>
      <c r="AA605" s="197"/>
      <c r="AB605" s="197"/>
      <c r="AC605" s="197"/>
      <c r="AD605" s="208"/>
      <c r="AE605" s="200"/>
      <c r="AF605" s="200"/>
    </row>
    <row r="606" spans="5:32" ht="15.75" x14ac:dyDescent="0.25">
      <c r="E606" s="261"/>
      <c r="F606" s="193"/>
      <c r="G606" s="194"/>
      <c r="H606" s="195"/>
      <c r="I606" s="202"/>
      <c r="O606" s="197"/>
      <c r="P606" s="197"/>
      <c r="Q606" s="197"/>
      <c r="R606" s="197"/>
      <c r="S606" s="197"/>
      <c r="T606" s="197"/>
      <c r="U606" s="197"/>
      <c r="V606" s="197"/>
      <c r="W606" s="197"/>
      <c r="X606" s="197"/>
      <c r="Y606" s="197"/>
      <c r="Z606" s="197"/>
      <c r="AA606" s="197"/>
      <c r="AB606" s="197"/>
      <c r="AC606" s="197"/>
      <c r="AD606" s="208"/>
      <c r="AE606" s="200"/>
      <c r="AF606" s="200"/>
    </row>
    <row r="607" spans="5:32" ht="15.75" x14ac:dyDescent="0.25">
      <c r="E607" s="261"/>
      <c r="F607" s="193"/>
      <c r="G607" s="194"/>
      <c r="H607" s="195"/>
      <c r="I607" s="202"/>
      <c r="O607" s="197"/>
      <c r="P607" s="197"/>
      <c r="Q607" s="197"/>
      <c r="R607" s="197"/>
      <c r="S607" s="197"/>
      <c r="T607" s="197"/>
      <c r="U607" s="197"/>
      <c r="V607" s="197"/>
      <c r="W607" s="197"/>
      <c r="X607" s="197"/>
      <c r="Y607" s="197"/>
      <c r="Z607" s="197"/>
      <c r="AA607" s="197"/>
      <c r="AB607" s="197"/>
      <c r="AC607" s="197"/>
      <c r="AD607" s="208"/>
      <c r="AE607" s="200"/>
      <c r="AF607" s="200"/>
    </row>
    <row r="608" spans="5:32" ht="15.75" x14ac:dyDescent="0.25">
      <c r="E608" s="261"/>
      <c r="F608" s="193"/>
      <c r="G608" s="194"/>
      <c r="H608" s="195"/>
      <c r="I608" s="202"/>
      <c r="O608" s="197"/>
      <c r="P608" s="197"/>
      <c r="Q608" s="197"/>
      <c r="R608" s="197"/>
      <c r="S608" s="197"/>
      <c r="T608" s="197"/>
      <c r="U608" s="197"/>
      <c r="V608" s="197"/>
      <c r="W608" s="197"/>
      <c r="X608" s="197"/>
      <c r="Y608" s="197"/>
      <c r="Z608" s="197"/>
      <c r="AA608" s="197"/>
      <c r="AB608" s="197"/>
      <c r="AC608" s="197"/>
      <c r="AD608" s="208"/>
      <c r="AE608" s="200"/>
      <c r="AF608" s="200"/>
    </row>
    <row r="609" spans="5:32" ht="15.75" x14ac:dyDescent="0.25">
      <c r="E609" s="261"/>
      <c r="F609" s="193"/>
      <c r="G609" s="194"/>
      <c r="H609" s="195"/>
      <c r="I609" s="202"/>
      <c r="O609" s="197"/>
      <c r="P609" s="197"/>
      <c r="Q609" s="197"/>
      <c r="R609" s="197"/>
      <c r="S609" s="197"/>
      <c r="T609" s="197"/>
      <c r="U609" s="197"/>
      <c r="V609" s="197"/>
      <c r="W609" s="197"/>
      <c r="X609" s="197"/>
      <c r="Y609" s="197"/>
      <c r="Z609" s="197"/>
      <c r="AA609" s="197"/>
      <c r="AB609" s="197"/>
      <c r="AC609" s="197"/>
      <c r="AD609" s="208"/>
      <c r="AE609" s="200"/>
      <c r="AF609" s="200"/>
    </row>
    <row r="610" spans="5:32" ht="15.75" x14ac:dyDescent="0.25">
      <c r="E610" s="261"/>
      <c r="F610" s="193"/>
      <c r="G610" s="194"/>
      <c r="H610" s="195"/>
      <c r="I610" s="202"/>
      <c r="O610" s="197"/>
      <c r="P610" s="197"/>
      <c r="Q610" s="197"/>
      <c r="R610" s="197"/>
      <c r="S610" s="197"/>
      <c r="T610" s="197"/>
      <c r="U610" s="197"/>
      <c r="V610" s="197"/>
      <c r="W610" s="197"/>
      <c r="X610" s="197"/>
      <c r="Y610" s="197"/>
      <c r="Z610" s="197"/>
      <c r="AA610" s="197"/>
      <c r="AB610" s="197"/>
      <c r="AC610" s="197"/>
      <c r="AD610" s="208"/>
      <c r="AE610" s="200"/>
      <c r="AF610" s="200"/>
    </row>
    <row r="611" spans="5:32" ht="15.75" x14ac:dyDescent="0.25">
      <c r="E611" s="261"/>
      <c r="F611" s="193"/>
      <c r="G611" s="194"/>
      <c r="H611" s="195"/>
      <c r="I611" s="202"/>
      <c r="O611" s="197"/>
      <c r="P611" s="197"/>
      <c r="Q611" s="197"/>
      <c r="R611" s="197"/>
      <c r="S611" s="197"/>
      <c r="T611" s="197"/>
      <c r="U611" s="197"/>
      <c r="V611" s="197"/>
      <c r="W611" s="197"/>
      <c r="X611" s="197"/>
      <c r="Y611" s="197"/>
      <c r="Z611" s="197"/>
      <c r="AA611" s="197"/>
      <c r="AB611" s="197"/>
      <c r="AC611" s="197"/>
      <c r="AD611" s="208"/>
      <c r="AE611" s="200"/>
      <c r="AF611" s="200"/>
    </row>
    <row r="612" spans="5:32" ht="15.75" x14ac:dyDescent="0.25">
      <c r="E612" s="261"/>
      <c r="F612" s="193"/>
      <c r="G612" s="194"/>
      <c r="H612" s="195"/>
      <c r="I612" s="202"/>
      <c r="O612" s="197"/>
      <c r="P612" s="197"/>
      <c r="Q612" s="197"/>
      <c r="R612" s="197"/>
      <c r="S612" s="197"/>
      <c r="T612" s="197"/>
      <c r="U612" s="197"/>
      <c r="V612" s="197"/>
      <c r="W612" s="197"/>
      <c r="X612" s="197"/>
      <c r="Y612" s="197"/>
      <c r="Z612" s="197"/>
      <c r="AA612" s="197"/>
      <c r="AB612" s="197"/>
      <c r="AC612" s="197"/>
      <c r="AD612" s="208"/>
      <c r="AE612" s="200"/>
      <c r="AF612" s="200"/>
    </row>
    <row r="613" spans="5:32" ht="15.75" x14ac:dyDescent="0.25">
      <c r="E613" s="261"/>
      <c r="F613" s="193"/>
      <c r="G613" s="194"/>
      <c r="H613" s="195"/>
      <c r="I613" s="202"/>
      <c r="O613" s="197"/>
      <c r="P613" s="197"/>
      <c r="Q613" s="197"/>
      <c r="R613" s="197"/>
      <c r="S613" s="197"/>
      <c r="T613" s="197"/>
      <c r="U613" s="197"/>
      <c r="V613" s="197"/>
      <c r="W613" s="197"/>
      <c r="X613" s="197"/>
      <c r="Y613" s="197"/>
      <c r="Z613" s="197"/>
      <c r="AA613" s="197"/>
      <c r="AB613" s="197"/>
      <c r="AC613" s="197"/>
      <c r="AD613" s="208"/>
      <c r="AE613" s="200"/>
      <c r="AF613" s="200"/>
    </row>
    <row r="614" spans="5:32" ht="15.75" x14ac:dyDescent="0.25">
      <c r="E614" s="261"/>
      <c r="F614" s="193"/>
      <c r="G614" s="194"/>
      <c r="H614" s="195"/>
      <c r="I614" s="202"/>
      <c r="O614" s="197"/>
      <c r="P614" s="197"/>
      <c r="Q614" s="197"/>
      <c r="R614" s="197"/>
      <c r="S614" s="197"/>
      <c r="T614" s="197"/>
      <c r="U614" s="197"/>
      <c r="V614" s="197"/>
      <c r="W614" s="197"/>
      <c r="X614" s="197"/>
      <c r="Y614" s="197"/>
      <c r="Z614" s="197"/>
      <c r="AA614" s="197"/>
      <c r="AB614" s="197"/>
      <c r="AC614" s="197"/>
      <c r="AD614" s="208"/>
      <c r="AE614" s="200"/>
      <c r="AF614" s="200"/>
    </row>
    <row r="615" spans="5:32" ht="15.75" x14ac:dyDescent="0.25">
      <c r="E615" s="261"/>
      <c r="F615" s="193"/>
      <c r="G615" s="194"/>
      <c r="H615" s="195"/>
      <c r="I615" s="202"/>
      <c r="O615" s="197"/>
      <c r="P615" s="197"/>
      <c r="Q615" s="197"/>
      <c r="R615" s="197"/>
      <c r="S615" s="197"/>
      <c r="T615" s="197"/>
      <c r="U615" s="197"/>
      <c r="V615" s="197"/>
      <c r="W615" s="197"/>
      <c r="X615" s="197"/>
      <c r="Y615" s="197"/>
      <c r="Z615" s="197"/>
      <c r="AA615" s="197"/>
      <c r="AB615" s="197"/>
      <c r="AC615" s="197"/>
      <c r="AD615" s="208"/>
      <c r="AE615" s="200"/>
      <c r="AF615" s="200"/>
    </row>
    <row r="616" spans="5:32" ht="15.75" x14ac:dyDescent="0.25">
      <c r="E616" s="261"/>
      <c r="F616" s="193"/>
      <c r="G616" s="194"/>
      <c r="H616" s="195"/>
      <c r="I616" s="202"/>
      <c r="O616" s="197"/>
      <c r="P616" s="197"/>
      <c r="Q616" s="197"/>
      <c r="R616" s="197"/>
      <c r="S616" s="197"/>
      <c r="T616" s="197"/>
      <c r="U616" s="197"/>
      <c r="V616" s="197"/>
      <c r="W616" s="197"/>
      <c r="X616" s="197"/>
      <c r="Y616" s="197"/>
      <c r="Z616" s="197"/>
      <c r="AA616" s="197"/>
      <c r="AB616" s="197"/>
      <c r="AC616" s="197"/>
      <c r="AD616" s="208"/>
      <c r="AE616" s="200"/>
      <c r="AF616" s="200"/>
    </row>
    <row r="617" spans="5:32" ht="15.75" x14ac:dyDescent="0.25">
      <c r="E617" s="261"/>
      <c r="F617" s="193"/>
      <c r="G617" s="194"/>
      <c r="H617" s="195"/>
      <c r="I617" s="202"/>
      <c r="O617" s="197"/>
      <c r="P617" s="197"/>
      <c r="Q617" s="197"/>
      <c r="R617" s="197"/>
      <c r="S617" s="197"/>
      <c r="T617" s="197"/>
      <c r="U617" s="197"/>
      <c r="V617" s="197"/>
      <c r="W617" s="197"/>
      <c r="X617" s="197"/>
      <c r="Y617" s="197"/>
      <c r="Z617" s="197"/>
      <c r="AA617" s="197"/>
      <c r="AB617" s="197"/>
      <c r="AC617" s="197"/>
      <c r="AD617" s="208"/>
      <c r="AE617" s="200"/>
      <c r="AF617" s="200"/>
    </row>
    <row r="618" spans="5:32" ht="15.75" x14ac:dyDescent="0.25">
      <c r="E618" s="261"/>
      <c r="F618" s="193"/>
      <c r="G618" s="194"/>
      <c r="H618" s="195"/>
      <c r="I618" s="202"/>
      <c r="O618" s="197"/>
      <c r="P618" s="197"/>
      <c r="Q618" s="197"/>
      <c r="R618" s="197"/>
      <c r="S618" s="197"/>
      <c r="T618" s="197"/>
      <c r="U618" s="197"/>
      <c r="V618" s="197"/>
      <c r="W618" s="197"/>
      <c r="X618" s="197"/>
      <c r="Y618" s="197"/>
      <c r="Z618" s="197"/>
      <c r="AA618" s="197"/>
      <c r="AB618" s="197"/>
      <c r="AC618" s="197"/>
      <c r="AD618" s="208"/>
      <c r="AE618" s="200"/>
      <c r="AF618" s="200"/>
    </row>
    <row r="619" spans="5:32" ht="15.75" x14ac:dyDescent="0.25">
      <c r="E619" s="261"/>
      <c r="F619" s="193"/>
      <c r="G619" s="194"/>
      <c r="H619" s="195"/>
      <c r="I619" s="202"/>
      <c r="O619" s="197"/>
      <c r="P619" s="197"/>
      <c r="Q619" s="197"/>
      <c r="R619" s="197"/>
      <c r="S619" s="197"/>
      <c r="T619" s="197"/>
      <c r="U619" s="197"/>
      <c r="V619" s="197"/>
      <c r="W619" s="197"/>
      <c r="X619" s="197"/>
      <c r="Y619" s="197"/>
      <c r="Z619" s="197"/>
      <c r="AA619" s="197"/>
      <c r="AB619" s="197"/>
      <c r="AC619" s="197"/>
      <c r="AD619" s="208"/>
      <c r="AE619" s="200"/>
      <c r="AF619" s="200"/>
    </row>
    <row r="620" spans="5:32" ht="15.75" x14ac:dyDescent="0.25">
      <c r="E620" s="261"/>
      <c r="F620" s="193"/>
      <c r="G620" s="194"/>
      <c r="H620" s="195"/>
      <c r="I620" s="202"/>
      <c r="O620" s="197"/>
      <c r="P620" s="197"/>
      <c r="Q620" s="197"/>
      <c r="R620" s="197"/>
      <c r="S620" s="197"/>
      <c r="T620" s="197"/>
      <c r="U620" s="197"/>
      <c r="V620" s="197"/>
      <c r="W620" s="197"/>
      <c r="X620" s="197"/>
      <c r="Y620" s="197"/>
      <c r="Z620" s="197"/>
      <c r="AA620" s="197"/>
      <c r="AB620" s="197"/>
      <c r="AC620" s="197"/>
      <c r="AD620" s="208"/>
      <c r="AE620" s="200"/>
      <c r="AF620" s="200"/>
    </row>
    <row r="621" spans="5:32" ht="15.75" x14ac:dyDescent="0.25">
      <c r="E621" s="261"/>
      <c r="F621" s="193"/>
      <c r="G621" s="194"/>
      <c r="H621" s="195"/>
      <c r="I621" s="202"/>
      <c r="O621" s="197"/>
      <c r="P621" s="197"/>
      <c r="Q621" s="197"/>
      <c r="R621" s="197"/>
      <c r="S621" s="197"/>
      <c r="T621" s="197"/>
      <c r="U621" s="197"/>
      <c r="V621" s="197"/>
      <c r="W621" s="197"/>
      <c r="X621" s="197"/>
      <c r="Y621" s="197"/>
      <c r="Z621" s="197"/>
      <c r="AA621" s="197"/>
      <c r="AB621" s="197"/>
      <c r="AC621" s="197"/>
      <c r="AD621" s="208"/>
      <c r="AE621" s="200"/>
      <c r="AF621" s="200"/>
    </row>
    <row r="622" spans="5:32" ht="15.75" x14ac:dyDescent="0.25">
      <c r="E622" s="261"/>
      <c r="F622" s="193"/>
      <c r="G622" s="194"/>
      <c r="H622" s="195"/>
      <c r="I622" s="202"/>
      <c r="O622" s="197"/>
      <c r="P622" s="197"/>
      <c r="Q622" s="197"/>
      <c r="R622" s="197"/>
      <c r="S622" s="197"/>
      <c r="T622" s="197"/>
      <c r="U622" s="197"/>
      <c r="V622" s="197"/>
      <c r="W622" s="197"/>
      <c r="X622" s="197"/>
      <c r="Y622" s="197"/>
      <c r="Z622" s="197"/>
      <c r="AA622" s="197"/>
      <c r="AB622" s="197"/>
      <c r="AC622" s="197"/>
      <c r="AD622" s="208"/>
      <c r="AE622" s="200"/>
      <c r="AF622" s="200"/>
    </row>
    <row r="623" spans="5:32" ht="15.75" x14ac:dyDescent="0.25">
      <c r="E623" s="261"/>
      <c r="F623" s="193"/>
      <c r="G623" s="194"/>
      <c r="H623" s="195"/>
      <c r="I623" s="202"/>
      <c r="O623" s="197"/>
      <c r="P623" s="197"/>
      <c r="Q623" s="197"/>
      <c r="R623" s="197"/>
      <c r="S623" s="197"/>
      <c r="T623" s="197"/>
      <c r="U623" s="197"/>
      <c r="V623" s="197"/>
      <c r="W623" s="197"/>
      <c r="X623" s="197"/>
      <c r="Y623" s="197"/>
      <c r="Z623" s="197"/>
      <c r="AA623" s="197"/>
      <c r="AB623" s="197"/>
      <c r="AC623" s="197"/>
      <c r="AD623" s="208"/>
      <c r="AE623" s="200"/>
      <c r="AF623" s="200"/>
    </row>
    <row r="624" spans="5:32" ht="15.75" x14ac:dyDescent="0.25">
      <c r="E624" s="261"/>
      <c r="F624" s="193"/>
      <c r="G624" s="194"/>
      <c r="H624" s="195"/>
      <c r="I624" s="202"/>
      <c r="O624" s="197"/>
      <c r="P624" s="197"/>
      <c r="Q624" s="197"/>
      <c r="R624" s="197"/>
      <c r="S624" s="197"/>
      <c r="T624" s="197"/>
      <c r="U624" s="197"/>
      <c r="V624" s="197"/>
      <c r="W624" s="197"/>
      <c r="X624" s="197"/>
      <c r="Y624" s="197"/>
      <c r="Z624" s="197"/>
      <c r="AA624" s="197"/>
      <c r="AB624" s="197"/>
      <c r="AC624" s="197"/>
      <c r="AD624" s="208"/>
      <c r="AE624" s="200"/>
      <c r="AF624" s="200"/>
    </row>
    <row r="625" spans="5:32" ht="15.75" x14ac:dyDescent="0.25">
      <c r="E625" s="261"/>
      <c r="F625" s="193"/>
      <c r="G625" s="194"/>
      <c r="H625" s="195"/>
      <c r="I625" s="202"/>
      <c r="O625" s="197"/>
      <c r="P625" s="197"/>
      <c r="Q625" s="197"/>
      <c r="R625" s="197"/>
      <c r="S625" s="197"/>
      <c r="T625" s="197"/>
      <c r="U625" s="197"/>
      <c r="V625" s="197"/>
      <c r="W625" s="197"/>
      <c r="X625" s="197"/>
      <c r="Y625" s="197"/>
      <c r="Z625" s="197"/>
      <c r="AA625" s="197"/>
      <c r="AB625" s="197"/>
      <c r="AC625" s="197"/>
      <c r="AD625" s="208"/>
      <c r="AE625" s="200"/>
      <c r="AF625" s="200"/>
    </row>
    <row r="626" spans="5:32" ht="15.75" x14ac:dyDescent="0.25">
      <c r="E626" s="261"/>
      <c r="F626" s="193"/>
      <c r="G626" s="194"/>
      <c r="H626" s="195"/>
      <c r="I626" s="202"/>
      <c r="O626" s="197"/>
      <c r="P626" s="197"/>
      <c r="Q626" s="197"/>
      <c r="R626" s="197"/>
      <c r="S626" s="197"/>
      <c r="T626" s="197"/>
      <c r="U626" s="197"/>
      <c r="V626" s="197"/>
      <c r="W626" s="197"/>
      <c r="X626" s="197"/>
      <c r="Y626" s="197"/>
      <c r="Z626" s="197"/>
      <c r="AA626" s="197"/>
      <c r="AB626" s="197"/>
      <c r="AC626" s="197"/>
      <c r="AD626" s="208"/>
      <c r="AE626" s="200"/>
      <c r="AF626" s="200"/>
    </row>
    <row r="627" spans="5:32" ht="15.75" x14ac:dyDescent="0.25">
      <c r="E627" s="261"/>
      <c r="F627" s="193"/>
      <c r="G627" s="194"/>
      <c r="H627" s="195"/>
      <c r="I627" s="202"/>
      <c r="O627" s="197"/>
      <c r="P627" s="197"/>
      <c r="Q627" s="197"/>
      <c r="R627" s="197"/>
      <c r="S627" s="197"/>
      <c r="T627" s="197"/>
      <c r="U627" s="197"/>
      <c r="V627" s="197"/>
      <c r="W627" s="197"/>
      <c r="X627" s="197"/>
      <c r="Y627" s="197"/>
      <c r="Z627" s="197"/>
      <c r="AA627" s="197"/>
      <c r="AB627" s="197"/>
      <c r="AC627" s="197"/>
      <c r="AD627" s="208"/>
      <c r="AE627" s="200"/>
      <c r="AF627" s="200"/>
    </row>
    <row r="628" spans="5:32" ht="15.75" x14ac:dyDescent="0.25">
      <c r="E628" s="261"/>
      <c r="F628" s="193"/>
      <c r="G628" s="194"/>
      <c r="H628" s="195"/>
      <c r="I628" s="202"/>
      <c r="O628" s="197"/>
      <c r="P628" s="197"/>
      <c r="Q628" s="197"/>
      <c r="R628" s="197"/>
      <c r="S628" s="197"/>
      <c r="T628" s="197"/>
      <c r="U628" s="197"/>
      <c r="V628" s="197"/>
      <c r="W628" s="197"/>
      <c r="X628" s="197"/>
      <c r="Y628" s="197"/>
      <c r="Z628" s="197"/>
      <c r="AA628" s="197"/>
      <c r="AB628" s="197"/>
      <c r="AC628" s="197"/>
      <c r="AD628" s="208"/>
      <c r="AE628" s="200"/>
      <c r="AF628" s="200"/>
    </row>
    <row r="629" spans="5:32" ht="15.75" x14ac:dyDescent="0.25">
      <c r="E629" s="261"/>
      <c r="F629" s="193"/>
      <c r="G629" s="194"/>
      <c r="H629" s="195"/>
      <c r="I629" s="202"/>
      <c r="O629" s="197"/>
      <c r="P629" s="197"/>
      <c r="Q629" s="197"/>
      <c r="R629" s="197"/>
      <c r="S629" s="197"/>
      <c r="T629" s="197"/>
      <c r="U629" s="197"/>
      <c r="V629" s="197"/>
      <c r="W629" s="197"/>
      <c r="X629" s="197"/>
      <c r="Y629" s="197"/>
      <c r="Z629" s="197"/>
      <c r="AA629" s="197"/>
      <c r="AB629" s="197"/>
      <c r="AC629" s="197"/>
      <c r="AD629" s="208"/>
      <c r="AE629" s="200"/>
      <c r="AF629" s="200"/>
    </row>
    <row r="630" spans="5:32" ht="15.75" x14ac:dyDescent="0.25">
      <c r="E630" s="261"/>
      <c r="F630" s="193"/>
      <c r="G630" s="194"/>
      <c r="H630" s="195"/>
      <c r="I630" s="202"/>
      <c r="O630" s="197"/>
      <c r="P630" s="197"/>
      <c r="Q630" s="197"/>
      <c r="R630" s="197"/>
      <c r="S630" s="197"/>
      <c r="T630" s="197"/>
      <c r="U630" s="197"/>
      <c r="V630" s="197"/>
      <c r="W630" s="197"/>
      <c r="X630" s="197"/>
      <c r="Y630" s="197"/>
      <c r="Z630" s="197"/>
      <c r="AA630" s="197"/>
      <c r="AB630" s="197"/>
      <c r="AC630" s="197"/>
      <c r="AD630" s="208"/>
      <c r="AE630" s="200"/>
      <c r="AF630" s="200"/>
    </row>
    <row r="631" spans="5:32" ht="15.75" x14ac:dyDescent="0.25">
      <c r="E631" s="261"/>
      <c r="F631" s="193"/>
      <c r="G631" s="194"/>
      <c r="H631" s="195"/>
      <c r="I631" s="202"/>
      <c r="O631" s="197"/>
      <c r="P631" s="197"/>
      <c r="Q631" s="197"/>
      <c r="R631" s="197"/>
      <c r="S631" s="197"/>
      <c r="T631" s="197"/>
      <c r="U631" s="197"/>
      <c r="V631" s="197"/>
      <c r="W631" s="197"/>
      <c r="X631" s="197"/>
      <c r="Y631" s="197"/>
      <c r="Z631" s="197"/>
      <c r="AA631" s="197"/>
      <c r="AB631" s="197"/>
      <c r="AC631" s="197"/>
      <c r="AD631" s="208"/>
      <c r="AE631" s="200"/>
      <c r="AF631" s="200"/>
    </row>
    <row r="632" spans="5:32" ht="15.75" x14ac:dyDescent="0.25">
      <c r="E632" s="261"/>
      <c r="F632" s="193"/>
      <c r="G632" s="194"/>
      <c r="H632" s="195"/>
      <c r="I632" s="202"/>
      <c r="O632" s="197"/>
      <c r="P632" s="197"/>
      <c r="Q632" s="197"/>
      <c r="R632" s="197"/>
      <c r="S632" s="197"/>
      <c r="T632" s="197"/>
      <c r="U632" s="197"/>
      <c r="V632" s="197"/>
      <c r="W632" s="197"/>
      <c r="X632" s="197"/>
      <c r="Y632" s="197"/>
      <c r="Z632" s="197"/>
      <c r="AA632" s="197"/>
      <c r="AB632" s="197"/>
      <c r="AC632" s="197"/>
      <c r="AD632" s="208"/>
      <c r="AE632" s="200"/>
      <c r="AF632" s="200"/>
    </row>
    <row r="633" spans="5:32" ht="15.75" x14ac:dyDescent="0.25">
      <c r="E633" s="261"/>
      <c r="F633" s="193"/>
      <c r="G633" s="194"/>
      <c r="H633" s="195"/>
      <c r="I633" s="202"/>
      <c r="O633" s="197"/>
      <c r="P633" s="197"/>
      <c r="Q633" s="197"/>
      <c r="R633" s="197"/>
      <c r="S633" s="197"/>
      <c r="T633" s="197"/>
      <c r="U633" s="197"/>
      <c r="V633" s="197"/>
      <c r="W633" s="197"/>
      <c r="X633" s="197"/>
      <c r="Y633" s="197"/>
      <c r="Z633" s="197"/>
      <c r="AA633" s="197"/>
      <c r="AB633" s="197"/>
      <c r="AC633" s="197"/>
      <c r="AD633" s="208"/>
      <c r="AE633" s="200"/>
      <c r="AF633" s="200"/>
    </row>
    <row r="634" spans="5:32" ht="15.75" x14ac:dyDescent="0.25">
      <c r="E634" s="261"/>
      <c r="F634" s="193"/>
      <c r="G634" s="194"/>
      <c r="H634" s="195"/>
      <c r="I634" s="202"/>
      <c r="O634" s="197"/>
      <c r="P634" s="197"/>
      <c r="Q634" s="197"/>
      <c r="R634" s="197"/>
      <c r="S634" s="197"/>
      <c r="T634" s="197"/>
      <c r="U634" s="197"/>
      <c r="V634" s="197"/>
      <c r="W634" s="197"/>
      <c r="X634" s="197"/>
      <c r="Y634" s="197"/>
      <c r="Z634" s="197"/>
      <c r="AA634" s="197"/>
      <c r="AB634" s="197"/>
      <c r="AC634" s="197"/>
      <c r="AD634" s="208"/>
      <c r="AE634" s="200"/>
      <c r="AF634" s="200"/>
    </row>
    <row r="635" spans="5:32" ht="15.75" x14ac:dyDescent="0.25">
      <c r="E635" s="261"/>
      <c r="F635" s="193"/>
      <c r="G635" s="194"/>
      <c r="H635" s="195"/>
      <c r="I635" s="202"/>
      <c r="O635" s="197"/>
      <c r="P635" s="197"/>
      <c r="Q635" s="197"/>
      <c r="R635" s="197"/>
      <c r="S635" s="197"/>
      <c r="T635" s="197"/>
      <c r="U635" s="197"/>
      <c r="V635" s="197"/>
      <c r="W635" s="197"/>
      <c r="X635" s="197"/>
      <c r="Y635" s="197"/>
      <c r="Z635" s="197"/>
      <c r="AA635" s="197"/>
      <c r="AB635" s="197"/>
      <c r="AC635" s="197"/>
      <c r="AD635" s="208"/>
      <c r="AE635" s="200"/>
      <c r="AF635" s="200"/>
    </row>
    <row r="636" spans="5:32" ht="15.75" x14ac:dyDescent="0.25">
      <c r="E636" s="261"/>
      <c r="F636" s="193"/>
      <c r="G636" s="194"/>
      <c r="H636" s="195"/>
      <c r="I636" s="202"/>
      <c r="O636" s="197"/>
      <c r="P636" s="197"/>
      <c r="Q636" s="197"/>
      <c r="R636" s="197"/>
      <c r="S636" s="197"/>
      <c r="T636" s="197"/>
      <c r="U636" s="197"/>
      <c r="V636" s="197"/>
      <c r="W636" s="197"/>
      <c r="X636" s="197"/>
      <c r="Y636" s="197"/>
      <c r="Z636" s="197"/>
      <c r="AA636" s="197"/>
      <c r="AB636" s="197"/>
      <c r="AC636" s="197"/>
      <c r="AD636" s="208"/>
      <c r="AE636" s="200"/>
      <c r="AF636" s="200"/>
    </row>
    <row r="637" spans="5:32" ht="15.75" x14ac:dyDescent="0.25">
      <c r="E637" s="261"/>
      <c r="F637" s="193"/>
      <c r="G637" s="194"/>
      <c r="H637" s="195"/>
      <c r="I637" s="202"/>
      <c r="O637" s="197"/>
      <c r="P637" s="197"/>
      <c r="Q637" s="197"/>
      <c r="R637" s="197"/>
      <c r="S637" s="197"/>
      <c r="T637" s="197"/>
      <c r="U637" s="197"/>
      <c r="V637" s="197"/>
      <c r="W637" s="197"/>
      <c r="X637" s="197"/>
      <c r="Y637" s="197"/>
      <c r="Z637" s="197"/>
      <c r="AA637" s="197"/>
      <c r="AB637" s="197"/>
      <c r="AC637" s="197"/>
      <c r="AD637" s="208"/>
      <c r="AE637" s="200"/>
      <c r="AF637" s="200"/>
    </row>
    <row r="638" spans="5:32" ht="15.75" x14ac:dyDescent="0.25">
      <c r="E638" s="261"/>
      <c r="F638" s="193"/>
      <c r="G638" s="194"/>
      <c r="H638" s="195"/>
      <c r="I638" s="202"/>
      <c r="O638" s="197"/>
      <c r="P638" s="197"/>
      <c r="Q638" s="197"/>
      <c r="R638" s="197"/>
      <c r="S638" s="197"/>
      <c r="T638" s="197"/>
      <c r="U638" s="197"/>
      <c r="V638" s="197"/>
      <c r="W638" s="197"/>
      <c r="X638" s="197"/>
      <c r="Y638" s="197"/>
      <c r="Z638" s="197"/>
      <c r="AA638" s="197"/>
      <c r="AB638" s="197"/>
      <c r="AC638" s="197"/>
      <c r="AD638" s="208"/>
      <c r="AE638" s="200"/>
      <c r="AF638" s="200"/>
    </row>
    <row r="639" spans="5:32" ht="15.75" x14ac:dyDescent="0.25">
      <c r="E639" s="261"/>
      <c r="F639" s="193"/>
      <c r="G639" s="194"/>
      <c r="H639" s="195"/>
      <c r="I639" s="202"/>
      <c r="O639" s="197"/>
      <c r="P639" s="197"/>
      <c r="Q639" s="197"/>
      <c r="R639" s="197"/>
      <c r="S639" s="197"/>
      <c r="T639" s="197"/>
      <c r="U639" s="197"/>
      <c r="V639" s="197"/>
      <c r="W639" s="197"/>
      <c r="X639" s="197"/>
      <c r="Y639" s="197"/>
      <c r="Z639" s="197"/>
      <c r="AA639" s="197"/>
      <c r="AB639" s="197"/>
      <c r="AC639" s="197"/>
      <c r="AD639" s="208"/>
      <c r="AE639" s="200"/>
      <c r="AF639" s="200"/>
    </row>
    <row r="640" spans="5:32" ht="15.75" x14ac:dyDescent="0.25">
      <c r="E640" s="261"/>
      <c r="F640" s="193"/>
      <c r="G640" s="194"/>
      <c r="H640" s="195"/>
      <c r="I640" s="202"/>
      <c r="O640" s="197"/>
      <c r="P640" s="197"/>
      <c r="Q640" s="197"/>
      <c r="R640" s="197"/>
      <c r="S640" s="197"/>
      <c r="T640" s="197"/>
      <c r="U640" s="197"/>
      <c r="V640" s="197"/>
      <c r="W640" s="197"/>
      <c r="X640" s="197"/>
      <c r="Y640" s="197"/>
      <c r="Z640" s="197"/>
      <c r="AA640" s="197"/>
      <c r="AB640" s="197"/>
      <c r="AC640" s="197"/>
      <c r="AD640" s="208"/>
      <c r="AE640" s="200"/>
      <c r="AF640" s="200"/>
    </row>
    <row r="641" spans="5:32" ht="15.75" x14ac:dyDescent="0.25">
      <c r="E641" s="261"/>
      <c r="F641" s="193"/>
      <c r="G641" s="194"/>
      <c r="H641" s="195"/>
      <c r="I641" s="202"/>
      <c r="O641" s="197"/>
      <c r="P641" s="197"/>
      <c r="Q641" s="197"/>
      <c r="R641" s="197"/>
      <c r="S641" s="197"/>
      <c r="T641" s="197"/>
      <c r="U641" s="197"/>
      <c r="V641" s="197"/>
      <c r="W641" s="197"/>
      <c r="X641" s="197"/>
      <c r="Y641" s="197"/>
      <c r="Z641" s="197"/>
      <c r="AA641" s="197"/>
      <c r="AB641" s="197"/>
      <c r="AC641" s="197"/>
      <c r="AD641" s="208"/>
      <c r="AE641" s="200"/>
      <c r="AF641" s="200"/>
    </row>
    <row r="642" spans="5:32" ht="15.75" x14ac:dyDescent="0.25">
      <c r="E642" s="261"/>
      <c r="F642" s="193"/>
      <c r="G642" s="194"/>
      <c r="H642" s="195"/>
      <c r="I642" s="202"/>
      <c r="O642" s="197"/>
      <c r="P642" s="197"/>
      <c r="Q642" s="197"/>
      <c r="R642" s="197"/>
      <c r="S642" s="197"/>
      <c r="T642" s="197"/>
      <c r="U642" s="197"/>
      <c r="V642" s="197"/>
      <c r="W642" s="197"/>
      <c r="X642" s="197"/>
      <c r="Y642" s="197"/>
      <c r="Z642" s="197"/>
      <c r="AA642" s="197"/>
      <c r="AB642" s="197"/>
      <c r="AC642" s="197"/>
      <c r="AD642" s="208"/>
      <c r="AE642" s="200"/>
      <c r="AF642" s="200"/>
    </row>
    <row r="643" spans="5:32" ht="15.75" x14ac:dyDescent="0.25">
      <c r="E643" s="261"/>
      <c r="F643" s="193"/>
      <c r="G643" s="194"/>
      <c r="H643" s="195"/>
      <c r="I643" s="202"/>
      <c r="O643" s="197"/>
      <c r="P643" s="197"/>
      <c r="Q643" s="197"/>
      <c r="R643" s="197"/>
      <c r="S643" s="197"/>
      <c r="T643" s="197"/>
      <c r="U643" s="197"/>
      <c r="V643" s="197"/>
      <c r="W643" s="197"/>
      <c r="X643" s="197"/>
      <c r="Y643" s="197"/>
      <c r="Z643" s="197"/>
      <c r="AA643" s="197"/>
      <c r="AB643" s="197"/>
      <c r="AC643" s="197"/>
      <c r="AD643" s="208"/>
      <c r="AE643" s="200"/>
      <c r="AF643" s="200"/>
    </row>
    <row r="644" spans="5:32" ht="15.75" x14ac:dyDescent="0.25">
      <c r="E644" s="261"/>
      <c r="F644" s="193"/>
      <c r="G644" s="194"/>
      <c r="H644" s="195"/>
      <c r="I644" s="202"/>
      <c r="O644" s="197"/>
      <c r="P644" s="197"/>
      <c r="Q644" s="197"/>
      <c r="R644" s="197"/>
      <c r="S644" s="197"/>
      <c r="T644" s="197"/>
      <c r="U644" s="197"/>
      <c r="V644" s="197"/>
      <c r="W644" s="197"/>
      <c r="X644" s="197"/>
      <c r="Y644" s="197"/>
      <c r="Z644" s="197"/>
      <c r="AA644" s="197"/>
      <c r="AB644" s="197"/>
      <c r="AC644" s="197"/>
      <c r="AD644" s="208"/>
      <c r="AE644" s="200"/>
      <c r="AF644" s="200"/>
    </row>
    <row r="645" spans="5:32" ht="15.75" x14ac:dyDescent="0.25">
      <c r="E645" s="261"/>
      <c r="F645" s="193"/>
      <c r="G645" s="194"/>
      <c r="H645" s="195"/>
      <c r="I645" s="202"/>
      <c r="O645" s="197"/>
      <c r="P645" s="197"/>
      <c r="Q645" s="197"/>
      <c r="R645" s="197"/>
      <c r="S645" s="197"/>
      <c r="T645" s="197"/>
      <c r="U645" s="197"/>
      <c r="V645" s="197"/>
      <c r="W645" s="197"/>
      <c r="X645" s="197"/>
      <c r="Y645" s="197"/>
      <c r="Z645" s="197"/>
      <c r="AA645" s="197"/>
      <c r="AB645" s="197"/>
      <c r="AC645" s="197"/>
      <c r="AD645" s="208"/>
      <c r="AE645" s="200"/>
      <c r="AF645" s="200"/>
    </row>
    <row r="646" spans="5:32" ht="15.75" x14ac:dyDescent="0.25">
      <c r="E646" s="261"/>
      <c r="F646" s="193"/>
      <c r="G646" s="194"/>
      <c r="H646" s="195"/>
      <c r="I646" s="202"/>
      <c r="O646" s="197"/>
      <c r="P646" s="197"/>
      <c r="Q646" s="197"/>
      <c r="R646" s="197"/>
      <c r="S646" s="197"/>
      <c r="T646" s="197"/>
      <c r="U646" s="197"/>
      <c r="V646" s="197"/>
      <c r="W646" s="197"/>
      <c r="X646" s="197"/>
      <c r="Y646" s="197"/>
      <c r="Z646" s="197"/>
      <c r="AA646" s="197"/>
      <c r="AB646" s="197"/>
      <c r="AC646" s="197"/>
      <c r="AD646" s="208"/>
      <c r="AE646" s="200"/>
      <c r="AF646" s="200"/>
    </row>
    <row r="647" spans="5:32" ht="15.75" x14ac:dyDescent="0.25">
      <c r="E647" s="261"/>
      <c r="F647" s="193"/>
      <c r="G647" s="194"/>
      <c r="H647" s="195"/>
      <c r="I647" s="202"/>
      <c r="O647" s="197"/>
      <c r="P647" s="197"/>
      <c r="Q647" s="197"/>
      <c r="R647" s="197"/>
      <c r="S647" s="197"/>
      <c r="T647" s="197"/>
      <c r="U647" s="197"/>
      <c r="V647" s="197"/>
      <c r="W647" s="197"/>
      <c r="X647" s="197"/>
      <c r="Y647" s="197"/>
      <c r="Z647" s="197"/>
      <c r="AA647" s="197"/>
      <c r="AB647" s="197"/>
      <c r="AC647" s="197"/>
      <c r="AD647" s="208"/>
      <c r="AE647" s="200"/>
      <c r="AF647" s="200"/>
    </row>
    <row r="648" spans="5:32" ht="15.75" x14ac:dyDescent="0.25">
      <c r="E648" s="261"/>
      <c r="F648" s="193"/>
      <c r="G648" s="194"/>
      <c r="H648" s="195"/>
      <c r="I648" s="202"/>
      <c r="O648" s="197"/>
      <c r="P648" s="197"/>
      <c r="Q648" s="197"/>
      <c r="R648" s="197"/>
      <c r="S648" s="197"/>
      <c r="T648" s="197"/>
      <c r="U648" s="197"/>
      <c r="V648" s="197"/>
      <c r="W648" s="197"/>
      <c r="X648" s="197"/>
      <c r="Y648" s="197"/>
      <c r="Z648" s="197"/>
      <c r="AA648" s="197"/>
      <c r="AB648" s="197"/>
      <c r="AC648" s="197"/>
      <c r="AD648" s="208"/>
      <c r="AE648" s="200"/>
      <c r="AF648" s="200"/>
    </row>
    <row r="649" spans="5:32" ht="15.75" x14ac:dyDescent="0.25">
      <c r="E649" s="261"/>
      <c r="F649" s="193"/>
      <c r="G649" s="194"/>
      <c r="H649" s="195"/>
      <c r="I649" s="202"/>
      <c r="O649" s="197"/>
      <c r="P649" s="197"/>
      <c r="Q649" s="197"/>
      <c r="R649" s="197"/>
      <c r="S649" s="197"/>
      <c r="T649" s="197"/>
      <c r="U649" s="197"/>
      <c r="V649" s="197"/>
      <c r="W649" s="197"/>
      <c r="X649" s="197"/>
      <c r="Y649" s="197"/>
      <c r="Z649" s="197"/>
      <c r="AA649" s="197"/>
      <c r="AB649" s="197"/>
      <c r="AC649" s="197"/>
      <c r="AD649" s="208"/>
      <c r="AE649" s="200"/>
      <c r="AF649" s="200"/>
    </row>
    <row r="650" spans="5:32" ht="15.75" x14ac:dyDescent="0.25">
      <c r="E650" s="261"/>
      <c r="F650" s="193"/>
      <c r="G650" s="194"/>
      <c r="H650" s="195"/>
      <c r="I650" s="202"/>
      <c r="O650" s="197"/>
      <c r="P650" s="197"/>
      <c r="Q650" s="197"/>
      <c r="R650" s="197"/>
      <c r="S650" s="197"/>
      <c r="T650" s="197"/>
      <c r="U650" s="197"/>
      <c r="V650" s="197"/>
      <c r="W650" s="197"/>
      <c r="X650" s="197"/>
      <c r="Y650" s="197"/>
      <c r="Z650" s="197"/>
      <c r="AA650" s="197"/>
      <c r="AB650" s="197"/>
      <c r="AC650" s="197"/>
      <c r="AD650" s="208"/>
      <c r="AE650" s="200"/>
      <c r="AF650" s="200"/>
    </row>
    <row r="651" spans="5:32" ht="15.75" x14ac:dyDescent="0.25">
      <c r="E651" s="261"/>
      <c r="F651" s="193"/>
      <c r="G651" s="194"/>
      <c r="H651" s="195"/>
      <c r="I651" s="202"/>
      <c r="O651" s="197"/>
      <c r="P651" s="197"/>
      <c r="Q651" s="197"/>
      <c r="R651" s="197"/>
      <c r="S651" s="197"/>
      <c r="T651" s="197"/>
      <c r="U651" s="197"/>
      <c r="V651" s="197"/>
      <c r="W651" s="197"/>
      <c r="X651" s="197"/>
      <c r="Y651" s="197"/>
      <c r="Z651" s="197"/>
      <c r="AA651" s="197"/>
      <c r="AB651" s="197"/>
      <c r="AC651" s="197"/>
      <c r="AD651" s="208"/>
      <c r="AE651" s="200"/>
      <c r="AF651" s="200"/>
    </row>
    <row r="652" spans="5:32" ht="15.75" x14ac:dyDescent="0.25">
      <c r="E652" s="261"/>
      <c r="F652" s="193"/>
      <c r="G652" s="194"/>
      <c r="H652" s="195"/>
      <c r="I652" s="202"/>
      <c r="O652" s="197"/>
      <c r="P652" s="197"/>
      <c r="Q652" s="197"/>
      <c r="R652" s="197"/>
      <c r="S652" s="197"/>
      <c r="T652" s="197"/>
      <c r="U652" s="197"/>
      <c r="V652" s="197"/>
      <c r="W652" s="197"/>
      <c r="X652" s="197"/>
      <c r="Y652" s="197"/>
      <c r="Z652" s="197"/>
      <c r="AA652" s="197"/>
      <c r="AB652" s="197"/>
      <c r="AC652" s="197"/>
      <c r="AD652" s="208"/>
      <c r="AE652" s="200"/>
      <c r="AF652" s="200"/>
    </row>
    <row r="653" spans="5:32" ht="15.75" x14ac:dyDescent="0.25">
      <c r="E653" s="261"/>
      <c r="F653" s="193"/>
      <c r="G653" s="194"/>
      <c r="H653" s="195"/>
      <c r="I653" s="202"/>
      <c r="O653" s="197"/>
      <c r="P653" s="197"/>
      <c r="Q653" s="197"/>
      <c r="R653" s="197"/>
      <c r="S653" s="197"/>
      <c r="T653" s="197"/>
      <c r="U653" s="197"/>
      <c r="V653" s="197"/>
      <c r="W653" s="197"/>
      <c r="X653" s="197"/>
      <c r="Y653" s="197"/>
      <c r="Z653" s="197"/>
      <c r="AA653" s="197"/>
      <c r="AB653" s="197"/>
      <c r="AC653" s="197"/>
      <c r="AD653" s="208"/>
      <c r="AE653" s="200"/>
      <c r="AF653" s="200"/>
    </row>
    <row r="654" spans="5:32" ht="15.75" x14ac:dyDescent="0.25">
      <c r="E654" s="261"/>
      <c r="F654" s="193"/>
      <c r="G654" s="194"/>
      <c r="H654" s="195"/>
      <c r="I654" s="202"/>
      <c r="O654" s="197"/>
      <c r="P654" s="197"/>
      <c r="Q654" s="197"/>
      <c r="R654" s="197"/>
      <c r="S654" s="197"/>
      <c r="T654" s="197"/>
      <c r="U654" s="197"/>
      <c r="V654" s="197"/>
      <c r="W654" s="197"/>
      <c r="X654" s="197"/>
      <c r="Y654" s="197"/>
      <c r="Z654" s="197"/>
      <c r="AA654" s="197"/>
      <c r="AB654" s="197"/>
      <c r="AC654" s="197"/>
      <c r="AD654" s="208"/>
      <c r="AE654" s="200"/>
      <c r="AF654" s="200"/>
    </row>
    <row r="655" spans="5:32" ht="15.75" x14ac:dyDescent="0.25">
      <c r="E655" s="261"/>
      <c r="F655" s="193"/>
      <c r="G655" s="194"/>
      <c r="H655" s="195"/>
      <c r="I655" s="202"/>
      <c r="O655" s="197"/>
      <c r="P655" s="197"/>
      <c r="Q655" s="197"/>
      <c r="R655" s="197"/>
      <c r="S655" s="197"/>
      <c r="T655" s="197"/>
      <c r="U655" s="197"/>
      <c r="V655" s="197"/>
      <c r="W655" s="197"/>
      <c r="X655" s="197"/>
      <c r="Y655" s="197"/>
      <c r="Z655" s="197"/>
      <c r="AA655" s="197"/>
      <c r="AB655" s="197"/>
      <c r="AC655" s="197"/>
      <c r="AD655" s="208"/>
      <c r="AE655" s="200"/>
      <c r="AF655" s="200"/>
    </row>
    <row r="656" spans="5:32" ht="15.75" x14ac:dyDescent="0.25">
      <c r="E656" s="261"/>
      <c r="F656" s="193"/>
      <c r="G656" s="194"/>
      <c r="H656" s="195"/>
      <c r="I656" s="202"/>
      <c r="O656" s="197"/>
      <c r="P656" s="197"/>
      <c r="Q656" s="197"/>
      <c r="R656" s="197"/>
      <c r="S656" s="197"/>
      <c r="T656" s="197"/>
      <c r="U656" s="197"/>
      <c r="V656" s="197"/>
      <c r="W656" s="197"/>
      <c r="X656" s="197"/>
      <c r="Y656" s="197"/>
      <c r="Z656" s="197"/>
      <c r="AA656" s="197"/>
      <c r="AB656" s="197"/>
      <c r="AC656" s="197"/>
      <c r="AD656" s="208"/>
      <c r="AE656" s="200"/>
      <c r="AF656" s="200"/>
    </row>
    <row r="657" spans="5:32" ht="15.75" x14ac:dyDescent="0.25">
      <c r="E657" s="261"/>
      <c r="F657" s="193"/>
      <c r="G657" s="194"/>
      <c r="H657" s="195"/>
      <c r="I657" s="202"/>
      <c r="O657" s="197"/>
      <c r="P657" s="197"/>
      <c r="Q657" s="197"/>
      <c r="R657" s="197"/>
      <c r="S657" s="197"/>
      <c r="T657" s="197"/>
      <c r="U657" s="197"/>
      <c r="V657" s="197"/>
      <c r="W657" s="197"/>
      <c r="X657" s="197"/>
      <c r="Y657" s="197"/>
      <c r="Z657" s="197"/>
      <c r="AA657" s="197"/>
      <c r="AB657" s="197"/>
      <c r="AC657" s="197"/>
      <c r="AD657" s="208"/>
      <c r="AE657" s="200"/>
      <c r="AF657" s="200"/>
    </row>
    <row r="658" spans="5:32" ht="15.75" x14ac:dyDescent="0.25">
      <c r="E658" s="261"/>
      <c r="F658" s="193"/>
      <c r="G658" s="194"/>
      <c r="H658" s="195"/>
      <c r="I658" s="202"/>
      <c r="O658" s="197"/>
      <c r="P658" s="197"/>
      <c r="Q658" s="197"/>
      <c r="R658" s="197"/>
      <c r="S658" s="197"/>
      <c r="T658" s="197"/>
      <c r="U658" s="197"/>
      <c r="V658" s="197"/>
      <c r="W658" s="197"/>
      <c r="X658" s="197"/>
      <c r="Y658" s="197"/>
      <c r="Z658" s="197"/>
      <c r="AA658" s="197"/>
      <c r="AB658" s="197"/>
      <c r="AC658" s="197"/>
      <c r="AD658" s="208"/>
      <c r="AE658" s="200"/>
      <c r="AF658" s="200"/>
    </row>
    <row r="659" spans="5:32" ht="15.75" x14ac:dyDescent="0.25">
      <c r="E659" s="262"/>
      <c r="F659" s="193"/>
      <c r="G659" s="194"/>
      <c r="H659" s="195"/>
      <c r="I659" s="206"/>
      <c r="O659" s="197"/>
      <c r="P659" s="207"/>
      <c r="Q659" s="207"/>
      <c r="R659" s="207"/>
      <c r="S659" s="197"/>
      <c r="T659" s="197"/>
      <c r="U659" s="197"/>
      <c r="V659" s="197"/>
      <c r="W659" s="197"/>
      <c r="X659" s="197"/>
      <c r="Y659" s="197"/>
      <c r="Z659" s="197"/>
      <c r="AA659" s="197"/>
      <c r="AB659" s="197"/>
      <c r="AC659" s="197"/>
      <c r="AD659" s="208"/>
      <c r="AE659" s="200"/>
      <c r="AF659" s="200"/>
    </row>
    <row r="660" spans="5:32" ht="15.75" x14ac:dyDescent="0.25">
      <c r="E660" s="261"/>
      <c r="F660" s="193"/>
      <c r="G660" s="194"/>
      <c r="H660" s="195"/>
      <c r="I660" s="202"/>
      <c r="O660" s="197"/>
      <c r="P660" s="197"/>
      <c r="Q660" s="197"/>
      <c r="R660" s="197"/>
      <c r="S660" s="197"/>
      <c r="T660" s="197"/>
      <c r="U660" s="197"/>
      <c r="V660" s="197"/>
      <c r="W660" s="197"/>
      <c r="X660" s="197"/>
      <c r="Y660" s="197"/>
      <c r="Z660" s="197"/>
      <c r="AA660" s="197"/>
      <c r="AB660" s="197"/>
      <c r="AC660" s="197"/>
      <c r="AD660" s="208"/>
      <c r="AE660" s="200"/>
      <c r="AF660" s="200"/>
    </row>
    <row r="661" spans="5:32" ht="15.75" x14ac:dyDescent="0.25">
      <c r="E661" s="261"/>
      <c r="F661" s="193"/>
      <c r="G661" s="194"/>
      <c r="H661" s="195"/>
      <c r="I661" s="202"/>
      <c r="O661" s="197"/>
      <c r="P661" s="197"/>
      <c r="Q661" s="197"/>
      <c r="R661" s="197"/>
      <c r="S661" s="197"/>
      <c r="T661" s="197"/>
      <c r="U661" s="197"/>
      <c r="V661" s="197"/>
      <c r="W661" s="197"/>
      <c r="X661" s="197"/>
      <c r="Y661" s="197"/>
      <c r="Z661" s="197"/>
      <c r="AA661" s="197"/>
      <c r="AB661" s="197"/>
      <c r="AC661" s="197"/>
      <c r="AD661" s="208"/>
      <c r="AE661" s="200"/>
      <c r="AF661" s="200"/>
    </row>
    <row r="662" spans="5:32" ht="15.75" x14ac:dyDescent="0.25">
      <c r="E662" s="261"/>
      <c r="F662" s="193"/>
      <c r="G662" s="194"/>
      <c r="H662" s="195"/>
      <c r="I662" s="202"/>
      <c r="O662" s="197"/>
      <c r="P662" s="197"/>
      <c r="Q662" s="197"/>
      <c r="R662" s="197"/>
      <c r="S662" s="197"/>
      <c r="T662" s="197"/>
      <c r="U662" s="197"/>
      <c r="V662" s="197"/>
      <c r="W662" s="197"/>
      <c r="X662" s="197"/>
      <c r="Y662" s="197"/>
      <c r="Z662" s="197"/>
      <c r="AA662" s="197"/>
      <c r="AB662" s="197"/>
      <c r="AC662" s="197"/>
      <c r="AD662" s="208"/>
      <c r="AE662" s="200"/>
      <c r="AF662" s="200"/>
    </row>
    <row r="663" spans="5:32" ht="15.75" x14ac:dyDescent="0.25">
      <c r="E663" s="261"/>
      <c r="F663" s="193"/>
      <c r="G663" s="194"/>
      <c r="H663" s="195"/>
      <c r="I663" s="202"/>
      <c r="O663" s="197"/>
      <c r="P663" s="197"/>
      <c r="Q663" s="197"/>
      <c r="R663" s="197"/>
      <c r="S663" s="197"/>
      <c r="T663" s="197"/>
      <c r="U663" s="197"/>
      <c r="V663" s="197"/>
      <c r="W663" s="197"/>
      <c r="X663" s="197"/>
      <c r="Y663" s="197"/>
      <c r="Z663" s="197"/>
      <c r="AA663" s="197"/>
      <c r="AB663" s="197"/>
      <c r="AC663" s="197"/>
      <c r="AD663" s="208"/>
      <c r="AE663" s="200"/>
      <c r="AF663" s="200"/>
    </row>
    <row r="664" spans="5:32" ht="15.75" x14ac:dyDescent="0.25">
      <c r="E664" s="261"/>
      <c r="F664" s="193"/>
      <c r="G664" s="194"/>
      <c r="H664" s="195"/>
      <c r="I664" s="202"/>
      <c r="O664" s="197"/>
      <c r="P664" s="197"/>
      <c r="Q664" s="197"/>
      <c r="R664" s="197"/>
      <c r="S664" s="197"/>
      <c r="T664" s="197"/>
      <c r="U664" s="197"/>
      <c r="V664" s="197"/>
      <c r="W664" s="197"/>
      <c r="X664" s="197"/>
      <c r="Y664" s="197"/>
      <c r="Z664" s="197"/>
      <c r="AA664" s="197"/>
      <c r="AB664" s="197"/>
      <c r="AC664" s="197"/>
      <c r="AD664" s="208"/>
      <c r="AE664" s="200"/>
      <c r="AF664" s="200"/>
    </row>
    <row r="665" spans="5:32" ht="15.75" x14ac:dyDescent="0.25">
      <c r="E665" s="261"/>
      <c r="F665" s="193"/>
      <c r="G665" s="194"/>
      <c r="H665" s="195"/>
      <c r="I665" s="202"/>
      <c r="O665" s="197"/>
      <c r="P665" s="197"/>
      <c r="Q665" s="197"/>
      <c r="R665" s="197"/>
      <c r="S665" s="197"/>
      <c r="T665" s="197"/>
      <c r="U665" s="197"/>
      <c r="V665" s="197"/>
      <c r="W665" s="197"/>
      <c r="X665" s="197"/>
      <c r="Y665" s="197"/>
      <c r="Z665" s="197"/>
      <c r="AA665" s="197"/>
      <c r="AB665" s="197"/>
      <c r="AC665" s="197"/>
      <c r="AD665" s="208"/>
      <c r="AE665" s="200"/>
      <c r="AF665" s="200"/>
    </row>
    <row r="666" spans="5:32" ht="15.75" x14ac:dyDescent="0.25">
      <c r="E666" s="261"/>
      <c r="F666" s="193"/>
      <c r="G666" s="194"/>
      <c r="H666" s="195"/>
      <c r="I666" s="202"/>
      <c r="O666" s="197"/>
      <c r="P666" s="197"/>
      <c r="Q666" s="197"/>
      <c r="R666" s="197"/>
      <c r="S666" s="197"/>
      <c r="T666" s="197"/>
      <c r="U666" s="197"/>
      <c r="V666" s="197"/>
      <c r="W666" s="197"/>
      <c r="X666" s="197"/>
      <c r="Y666" s="197"/>
      <c r="Z666" s="197"/>
      <c r="AA666" s="197"/>
      <c r="AB666" s="197"/>
      <c r="AC666" s="197"/>
      <c r="AD666" s="208"/>
      <c r="AE666" s="200"/>
      <c r="AF666" s="200"/>
    </row>
    <row r="667" spans="5:32" ht="15.75" x14ac:dyDescent="0.25">
      <c r="E667" s="261"/>
      <c r="F667" s="193"/>
      <c r="G667" s="194"/>
      <c r="H667" s="195"/>
      <c r="I667" s="202"/>
      <c r="O667" s="197"/>
      <c r="P667" s="197"/>
      <c r="Q667" s="197"/>
      <c r="R667" s="197"/>
      <c r="S667" s="197"/>
      <c r="T667" s="197"/>
      <c r="U667" s="197"/>
      <c r="V667" s="197"/>
      <c r="W667" s="197"/>
      <c r="X667" s="197"/>
      <c r="Y667" s="197"/>
      <c r="Z667" s="197"/>
      <c r="AA667" s="197"/>
      <c r="AB667" s="197"/>
      <c r="AC667" s="197"/>
      <c r="AD667" s="208"/>
      <c r="AE667" s="200"/>
      <c r="AF667" s="200"/>
    </row>
    <row r="668" spans="5:32" ht="15.75" x14ac:dyDescent="0.25">
      <c r="E668" s="261"/>
      <c r="F668" s="193"/>
      <c r="G668" s="194"/>
      <c r="H668" s="195"/>
      <c r="I668" s="202"/>
      <c r="O668" s="197"/>
      <c r="P668" s="197"/>
      <c r="Q668" s="197"/>
      <c r="R668" s="197"/>
      <c r="S668" s="197"/>
      <c r="T668" s="197"/>
      <c r="U668" s="197"/>
      <c r="V668" s="197"/>
      <c r="W668" s="197"/>
      <c r="X668" s="197"/>
      <c r="Y668" s="197"/>
      <c r="Z668" s="197"/>
      <c r="AA668" s="197"/>
      <c r="AB668" s="197"/>
      <c r="AC668" s="197"/>
      <c r="AD668" s="208"/>
      <c r="AE668" s="200"/>
      <c r="AF668" s="200"/>
    </row>
    <row r="669" spans="5:32" ht="15.75" x14ac:dyDescent="0.25">
      <c r="E669" s="261"/>
      <c r="F669" s="193"/>
      <c r="G669" s="194"/>
      <c r="H669" s="195"/>
      <c r="I669" s="202"/>
      <c r="O669" s="197"/>
      <c r="P669" s="197"/>
      <c r="Q669" s="197"/>
      <c r="R669" s="197"/>
      <c r="S669" s="197"/>
      <c r="T669" s="197"/>
      <c r="U669" s="197"/>
      <c r="V669" s="197"/>
      <c r="W669" s="197"/>
      <c r="X669" s="197"/>
      <c r="Y669" s="197"/>
      <c r="Z669" s="197"/>
      <c r="AA669" s="197"/>
      <c r="AB669" s="197"/>
      <c r="AC669" s="197"/>
      <c r="AD669" s="208"/>
      <c r="AE669" s="200"/>
      <c r="AF669" s="200"/>
    </row>
    <row r="670" spans="5:32" ht="15.75" x14ac:dyDescent="0.25">
      <c r="E670" s="261"/>
      <c r="F670" s="193"/>
      <c r="G670" s="194"/>
      <c r="H670" s="195"/>
      <c r="I670" s="202"/>
      <c r="O670" s="197"/>
      <c r="P670" s="197"/>
      <c r="Q670" s="197"/>
      <c r="R670" s="197"/>
      <c r="S670" s="197"/>
      <c r="T670" s="197"/>
      <c r="U670" s="197"/>
      <c r="V670" s="197"/>
      <c r="W670" s="197"/>
      <c r="X670" s="197"/>
      <c r="Y670" s="197"/>
      <c r="Z670" s="197"/>
      <c r="AA670" s="197"/>
      <c r="AB670" s="197"/>
      <c r="AC670" s="197"/>
      <c r="AD670" s="208"/>
      <c r="AE670" s="200"/>
      <c r="AF670" s="200"/>
    </row>
    <row r="671" spans="5:32" ht="15.75" x14ac:dyDescent="0.25">
      <c r="E671" s="261"/>
      <c r="F671" s="193"/>
      <c r="G671" s="194"/>
      <c r="H671" s="195"/>
      <c r="I671" s="202"/>
      <c r="O671" s="197"/>
      <c r="P671" s="197"/>
      <c r="Q671" s="197"/>
      <c r="R671" s="197"/>
      <c r="S671" s="197"/>
      <c r="T671" s="197"/>
      <c r="U671" s="197"/>
      <c r="V671" s="197"/>
      <c r="W671" s="197"/>
      <c r="X671" s="197"/>
      <c r="Y671" s="197"/>
      <c r="Z671" s="197"/>
      <c r="AA671" s="197"/>
      <c r="AB671" s="197"/>
      <c r="AC671" s="197"/>
      <c r="AD671" s="208"/>
      <c r="AE671" s="200"/>
      <c r="AF671" s="200"/>
    </row>
    <row r="672" spans="5:32" ht="15.75" x14ac:dyDescent="0.25">
      <c r="E672" s="261"/>
      <c r="F672" s="193"/>
      <c r="G672" s="194"/>
      <c r="H672" s="195"/>
      <c r="I672" s="202"/>
      <c r="O672" s="197"/>
      <c r="P672" s="197"/>
      <c r="Q672" s="197"/>
      <c r="R672" s="197"/>
      <c r="S672" s="197"/>
      <c r="T672" s="197"/>
      <c r="U672" s="197"/>
      <c r="V672" s="197"/>
      <c r="W672" s="197"/>
      <c r="X672" s="197"/>
      <c r="Y672" s="197"/>
      <c r="Z672" s="197"/>
      <c r="AA672" s="197"/>
      <c r="AB672" s="197"/>
      <c r="AC672" s="197"/>
      <c r="AD672" s="208"/>
      <c r="AE672" s="200"/>
      <c r="AF672" s="200"/>
    </row>
    <row r="673" spans="5:32" ht="15.75" x14ac:dyDescent="0.25">
      <c r="E673" s="261"/>
      <c r="F673" s="193"/>
      <c r="G673" s="194"/>
      <c r="H673" s="195"/>
      <c r="I673" s="202"/>
      <c r="O673" s="197"/>
      <c r="P673" s="197"/>
      <c r="Q673" s="197"/>
      <c r="R673" s="197"/>
      <c r="S673" s="197"/>
      <c r="T673" s="197"/>
      <c r="U673" s="197"/>
      <c r="V673" s="197"/>
      <c r="W673" s="197"/>
      <c r="X673" s="197"/>
      <c r="Y673" s="197"/>
      <c r="Z673" s="197"/>
      <c r="AA673" s="197"/>
      <c r="AB673" s="197"/>
      <c r="AC673" s="197"/>
      <c r="AD673" s="208"/>
      <c r="AE673" s="200"/>
      <c r="AF673" s="200"/>
    </row>
    <row r="674" spans="5:32" ht="15.75" x14ac:dyDescent="0.25">
      <c r="E674" s="261"/>
      <c r="F674" s="193"/>
      <c r="G674" s="194"/>
      <c r="H674" s="195"/>
      <c r="I674" s="202"/>
      <c r="O674" s="197"/>
      <c r="P674" s="197"/>
      <c r="Q674" s="197"/>
      <c r="R674" s="197"/>
      <c r="S674" s="197"/>
      <c r="T674" s="197"/>
      <c r="U674" s="197"/>
      <c r="V674" s="197"/>
      <c r="W674" s="197"/>
      <c r="X674" s="197"/>
      <c r="Y674" s="197"/>
      <c r="Z674" s="197"/>
      <c r="AA674" s="197"/>
      <c r="AB674" s="197"/>
      <c r="AC674" s="197"/>
      <c r="AD674" s="208"/>
      <c r="AE674" s="200"/>
      <c r="AF674" s="200"/>
    </row>
    <row r="675" spans="5:32" ht="15.75" x14ac:dyDescent="0.25">
      <c r="E675" s="261"/>
      <c r="F675" s="193"/>
      <c r="G675" s="194"/>
      <c r="H675" s="195"/>
      <c r="I675" s="202"/>
      <c r="O675" s="197"/>
      <c r="P675" s="197"/>
      <c r="Q675" s="197"/>
      <c r="R675" s="197"/>
      <c r="S675" s="197"/>
      <c r="T675" s="197"/>
      <c r="U675" s="197"/>
      <c r="V675" s="197"/>
      <c r="W675" s="197"/>
      <c r="X675" s="197"/>
      <c r="Y675" s="197"/>
      <c r="Z675" s="197"/>
      <c r="AA675" s="197"/>
      <c r="AB675" s="197"/>
      <c r="AC675" s="197"/>
      <c r="AD675" s="208"/>
      <c r="AE675" s="200"/>
      <c r="AF675" s="200"/>
    </row>
    <row r="676" spans="5:32" ht="15.75" x14ac:dyDescent="0.25">
      <c r="E676" s="261"/>
      <c r="F676" s="193"/>
      <c r="G676" s="194"/>
      <c r="H676" s="195"/>
      <c r="I676" s="202"/>
      <c r="O676" s="197"/>
      <c r="P676" s="197"/>
      <c r="Q676" s="197"/>
      <c r="R676" s="197"/>
      <c r="S676" s="197"/>
      <c r="T676" s="197"/>
      <c r="U676" s="197"/>
      <c r="V676" s="197"/>
      <c r="W676" s="197"/>
      <c r="X676" s="197"/>
      <c r="Y676" s="197"/>
      <c r="Z676" s="197"/>
      <c r="AA676" s="197"/>
      <c r="AB676" s="197"/>
      <c r="AC676" s="197"/>
      <c r="AD676" s="208"/>
      <c r="AE676" s="200"/>
      <c r="AF676" s="200"/>
    </row>
    <row r="677" spans="5:32" ht="15.75" x14ac:dyDescent="0.25">
      <c r="E677" s="261"/>
      <c r="F677" s="193"/>
      <c r="G677" s="194"/>
      <c r="H677" s="195"/>
      <c r="I677" s="202"/>
      <c r="O677" s="197"/>
      <c r="P677" s="197"/>
      <c r="Q677" s="197"/>
      <c r="R677" s="197"/>
      <c r="S677" s="197"/>
      <c r="T677" s="197"/>
      <c r="U677" s="197"/>
      <c r="V677" s="197"/>
      <c r="W677" s="197"/>
      <c r="X677" s="197"/>
      <c r="Y677" s="197"/>
      <c r="Z677" s="197"/>
      <c r="AA677" s="197"/>
      <c r="AB677" s="197"/>
      <c r="AC677" s="197"/>
      <c r="AD677" s="208"/>
      <c r="AE677" s="200"/>
      <c r="AF677" s="200"/>
    </row>
    <row r="678" spans="5:32" ht="15.75" x14ac:dyDescent="0.25">
      <c r="E678" s="261"/>
      <c r="F678" s="193"/>
      <c r="G678" s="194"/>
      <c r="H678" s="195"/>
      <c r="I678" s="202"/>
      <c r="O678" s="197"/>
      <c r="P678" s="197"/>
      <c r="Q678" s="197"/>
      <c r="R678" s="197"/>
      <c r="S678" s="197"/>
      <c r="T678" s="197"/>
      <c r="U678" s="197"/>
      <c r="V678" s="197"/>
      <c r="W678" s="197"/>
      <c r="X678" s="197"/>
      <c r="Y678" s="197"/>
      <c r="Z678" s="197"/>
      <c r="AA678" s="197"/>
      <c r="AB678" s="197"/>
      <c r="AC678" s="197"/>
      <c r="AD678" s="208"/>
      <c r="AE678" s="200"/>
      <c r="AF678" s="200"/>
    </row>
    <row r="679" spans="5:32" ht="15.75" x14ac:dyDescent="0.25">
      <c r="E679" s="261"/>
      <c r="F679" s="193"/>
      <c r="G679" s="194"/>
      <c r="H679" s="195"/>
      <c r="I679" s="202"/>
      <c r="O679" s="197"/>
      <c r="P679" s="197"/>
      <c r="Q679" s="197"/>
      <c r="R679" s="197"/>
      <c r="S679" s="197"/>
      <c r="T679" s="197"/>
      <c r="U679" s="197"/>
      <c r="V679" s="197"/>
      <c r="W679" s="197"/>
      <c r="X679" s="197"/>
      <c r="Y679" s="197"/>
      <c r="Z679" s="197"/>
      <c r="AA679" s="197"/>
      <c r="AB679" s="197"/>
      <c r="AC679" s="197"/>
      <c r="AD679" s="208"/>
      <c r="AE679" s="200"/>
      <c r="AF679" s="200"/>
    </row>
    <row r="680" spans="5:32" ht="15.75" x14ac:dyDescent="0.25">
      <c r="E680" s="261"/>
      <c r="F680" s="193"/>
      <c r="G680" s="194"/>
      <c r="H680" s="195"/>
      <c r="I680" s="202"/>
      <c r="O680" s="197"/>
      <c r="P680" s="197"/>
      <c r="Q680" s="197"/>
      <c r="R680" s="197"/>
      <c r="S680" s="197"/>
      <c r="T680" s="197"/>
      <c r="U680" s="197"/>
      <c r="V680" s="197"/>
      <c r="W680" s="197"/>
      <c r="X680" s="197"/>
      <c r="Y680" s="197"/>
      <c r="Z680" s="197"/>
      <c r="AA680" s="197"/>
      <c r="AB680" s="197"/>
      <c r="AC680" s="197"/>
      <c r="AD680" s="208"/>
      <c r="AE680" s="200"/>
      <c r="AF680" s="200"/>
    </row>
    <row r="681" spans="5:32" ht="15.75" x14ac:dyDescent="0.25">
      <c r="E681" s="261"/>
      <c r="F681" s="193"/>
      <c r="G681" s="194"/>
      <c r="H681" s="195"/>
      <c r="I681" s="202"/>
      <c r="O681" s="197"/>
      <c r="P681" s="197"/>
      <c r="Q681" s="197"/>
      <c r="R681" s="197"/>
      <c r="S681" s="197"/>
      <c r="T681" s="197"/>
      <c r="U681" s="197"/>
      <c r="V681" s="197"/>
      <c r="W681" s="197"/>
      <c r="X681" s="197"/>
      <c r="Y681" s="197"/>
      <c r="Z681" s="197"/>
      <c r="AA681" s="197"/>
      <c r="AB681" s="197"/>
      <c r="AC681" s="197"/>
      <c r="AD681" s="208"/>
      <c r="AE681" s="200"/>
      <c r="AF681" s="200"/>
    </row>
    <row r="682" spans="5:32" ht="15.75" x14ac:dyDescent="0.25">
      <c r="E682" s="261"/>
      <c r="F682" s="193"/>
      <c r="G682" s="194"/>
      <c r="H682" s="195"/>
      <c r="I682" s="202"/>
      <c r="O682" s="197"/>
      <c r="P682" s="197"/>
      <c r="Q682" s="197"/>
      <c r="R682" s="197"/>
      <c r="S682" s="197"/>
      <c r="T682" s="197"/>
      <c r="U682" s="197"/>
      <c r="V682" s="197"/>
      <c r="W682" s="197"/>
      <c r="X682" s="197"/>
      <c r="Y682" s="197"/>
      <c r="Z682" s="197"/>
      <c r="AA682" s="197"/>
      <c r="AB682" s="197"/>
      <c r="AC682" s="197"/>
      <c r="AD682" s="208"/>
      <c r="AE682" s="200"/>
      <c r="AF682" s="200"/>
    </row>
    <row r="683" spans="5:32" ht="15.75" x14ac:dyDescent="0.25">
      <c r="E683" s="261"/>
      <c r="F683" s="193"/>
      <c r="G683" s="194"/>
      <c r="H683" s="195"/>
      <c r="I683" s="202"/>
      <c r="O683" s="197"/>
      <c r="P683" s="197"/>
      <c r="Q683" s="197"/>
      <c r="R683" s="197"/>
      <c r="S683" s="197"/>
      <c r="T683" s="197"/>
      <c r="U683" s="197"/>
      <c r="V683" s="197"/>
      <c r="W683" s="197"/>
      <c r="X683" s="197"/>
      <c r="Y683" s="197"/>
      <c r="Z683" s="197"/>
      <c r="AA683" s="197"/>
      <c r="AB683" s="197"/>
      <c r="AC683" s="197"/>
      <c r="AD683" s="208"/>
      <c r="AE683" s="200"/>
      <c r="AF683" s="200"/>
    </row>
    <row r="684" spans="5:32" ht="15.75" x14ac:dyDescent="0.25">
      <c r="E684" s="261"/>
      <c r="F684" s="193"/>
      <c r="G684" s="194"/>
      <c r="H684" s="195"/>
      <c r="I684" s="202"/>
      <c r="O684" s="197"/>
      <c r="P684" s="197"/>
      <c r="Q684" s="197"/>
      <c r="R684" s="197"/>
      <c r="S684" s="197"/>
      <c r="T684" s="197"/>
      <c r="U684" s="197"/>
      <c r="V684" s="197"/>
      <c r="W684" s="197"/>
      <c r="X684" s="197"/>
      <c r="Y684" s="197"/>
      <c r="Z684" s="197"/>
      <c r="AA684" s="197"/>
      <c r="AB684" s="197"/>
      <c r="AC684" s="197"/>
      <c r="AD684" s="208"/>
      <c r="AE684" s="200"/>
      <c r="AF684" s="200"/>
    </row>
    <row r="685" spans="5:32" ht="15.75" x14ac:dyDescent="0.25">
      <c r="E685" s="261"/>
      <c r="F685" s="193"/>
      <c r="G685" s="194"/>
      <c r="H685" s="195"/>
      <c r="I685" s="202"/>
      <c r="O685" s="197"/>
      <c r="P685" s="197"/>
      <c r="Q685" s="197"/>
      <c r="R685" s="197"/>
      <c r="S685" s="197"/>
      <c r="T685" s="197"/>
      <c r="U685" s="197"/>
      <c r="V685" s="197"/>
      <c r="W685" s="197"/>
      <c r="X685" s="197"/>
      <c r="Y685" s="197"/>
      <c r="Z685" s="197"/>
      <c r="AA685" s="197"/>
      <c r="AB685" s="197"/>
      <c r="AC685" s="197"/>
      <c r="AD685" s="208"/>
      <c r="AE685" s="200"/>
      <c r="AF685" s="200"/>
    </row>
    <row r="686" spans="5:32" ht="15.75" x14ac:dyDescent="0.25">
      <c r="E686" s="261"/>
      <c r="F686" s="193"/>
      <c r="G686" s="194"/>
      <c r="H686" s="195"/>
      <c r="I686" s="202"/>
      <c r="O686" s="197"/>
      <c r="P686" s="197"/>
      <c r="Q686" s="197"/>
      <c r="R686" s="197"/>
      <c r="S686" s="197"/>
      <c r="T686" s="197"/>
      <c r="U686" s="197"/>
      <c r="V686" s="197"/>
      <c r="W686" s="197"/>
      <c r="X686" s="197"/>
      <c r="Y686" s="197"/>
      <c r="Z686" s="197"/>
      <c r="AA686" s="197"/>
      <c r="AB686" s="197"/>
      <c r="AC686" s="197"/>
      <c r="AD686" s="208"/>
      <c r="AE686" s="200"/>
      <c r="AF686" s="200"/>
    </row>
    <row r="687" spans="5:32" ht="15.75" x14ac:dyDescent="0.25">
      <c r="E687" s="261"/>
      <c r="F687" s="193"/>
      <c r="G687" s="194"/>
      <c r="H687" s="195"/>
      <c r="I687" s="202"/>
      <c r="O687" s="197"/>
      <c r="P687" s="197"/>
      <c r="Q687" s="197"/>
      <c r="R687" s="197"/>
      <c r="S687" s="197"/>
      <c r="T687" s="197"/>
      <c r="U687" s="197"/>
      <c r="V687" s="197"/>
      <c r="W687" s="197"/>
      <c r="X687" s="197"/>
      <c r="Y687" s="197"/>
      <c r="Z687" s="197"/>
      <c r="AA687" s="197"/>
      <c r="AB687" s="197"/>
      <c r="AC687" s="197"/>
      <c r="AD687" s="208"/>
      <c r="AE687" s="200"/>
      <c r="AF687" s="200"/>
    </row>
    <row r="688" spans="5:32" ht="15.75" x14ac:dyDescent="0.25">
      <c r="E688" s="261"/>
      <c r="F688" s="193"/>
      <c r="G688" s="194"/>
      <c r="H688" s="195"/>
      <c r="I688" s="202"/>
      <c r="O688" s="197"/>
      <c r="P688" s="197"/>
      <c r="Q688" s="197"/>
      <c r="R688" s="197"/>
      <c r="S688" s="197"/>
      <c r="T688" s="197"/>
      <c r="U688" s="197"/>
      <c r="V688" s="197"/>
      <c r="W688" s="197"/>
      <c r="X688" s="197"/>
      <c r="Y688" s="197"/>
      <c r="Z688" s="197"/>
      <c r="AA688" s="197"/>
      <c r="AB688" s="197"/>
      <c r="AC688" s="197"/>
      <c r="AD688" s="208"/>
      <c r="AE688" s="200"/>
      <c r="AF688" s="200"/>
    </row>
    <row r="689" spans="5:32" ht="15.75" x14ac:dyDescent="0.25">
      <c r="E689" s="261"/>
      <c r="F689" s="193"/>
      <c r="G689" s="194"/>
      <c r="H689" s="195"/>
      <c r="I689" s="202"/>
      <c r="O689" s="197"/>
      <c r="P689" s="197"/>
      <c r="Q689" s="197"/>
      <c r="R689" s="197"/>
      <c r="S689" s="197"/>
      <c r="T689" s="197"/>
      <c r="U689" s="197"/>
      <c r="V689" s="197"/>
      <c r="W689" s="197"/>
      <c r="X689" s="197"/>
      <c r="Y689" s="197"/>
      <c r="Z689" s="197"/>
      <c r="AA689" s="197"/>
      <c r="AB689" s="197"/>
      <c r="AC689" s="197"/>
      <c r="AD689" s="208"/>
      <c r="AE689" s="200"/>
      <c r="AF689" s="200"/>
    </row>
    <row r="690" spans="5:32" ht="15.75" x14ac:dyDescent="0.25">
      <c r="E690" s="261"/>
      <c r="F690" s="193"/>
      <c r="G690" s="194"/>
      <c r="H690" s="195"/>
      <c r="I690" s="202"/>
      <c r="O690" s="197"/>
      <c r="P690" s="197"/>
      <c r="Q690" s="197"/>
      <c r="R690" s="197"/>
      <c r="S690" s="197"/>
      <c r="T690" s="197"/>
      <c r="U690" s="197"/>
      <c r="V690" s="197"/>
      <c r="W690" s="197"/>
      <c r="X690" s="197"/>
      <c r="Y690" s="197"/>
      <c r="Z690" s="197"/>
      <c r="AA690" s="197"/>
      <c r="AB690" s="197"/>
      <c r="AC690" s="197"/>
      <c r="AD690" s="208"/>
      <c r="AE690" s="200"/>
      <c r="AF690" s="200"/>
    </row>
    <row r="691" spans="5:32" ht="15.75" x14ac:dyDescent="0.25">
      <c r="E691" s="261"/>
      <c r="F691" s="193"/>
      <c r="G691" s="194"/>
      <c r="H691" s="195"/>
      <c r="I691" s="202"/>
      <c r="O691" s="197"/>
      <c r="P691" s="197"/>
      <c r="Q691" s="197"/>
      <c r="R691" s="197"/>
      <c r="S691" s="197"/>
      <c r="T691" s="197"/>
      <c r="U691" s="197"/>
      <c r="V691" s="197"/>
      <c r="W691" s="197"/>
      <c r="X691" s="197"/>
      <c r="Y691" s="197"/>
      <c r="Z691" s="197"/>
      <c r="AA691" s="197"/>
      <c r="AB691" s="197"/>
      <c r="AC691" s="197"/>
      <c r="AD691" s="208"/>
      <c r="AE691" s="200"/>
      <c r="AF691" s="200"/>
    </row>
    <row r="692" spans="5:32" ht="15.75" x14ac:dyDescent="0.25">
      <c r="E692" s="261"/>
      <c r="F692" s="193"/>
      <c r="G692" s="194"/>
      <c r="H692" s="195"/>
      <c r="I692" s="202"/>
      <c r="O692" s="197"/>
      <c r="P692" s="197"/>
      <c r="Q692" s="197"/>
      <c r="R692" s="197"/>
      <c r="S692" s="197"/>
      <c r="T692" s="197"/>
      <c r="U692" s="197"/>
      <c r="V692" s="197"/>
      <c r="W692" s="197"/>
      <c r="X692" s="197"/>
      <c r="Y692" s="197"/>
      <c r="Z692" s="197"/>
      <c r="AA692" s="197"/>
      <c r="AB692" s="197"/>
      <c r="AC692" s="197"/>
      <c r="AD692" s="208"/>
      <c r="AE692" s="200"/>
      <c r="AF692" s="200"/>
    </row>
    <row r="693" spans="5:32" ht="15.75" x14ac:dyDescent="0.25">
      <c r="E693" s="261"/>
      <c r="F693" s="193"/>
      <c r="G693" s="194"/>
      <c r="H693" s="195"/>
      <c r="I693" s="202"/>
      <c r="O693" s="197"/>
      <c r="P693" s="197"/>
      <c r="Q693" s="197"/>
      <c r="R693" s="197"/>
      <c r="S693" s="197"/>
      <c r="T693" s="197"/>
      <c r="U693" s="197"/>
      <c r="V693" s="197"/>
      <c r="W693" s="197"/>
      <c r="X693" s="197"/>
      <c r="Y693" s="197"/>
      <c r="Z693" s="197"/>
      <c r="AA693" s="197"/>
      <c r="AB693" s="197"/>
      <c r="AC693" s="197"/>
      <c r="AD693" s="208"/>
      <c r="AE693" s="200"/>
      <c r="AF693" s="200"/>
    </row>
    <row r="694" spans="5:32" ht="15.75" x14ac:dyDescent="0.25">
      <c r="E694" s="261"/>
      <c r="F694" s="193"/>
      <c r="G694" s="194"/>
      <c r="H694" s="195"/>
      <c r="I694" s="202"/>
      <c r="O694" s="197"/>
      <c r="P694" s="197"/>
      <c r="Q694" s="197"/>
      <c r="R694" s="197"/>
      <c r="S694" s="197"/>
      <c r="T694" s="197"/>
      <c r="U694" s="197"/>
      <c r="V694" s="197"/>
      <c r="W694" s="197"/>
      <c r="X694" s="197"/>
      <c r="Y694" s="197"/>
      <c r="Z694" s="197"/>
      <c r="AA694" s="197"/>
      <c r="AB694" s="197"/>
      <c r="AC694" s="197"/>
      <c r="AD694" s="208"/>
      <c r="AE694" s="200"/>
      <c r="AF694" s="200"/>
    </row>
    <row r="695" spans="5:32" ht="15.75" x14ac:dyDescent="0.25">
      <c r="E695" s="261"/>
      <c r="F695" s="193"/>
      <c r="G695" s="194"/>
      <c r="H695" s="195"/>
      <c r="I695" s="202"/>
      <c r="O695" s="197"/>
      <c r="P695" s="197"/>
      <c r="Q695" s="197"/>
      <c r="R695" s="197"/>
      <c r="S695" s="197"/>
      <c r="T695" s="197"/>
      <c r="U695" s="197"/>
      <c r="V695" s="197"/>
      <c r="W695" s="197"/>
      <c r="X695" s="197"/>
      <c r="Y695" s="197"/>
      <c r="Z695" s="197"/>
      <c r="AA695" s="197"/>
      <c r="AB695" s="197"/>
      <c r="AC695" s="197"/>
      <c r="AD695" s="208"/>
      <c r="AE695" s="200"/>
      <c r="AF695" s="200"/>
    </row>
    <row r="696" spans="5:32" ht="15.75" x14ac:dyDescent="0.25">
      <c r="E696" s="261"/>
      <c r="F696" s="193"/>
      <c r="G696" s="194"/>
      <c r="H696" s="195"/>
      <c r="I696" s="202"/>
      <c r="O696" s="197"/>
      <c r="P696" s="197"/>
      <c r="Q696" s="197"/>
      <c r="R696" s="197"/>
      <c r="S696" s="197"/>
      <c r="T696" s="197"/>
      <c r="U696" s="197"/>
      <c r="V696" s="197"/>
      <c r="W696" s="197"/>
      <c r="X696" s="197"/>
      <c r="Y696" s="197"/>
      <c r="Z696" s="197"/>
      <c r="AA696" s="197"/>
      <c r="AB696" s="197"/>
      <c r="AC696" s="197"/>
      <c r="AD696" s="208"/>
      <c r="AE696" s="200"/>
      <c r="AF696" s="200"/>
    </row>
    <row r="697" spans="5:32" ht="15.75" x14ac:dyDescent="0.25">
      <c r="E697" s="261"/>
      <c r="F697" s="193"/>
      <c r="G697" s="194"/>
      <c r="H697" s="195"/>
      <c r="I697" s="202"/>
      <c r="O697" s="197"/>
      <c r="P697" s="197"/>
      <c r="Q697" s="197"/>
      <c r="R697" s="197"/>
      <c r="S697" s="197"/>
      <c r="T697" s="197"/>
      <c r="U697" s="197"/>
      <c r="V697" s="197"/>
      <c r="W697" s="197"/>
      <c r="X697" s="197"/>
      <c r="Y697" s="197"/>
      <c r="Z697" s="197"/>
      <c r="AA697" s="197"/>
      <c r="AB697" s="197"/>
      <c r="AC697" s="197"/>
      <c r="AD697" s="208"/>
      <c r="AE697" s="200"/>
      <c r="AF697" s="200"/>
    </row>
    <row r="698" spans="5:32" ht="15.75" x14ac:dyDescent="0.25">
      <c r="E698" s="261"/>
      <c r="F698" s="193"/>
      <c r="G698" s="194"/>
      <c r="H698" s="195"/>
      <c r="I698" s="202"/>
      <c r="O698" s="197"/>
      <c r="P698" s="197"/>
      <c r="Q698" s="197"/>
      <c r="R698" s="197"/>
      <c r="S698" s="197"/>
      <c r="T698" s="197"/>
      <c r="U698" s="197"/>
      <c r="V698" s="197"/>
      <c r="W698" s="197"/>
      <c r="X698" s="197"/>
      <c r="Y698" s="197"/>
      <c r="Z698" s="197"/>
      <c r="AA698" s="197"/>
      <c r="AB698" s="197"/>
      <c r="AC698" s="197"/>
      <c r="AD698" s="208"/>
      <c r="AE698" s="200"/>
      <c r="AF698" s="200"/>
    </row>
    <row r="699" spans="5:32" ht="15.75" x14ac:dyDescent="0.25">
      <c r="E699" s="261"/>
      <c r="F699" s="193"/>
      <c r="G699" s="194"/>
      <c r="H699" s="195"/>
      <c r="I699" s="202"/>
      <c r="O699" s="197"/>
      <c r="P699" s="197"/>
      <c r="Q699" s="197"/>
      <c r="R699" s="197"/>
      <c r="S699" s="197"/>
      <c r="T699" s="197"/>
      <c r="U699" s="197"/>
      <c r="V699" s="197"/>
      <c r="W699" s="197"/>
      <c r="X699" s="197"/>
      <c r="Y699" s="197"/>
      <c r="Z699" s="197"/>
      <c r="AA699" s="197"/>
      <c r="AB699" s="197"/>
      <c r="AC699" s="197"/>
      <c r="AD699" s="208"/>
      <c r="AE699" s="200"/>
      <c r="AF699" s="200"/>
    </row>
    <row r="700" spans="5:32" ht="15.75" x14ac:dyDescent="0.25">
      <c r="E700" s="261"/>
      <c r="F700" s="193"/>
      <c r="G700" s="194"/>
      <c r="H700" s="195"/>
      <c r="I700" s="202"/>
      <c r="O700" s="197"/>
      <c r="P700" s="197"/>
      <c r="Q700" s="197"/>
      <c r="R700" s="197"/>
      <c r="S700" s="197"/>
      <c r="T700" s="197"/>
      <c r="U700" s="197"/>
      <c r="V700" s="197"/>
      <c r="W700" s="197"/>
      <c r="X700" s="197"/>
      <c r="Y700" s="197"/>
      <c r="Z700" s="197"/>
      <c r="AA700" s="197"/>
      <c r="AB700" s="197"/>
      <c r="AC700" s="197"/>
      <c r="AD700" s="208"/>
      <c r="AE700" s="200"/>
      <c r="AF700" s="200"/>
    </row>
    <row r="701" spans="5:32" ht="15.75" x14ac:dyDescent="0.25">
      <c r="E701" s="261"/>
      <c r="F701" s="193"/>
      <c r="G701" s="194"/>
      <c r="H701" s="195"/>
      <c r="I701" s="202"/>
      <c r="O701" s="197"/>
      <c r="P701" s="197"/>
      <c r="Q701" s="197"/>
      <c r="R701" s="197"/>
      <c r="S701" s="197"/>
      <c r="T701" s="197"/>
      <c r="U701" s="197"/>
      <c r="V701" s="197"/>
      <c r="W701" s="197"/>
      <c r="X701" s="197"/>
      <c r="Y701" s="197"/>
      <c r="Z701" s="197"/>
      <c r="AA701" s="197"/>
      <c r="AB701" s="197"/>
      <c r="AC701" s="197"/>
      <c r="AD701" s="208"/>
      <c r="AE701" s="200"/>
      <c r="AF701" s="200"/>
    </row>
    <row r="702" spans="5:32" ht="15.75" x14ac:dyDescent="0.25">
      <c r="E702" s="261"/>
      <c r="F702" s="193"/>
      <c r="G702" s="194"/>
      <c r="H702" s="195"/>
      <c r="I702" s="202"/>
      <c r="O702" s="197"/>
      <c r="P702" s="197"/>
      <c r="Q702" s="197"/>
      <c r="R702" s="197"/>
      <c r="S702" s="197"/>
      <c r="T702" s="197"/>
      <c r="U702" s="197"/>
      <c r="V702" s="197"/>
      <c r="W702" s="197"/>
      <c r="X702" s="197"/>
      <c r="Y702" s="197"/>
      <c r="Z702" s="197"/>
      <c r="AA702" s="197"/>
      <c r="AB702" s="197"/>
      <c r="AC702" s="197"/>
      <c r="AD702" s="208"/>
      <c r="AE702" s="200"/>
      <c r="AF702" s="200"/>
    </row>
    <row r="703" spans="5:32" ht="15.75" x14ac:dyDescent="0.25">
      <c r="E703" s="261"/>
      <c r="F703" s="193"/>
      <c r="G703" s="194"/>
      <c r="H703" s="195"/>
      <c r="I703" s="202"/>
      <c r="O703" s="197"/>
      <c r="P703" s="197"/>
      <c r="Q703" s="197"/>
      <c r="R703" s="197"/>
      <c r="S703" s="197"/>
      <c r="T703" s="197"/>
      <c r="U703" s="197"/>
      <c r="V703" s="197"/>
      <c r="W703" s="197"/>
      <c r="X703" s="197"/>
      <c r="Y703" s="197"/>
      <c r="Z703" s="197"/>
      <c r="AA703" s="197"/>
      <c r="AB703" s="197"/>
      <c r="AC703" s="197"/>
      <c r="AD703" s="208"/>
      <c r="AE703" s="200"/>
      <c r="AF703" s="200"/>
    </row>
    <row r="704" spans="5:32" ht="15.75" x14ac:dyDescent="0.25">
      <c r="E704" s="261"/>
      <c r="F704" s="193"/>
      <c r="G704" s="194"/>
      <c r="H704" s="195"/>
      <c r="I704" s="202"/>
      <c r="O704" s="197"/>
      <c r="P704" s="197"/>
      <c r="Q704" s="197"/>
      <c r="R704" s="197"/>
      <c r="S704" s="197"/>
      <c r="T704" s="197"/>
      <c r="U704" s="197"/>
      <c r="V704" s="197"/>
      <c r="W704" s="197"/>
      <c r="X704" s="197"/>
      <c r="Y704" s="197"/>
      <c r="Z704" s="197"/>
      <c r="AA704" s="197"/>
      <c r="AB704" s="197"/>
      <c r="AC704" s="197"/>
      <c r="AD704" s="208"/>
      <c r="AE704" s="200"/>
      <c r="AF704" s="200"/>
    </row>
    <row r="705" spans="5:32" ht="15.75" x14ac:dyDescent="0.25">
      <c r="E705" s="261"/>
      <c r="F705" s="193"/>
      <c r="G705" s="194"/>
      <c r="H705" s="195"/>
      <c r="I705" s="202"/>
      <c r="O705" s="197"/>
      <c r="P705" s="197"/>
      <c r="Q705" s="197"/>
      <c r="R705" s="197"/>
      <c r="S705" s="197"/>
      <c r="T705" s="197"/>
      <c r="U705" s="197"/>
      <c r="V705" s="197"/>
      <c r="W705" s="197"/>
      <c r="X705" s="197"/>
      <c r="Y705" s="197"/>
      <c r="Z705" s="197"/>
      <c r="AA705" s="197"/>
      <c r="AB705" s="197"/>
      <c r="AC705" s="197"/>
      <c r="AD705" s="208"/>
      <c r="AE705" s="200"/>
      <c r="AF705" s="200"/>
    </row>
    <row r="706" spans="5:32" ht="15.75" x14ac:dyDescent="0.25">
      <c r="E706" s="261"/>
      <c r="F706" s="193"/>
      <c r="G706" s="194"/>
      <c r="H706" s="195"/>
      <c r="I706" s="202"/>
      <c r="O706" s="197"/>
      <c r="P706" s="197"/>
      <c r="Q706" s="197"/>
      <c r="R706" s="197"/>
      <c r="S706" s="197"/>
      <c r="T706" s="197"/>
      <c r="U706" s="197"/>
      <c r="V706" s="197"/>
      <c r="W706" s="197"/>
      <c r="X706" s="197"/>
      <c r="Y706" s="197"/>
      <c r="Z706" s="197"/>
      <c r="AA706" s="197"/>
      <c r="AB706" s="197"/>
      <c r="AC706" s="197"/>
      <c r="AD706" s="208"/>
      <c r="AE706" s="200"/>
      <c r="AF706" s="200"/>
    </row>
    <row r="707" spans="5:32" ht="15.75" x14ac:dyDescent="0.25">
      <c r="E707" s="261"/>
      <c r="F707" s="193"/>
      <c r="G707" s="194"/>
      <c r="H707" s="195"/>
      <c r="I707" s="202"/>
      <c r="O707" s="197"/>
      <c r="P707" s="197"/>
      <c r="Q707" s="197"/>
      <c r="R707" s="197"/>
      <c r="S707" s="197"/>
      <c r="T707" s="197"/>
      <c r="U707" s="197"/>
      <c r="V707" s="197"/>
      <c r="W707" s="197"/>
      <c r="X707" s="197"/>
      <c r="Y707" s="197"/>
      <c r="Z707" s="197"/>
      <c r="AA707" s="197"/>
      <c r="AB707" s="197"/>
      <c r="AC707" s="197"/>
      <c r="AD707" s="208"/>
      <c r="AE707" s="200"/>
      <c r="AF707" s="200"/>
    </row>
    <row r="708" spans="5:32" ht="15.75" x14ac:dyDescent="0.25">
      <c r="E708" s="261"/>
      <c r="F708" s="193"/>
      <c r="G708" s="194"/>
      <c r="H708" s="195"/>
      <c r="I708" s="202"/>
      <c r="O708" s="197"/>
      <c r="P708" s="197"/>
      <c r="Q708" s="197"/>
      <c r="R708" s="197"/>
      <c r="S708" s="197"/>
      <c r="T708" s="197"/>
      <c r="U708" s="197"/>
      <c r="V708" s="197"/>
      <c r="W708" s="197"/>
      <c r="X708" s="197"/>
      <c r="Y708" s="197"/>
      <c r="Z708" s="197"/>
      <c r="AA708" s="197"/>
      <c r="AB708" s="197"/>
      <c r="AC708" s="197"/>
      <c r="AD708" s="208"/>
      <c r="AE708" s="200"/>
      <c r="AF708" s="200"/>
    </row>
    <row r="709" spans="5:32" ht="15.75" x14ac:dyDescent="0.25">
      <c r="E709" s="261"/>
      <c r="F709" s="193"/>
      <c r="G709" s="194"/>
      <c r="H709" s="195"/>
      <c r="I709" s="202"/>
      <c r="O709" s="197"/>
      <c r="P709" s="197"/>
      <c r="Q709" s="197"/>
      <c r="R709" s="197"/>
      <c r="S709" s="197"/>
      <c r="T709" s="197"/>
      <c r="U709" s="197"/>
      <c r="V709" s="197"/>
      <c r="W709" s="197"/>
      <c r="X709" s="197"/>
      <c r="Y709" s="197"/>
      <c r="Z709" s="197"/>
      <c r="AA709" s="197"/>
      <c r="AB709" s="197"/>
      <c r="AC709" s="197"/>
      <c r="AD709" s="208"/>
      <c r="AE709" s="200"/>
      <c r="AF709" s="200"/>
    </row>
    <row r="710" spans="5:32" ht="15.75" x14ac:dyDescent="0.25">
      <c r="E710" s="261"/>
      <c r="F710" s="193"/>
      <c r="G710" s="194"/>
      <c r="H710" s="195"/>
      <c r="I710" s="202"/>
      <c r="O710" s="197"/>
      <c r="P710" s="197"/>
      <c r="Q710" s="197"/>
      <c r="R710" s="197"/>
      <c r="S710" s="197"/>
      <c r="T710" s="197"/>
      <c r="U710" s="197"/>
      <c r="V710" s="197"/>
      <c r="W710" s="197"/>
      <c r="X710" s="197"/>
      <c r="Y710" s="197"/>
      <c r="Z710" s="197"/>
      <c r="AA710" s="197"/>
      <c r="AB710" s="197"/>
      <c r="AC710" s="197"/>
      <c r="AD710" s="208"/>
      <c r="AE710" s="200"/>
      <c r="AF710" s="200"/>
    </row>
    <row r="711" spans="5:32" ht="15.75" x14ac:dyDescent="0.25">
      <c r="E711" s="261"/>
      <c r="F711" s="193"/>
      <c r="G711" s="194"/>
      <c r="H711" s="195"/>
      <c r="I711" s="202"/>
      <c r="O711" s="197"/>
      <c r="P711" s="197"/>
      <c r="Q711" s="197"/>
      <c r="R711" s="197"/>
      <c r="S711" s="197"/>
      <c r="T711" s="197"/>
      <c r="U711" s="197"/>
      <c r="V711" s="197"/>
      <c r="W711" s="197"/>
      <c r="X711" s="197"/>
      <c r="Y711" s="197"/>
      <c r="Z711" s="197"/>
      <c r="AA711" s="197"/>
      <c r="AB711" s="197"/>
      <c r="AC711" s="197"/>
      <c r="AD711" s="208"/>
      <c r="AE711" s="200"/>
      <c r="AF711" s="200"/>
    </row>
    <row r="712" spans="5:32" ht="15.75" x14ac:dyDescent="0.25">
      <c r="E712" s="261"/>
      <c r="F712" s="193"/>
      <c r="G712" s="194"/>
      <c r="H712" s="195"/>
      <c r="I712" s="202"/>
      <c r="O712" s="197"/>
      <c r="P712" s="197"/>
      <c r="Q712" s="197"/>
      <c r="R712" s="197"/>
      <c r="S712" s="197"/>
      <c r="T712" s="197"/>
      <c r="U712" s="197"/>
      <c r="V712" s="197"/>
      <c r="W712" s="197"/>
      <c r="X712" s="197"/>
      <c r="Y712" s="197"/>
      <c r="Z712" s="197"/>
      <c r="AA712" s="197"/>
      <c r="AB712" s="197"/>
      <c r="AC712" s="197"/>
      <c r="AD712" s="208"/>
      <c r="AE712" s="200"/>
      <c r="AF712" s="200"/>
    </row>
    <row r="713" spans="5:32" ht="15.75" x14ac:dyDescent="0.25">
      <c r="E713" s="261"/>
      <c r="F713" s="193"/>
      <c r="G713" s="194"/>
      <c r="H713" s="195"/>
      <c r="I713" s="202"/>
      <c r="O713" s="197"/>
      <c r="P713" s="197"/>
      <c r="Q713" s="197"/>
      <c r="R713" s="197"/>
      <c r="S713" s="197"/>
      <c r="T713" s="197"/>
      <c r="U713" s="197"/>
      <c r="V713" s="197"/>
      <c r="W713" s="197"/>
      <c r="X713" s="197"/>
      <c r="Y713" s="197"/>
      <c r="Z713" s="197"/>
      <c r="AA713" s="197"/>
      <c r="AB713" s="197"/>
      <c r="AC713" s="197"/>
      <c r="AD713" s="208"/>
      <c r="AE713" s="200"/>
      <c r="AF713" s="200"/>
    </row>
    <row r="714" spans="5:32" ht="15.75" x14ac:dyDescent="0.25">
      <c r="E714" s="261"/>
      <c r="F714" s="193"/>
      <c r="G714" s="194"/>
      <c r="H714" s="195"/>
      <c r="I714" s="202"/>
      <c r="O714" s="197"/>
      <c r="P714" s="197"/>
      <c r="Q714" s="197"/>
      <c r="R714" s="197"/>
      <c r="S714" s="197"/>
      <c r="T714" s="197"/>
      <c r="U714" s="197"/>
      <c r="V714" s="197"/>
      <c r="W714" s="197"/>
      <c r="X714" s="197"/>
      <c r="Y714" s="197"/>
      <c r="Z714" s="197"/>
      <c r="AA714" s="197"/>
      <c r="AB714" s="197"/>
      <c r="AC714" s="197"/>
      <c r="AD714" s="208"/>
      <c r="AE714" s="200"/>
      <c r="AF714" s="200"/>
    </row>
    <row r="715" spans="5:32" ht="15.75" x14ac:dyDescent="0.25">
      <c r="E715" s="261"/>
      <c r="F715" s="193"/>
      <c r="G715" s="194"/>
      <c r="H715" s="195"/>
      <c r="I715" s="202"/>
      <c r="O715" s="197"/>
      <c r="P715" s="197"/>
      <c r="Q715" s="197"/>
      <c r="R715" s="197"/>
      <c r="S715" s="197"/>
      <c r="T715" s="197"/>
      <c r="U715" s="197"/>
      <c r="V715" s="197"/>
      <c r="W715" s="197"/>
      <c r="X715" s="197"/>
      <c r="Y715" s="197"/>
      <c r="Z715" s="197"/>
      <c r="AA715" s="197"/>
      <c r="AB715" s="197"/>
      <c r="AC715" s="197"/>
      <c r="AD715" s="208"/>
      <c r="AE715" s="200"/>
      <c r="AF715" s="200"/>
    </row>
    <row r="716" spans="5:32" ht="15.75" x14ac:dyDescent="0.25">
      <c r="E716" s="261"/>
      <c r="F716" s="193"/>
      <c r="G716" s="194"/>
      <c r="H716" s="195"/>
      <c r="I716" s="202"/>
      <c r="O716" s="197"/>
      <c r="P716" s="197"/>
      <c r="Q716" s="197"/>
      <c r="R716" s="197"/>
      <c r="S716" s="197"/>
      <c r="T716" s="197"/>
      <c r="U716" s="197"/>
      <c r="V716" s="197"/>
      <c r="W716" s="197"/>
      <c r="X716" s="197"/>
      <c r="Y716" s="197"/>
      <c r="Z716" s="197"/>
      <c r="AA716" s="197"/>
      <c r="AB716" s="197"/>
      <c r="AC716" s="197"/>
      <c r="AD716" s="208"/>
      <c r="AE716" s="200"/>
      <c r="AF716" s="200"/>
    </row>
    <row r="717" spans="5:32" ht="15.75" x14ac:dyDescent="0.25">
      <c r="E717" s="261"/>
      <c r="F717" s="193"/>
      <c r="G717" s="194"/>
      <c r="H717" s="195"/>
      <c r="I717" s="202"/>
      <c r="O717" s="197"/>
      <c r="P717" s="197"/>
      <c r="Q717" s="197"/>
      <c r="R717" s="197"/>
      <c r="S717" s="197"/>
      <c r="T717" s="197"/>
      <c r="U717" s="197"/>
      <c r="V717" s="197"/>
      <c r="W717" s="197"/>
      <c r="X717" s="197"/>
      <c r="Y717" s="197"/>
      <c r="Z717" s="197"/>
      <c r="AA717" s="197"/>
      <c r="AB717" s="197"/>
      <c r="AC717" s="197"/>
      <c r="AD717" s="208"/>
      <c r="AE717" s="200"/>
      <c r="AF717" s="200"/>
    </row>
    <row r="718" spans="5:32" ht="15.75" x14ac:dyDescent="0.25">
      <c r="E718" s="261"/>
      <c r="F718" s="193"/>
      <c r="G718" s="194"/>
      <c r="H718" s="195"/>
      <c r="I718" s="202"/>
      <c r="O718" s="197"/>
      <c r="P718" s="197"/>
      <c r="Q718" s="197"/>
      <c r="R718" s="197"/>
      <c r="S718" s="197"/>
      <c r="T718" s="197"/>
      <c r="U718" s="197"/>
      <c r="V718" s="197"/>
      <c r="W718" s="197"/>
      <c r="X718" s="197"/>
      <c r="Y718" s="197"/>
      <c r="Z718" s="197"/>
      <c r="AA718" s="197"/>
      <c r="AB718" s="197"/>
      <c r="AC718" s="197"/>
      <c r="AD718" s="208"/>
      <c r="AE718" s="200"/>
      <c r="AF718" s="200"/>
    </row>
    <row r="719" spans="5:32" ht="15.75" x14ac:dyDescent="0.25">
      <c r="E719" s="261"/>
      <c r="F719" s="193"/>
      <c r="G719" s="194"/>
      <c r="H719" s="195"/>
      <c r="I719" s="202"/>
      <c r="O719" s="197"/>
      <c r="P719" s="197"/>
      <c r="Q719" s="197"/>
      <c r="R719" s="197"/>
      <c r="S719" s="197"/>
      <c r="T719" s="197"/>
      <c r="U719" s="197"/>
      <c r="V719" s="197"/>
      <c r="W719" s="197"/>
      <c r="X719" s="197"/>
      <c r="Y719" s="197"/>
      <c r="Z719" s="197"/>
      <c r="AA719" s="197"/>
      <c r="AB719" s="197"/>
      <c r="AC719" s="197"/>
      <c r="AD719" s="208"/>
      <c r="AE719" s="200"/>
      <c r="AF719" s="200"/>
    </row>
    <row r="720" spans="5:32" ht="15.75" x14ac:dyDescent="0.25">
      <c r="E720" s="261"/>
      <c r="F720" s="193"/>
      <c r="G720" s="194"/>
      <c r="H720" s="195"/>
      <c r="I720" s="202"/>
      <c r="O720" s="197"/>
      <c r="P720" s="197"/>
      <c r="Q720" s="197"/>
      <c r="R720" s="197"/>
      <c r="S720" s="197"/>
      <c r="T720" s="197"/>
      <c r="U720" s="197"/>
      <c r="V720" s="197"/>
      <c r="W720" s="197"/>
      <c r="X720" s="197"/>
      <c r="Y720" s="197"/>
      <c r="Z720" s="197"/>
      <c r="AA720" s="197"/>
      <c r="AB720" s="197"/>
      <c r="AC720" s="197"/>
      <c r="AD720" s="208"/>
      <c r="AE720" s="200"/>
      <c r="AF720" s="200"/>
    </row>
    <row r="721" spans="5:32" ht="15.75" x14ac:dyDescent="0.25">
      <c r="E721" s="261"/>
      <c r="F721" s="193"/>
      <c r="G721" s="194"/>
      <c r="H721" s="195"/>
      <c r="I721" s="202"/>
      <c r="O721" s="197"/>
      <c r="P721" s="197"/>
      <c r="Q721" s="197"/>
      <c r="R721" s="197"/>
      <c r="S721" s="197"/>
      <c r="T721" s="197"/>
      <c r="U721" s="197"/>
      <c r="V721" s="197"/>
      <c r="W721" s="197"/>
      <c r="X721" s="197"/>
      <c r="Y721" s="197"/>
      <c r="Z721" s="197"/>
      <c r="AA721" s="197"/>
      <c r="AB721" s="197"/>
      <c r="AC721" s="197"/>
      <c r="AD721" s="208"/>
      <c r="AE721" s="200"/>
      <c r="AF721" s="200"/>
    </row>
    <row r="722" spans="5:32" ht="15.75" x14ac:dyDescent="0.25">
      <c r="E722" s="261"/>
      <c r="F722" s="193"/>
      <c r="G722" s="194"/>
      <c r="H722" s="195"/>
      <c r="I722" s="202"/>
      <c r="O722" s="197"/>
      <c r="P722" s="197"/>
      <c r="Q722" s="197"/>
      <c r="R722" s="197"/>
      <c r="S722" s="197"/>
      <c r="T722" s="197"/>
      <c r="U722" s="197"/>
      <c r="V722" s="197"/>
      <c r="W722" s="197"/>
      <c r="X722" s="197"/>
      <c r="Y722" s="197"/>
      <c r="Z722" s="197"/>
      <c r="AA722" s="197"/>
      <c r="AB722" s="197"/>
      <c r="AC722" s="197"/>
      <c r="AD722" s="208"/>
      <c r="AE722" s="200"/>
      <c r="AF722" s="200"/>
    </row>
    <row r="723" spans="5:32" ht="15.75" x14ac:dyDescent="0.25">
      <c r="E723" s="261"/>
      <c r="F723" s="193"/>
      <c r="G723" s="194"/>
      <c r="H723" s="195"/>
      <c r="I723" s="202"/>
      <c r="O723" s="197"/>
      <c r="P723" s="197"/>
      <c r="Q723" s="197"/>
      <c r="R723" s="197"/>
      <c r="S723" s="197"/>
      <c r="T723" s="197"/>
      <c r="U723" s="197"/>
      <c r="V723" s="197"/>
      <c r="W723" s="197"/>
      <c r="X723" s="197"/>
      <c r="Y723" s="197"/>
      <c r="Z723" s="197"/>
      <c r="AA723" s="197"/>
      <c r="AB723" s="197"/>
      <c r="AC723" s="197"/>
      <c r="AD723" s="208"/>
      <c r="AE723" s="200"/>
      <c r="AF723" s="200"/>
    </row>
    <row r="724" spans="5:32" ht="15.75" x14ac:dyDescent="0.25">
      <c r="E724" s="261"/>
      <c r="F724" s="193"/>
      <c r="G724" s="194"/>
      <c r="H724" s="195"/>
      <c r="I724" s="202"/>
      <c r="O724" s="197"/>
      <c r="P724" s="197"/>
      <c r="Q724" s="197"/>
      <c r="R724" s="197"/>
      <c r="S724" s="197"/>
      <c r="T724" s="197"/>
      <c r="U724" s="197"/>
      <c r="V724" s="197"/>
      <c r="W724" s="197"/>
      <c r="X724" s="197"/>
      <c r="Y724" s="197"/>
      <c r="Z724" s="197"/>
      <c r="AA724" s="197"/>
      <c r="AB724" s="197"/>
      <c r="AC724" s="197"/>
      <c r="AD724" s="208"/>
      <c r="AE724" s="200"/>
      <c r="AF724" s="200"/>
    </row>
    <row r="725" spans="5:32" ht="15.75" x14ac:dyDescent="0.25">
      <c r="E725" s="261"/>
      <c r="F725" s="193"/>
      <c r="G725" s="194"/>
      <c r="H725" s="195"/>
      <c r="I725" s="202"/>
      <c r="O725" s="197"/>
      <c r="P725" s="197"/>
      <c r="Q725" s="197"/>
      <c r="R725" s="197"/>
      <c r="S725" s="197"/>
      <c r="T725" s="197"/>
      <c r="U725" s="197"/>
      <c r="V725" s="197"/>
      <c r="W725" s="197"/>
      <c r="X725" s="197"/>
      <c r="Y725" s="197"/>
      <c r="Z725" s="197"/>
      <c r="AA725" s="197"/>
      <c r="AB725" s="197"/>
      <c r="AC725" s="197"/>
      <c r="AD725" s="208"/>
      <c r="AE725" s="200"/>
      <c r="AF725" s="200"/>
    </row>
    <row r="726" spans="5:32" ht="15.75" x14ac:dyDescent="0.25">
      <c r="E726" s="261"/>
      <c r="F726" s="193"/>
      <c r="G726" s="194"/>
      <c r="H726" s="195"/>
      <c r="I726" s="202"/>
      <c r="O726" s="197"/>
      <c r="P726" s="197"/>
      <c r="Q726" s="197"/>
      <c r="R726" s="197"/>
      <c r="S726" s="197"/>
      <c r="T726" s="197"/>
      <c r="U726" s="197"/>
      <c r="V726" s="197"/>
      <c r="W726" s="197"/>
      <c r="X726" s="197"/>
      <c r="Y726" s="197"/>
      <c r="Z726" s="197"/>
      <c r="AA726" s="197"/>
      <c r="AB726" s="197"/>
      <c r="AC726" s="197"/>
      <c r="AD726" s="208"/>
      <c r="AE726" s="200"/>
      <c r="AF726" s="200"/>
    </row>
    <row r="727" spans="5:32" ht="15.75" x14ac:dyDescent="0.25">
      <c r="E727" s="261"/>
      <c r="F727" s="193"/>
      <c r="G727" s="194"/>
      <c r="H727" s="195"/>
      <c r="I727" s="202"/>
      <c r="O727" s="197"/>
      <c r="P727" s="197"/>
      <c r="Q727" s="197"/>
      <c r="R727" s="197"/>
      <c r="S727" s="197"/>
      <c r="T727" s="197"/>
      <c r="U727" s="197"/>
      <c r="V727" s="197"/>
      <c r="W727" s="197"/>
      <c r="X727" s="197"/>
      <c r="Y727" s="197"/>
      <c r="Z727" s="197"/>
      <c r="AA727" s="197"/>
      <c r="AB727" s="197"/>
      <c r="AC727" s="197"/>
      <c r="AD727" s="208"/>
      <c r="AE727" s="200"/>
      <c r="AF727" s="200"/>
    </row>
    <row r="728" spans="5:32" ht="15.75" x14ac:dyDescent="0.25">
      <c r="E728" s="261"/>
      <c r="F728" s="193"/>
      <c r="G728" s="194"/>
      <c r="H728" s="195"/>
      <c r="I728" s="202"/>
      <c r="O728" s="197"/>
      <c r="P728" s="197"/>
      <c r="Q728" s="197"/>
      <c r="R728" s="197"/>
      <c r="S728" s="197"/>
      <c r="T728" s="197"/>
      <c r="U728" s="197"/>
      <c r="V728" s="197"/>
      <c r="W728" s="197"/>
      <c r="X728" s="197"/>
      <c r="Y728" s="197"/>
      <c r="Z728" s="197"/>
      <c r="AA728" s="197"/>
      <c r="AB728" s="197"/>
      <c r="AC728" s="197"/>
      <c r="AD728" s="208"/>
      <c r="AE728" s="200"/>
      <c r="AF728" s="200"/>
    </row>
    <row r="729" spans="5:32" ht="15.75" x14ac:dyDescent="0.25">
      <c r="E729" s="261"/>
      <c r="F729" s="193"/>
      <c r="G729" s="194"/>
      <c r="H729" s="195"/>
      <c r="I729" s="202"/>
      <c r="O729" s="197"/>
      <c r="P729" s="197"/>
      <c r="Q729" s="197"/>
      <c r="R729" s="197"/>
      <c r="S729" s="197"/>
      <c r="T729" s="197"/>
      <c r="U729" s="197"/>
      <c r="V729" s="197"/>
      <c r="W729" s="197"/>
      <c r="X729" s="197"/>
      <c r="Y729" s="197"/>
      <c r="Z729" s="197"/>
      <c r="AA729" s="197"/>
      <c r="AB729" s="197"/>
      <c r="AC729" s="197"/>
      <c r="AD729" s="208"/>
      <c r="AE729" s="200"/>
      <c r="AF729" s="200"/>
    </row>
    <row r="730" spans="5:32" ht="15.75" x14ac:dyDescent="0.25">
      <c r="E730" s="261"/>
      <c r="F730" s="193"/>
      <c r="G730" s="194"/>
      <c r="H730" s="195"/>
      <c r="I730" s="202"/>
      <c r="O730" s="197"/>
      <c r="P730" s="197"/>
      <c r="Q730" s="197"/>
      <c r="R730" s="197"/>
      <c r="S730" s="197"/>
      <c r="T730" s="197"/>
      <c r="U730" s="197"/>
      <c r="V730" s="197"/>
      <c r="W730" s="197"/>
      <c r="X730" s="197"/>
      <c r="Y730" s="197"/>
      <c r="Z730" s="197"/>
      <c r="AA730" s="197"/>
      <c r="AB730" s="197"/>
      <c r="AC730" s="197"/>
      <c r="AD730" s="208"/>
      <c r="AE730" s="200"/>
      <c r="AF730" s="200"/>
    </row>
    <row r="731" spans="5:32" ht="15.75" x14ac:dyDescent="0.25">
      <c r="E731" s="261"/>
      <c r="F731" s="193"/>
      <c r="G731" s="194"/>
      <c r="H731" s="195"/>
      <c r="I731" s="202"/>
      <c r="O731" s="197"/>
      <c r="P731" s="197"/>
      <c r="Q731" s="197"/>
      <c r="R731" s="197"/>
      <c r="S731" s="197"/>
      <c r="T731" s="197"/>
      <c r="U731" s="197"/>
      <c r="V731" s="197"/>
      <c r="W731" s="197"/>
      <c r="X731" s="197"/>
      <c r="Y731" s="197"/>
      <c r="Z731" s="197"/>
      <c r="AA731" s="197"/>
      <c r="AB731" s="197"/>
      <c r="AC731" s="197"/>
      <c r="AD731" s="208"/>
      <c r="AE731" s="200"/>
      <c r="AF731" s="200"/>
    </row>
    <row r="732" spans="5:32" ht="15.75" x14ac:dyDescent="0.25">
      <c r="E732" s="261"/>
      <c r="F732" s="193"/>
      <c r="G732" s="194"/>
      <c r="H732" s="195"/>
      <c r="I732" s="202"/>
      <c r="O732" s="197"/>
      <c r="P732" s="197"/>
      <c r="Q732" s="197"/>
      <c r="R732" s="197"/>
      <c r="S732" s="197"/>
      <c r="T732" s="197"/>
      <c r="U732" s="197"/>
      <c r="V732" s="197"/>
      <c r="W732" s="197"/>
      <c r="X732" s="197"/>
      <c r="Y732" s="197"/>
      <c r="Z732" s="197"/>
      <c r="AA732" s="197"/>
      <c r="AB732" s="197"/>
      <c r="AC732" s="197"/>
      <c r="AD732" s="208"/>
      <c r="AE732" s="200"/>
      <c r="AF732" s="200"/>
    </row>
    <row r="733" spans="5:32" ht="15.75" x14ac:dyDescent="0.25">
      <c r="E733" s="261"/>
      <c r="F733" s="193"/>
      <c r="G733" s="194"/>
      <c r="H733" s="195"/>
      <c r="I733" s="202"/>
      <c r="O733" s="197"/>
      <c r="P733" s="197"/>
      <c r="Q733" s="197"/>
      <c r="R733" s="197"/>
      <c r="S733" s="197"/>
      <c r="T733" s="197"/>
      <c r="U733" s="197"/>
      <c r="V733" s="197"/>
      <c r="W733" s="197"/>
      <c r="X733" s="197"/>
      <c r="Y733" s="197"/>
      <c r="Z733" s="197"/>
      <c r="AA733" s="197"/>
      <c r="AB733" s="197"/>
      <c r="AC733" s="197"/>
      <c r="AD733" s="208"/>
      <c r="AE733" s="200"/>
      <c r="AF733" s="200"/>
    </row>
    <row r="734" spans="5:32" ht="15.75" x14ac:dyDescent="0.25">
      <c r="E734" s="261"/>
      <c r="F734" s="193"/>
      <c r="G734" s="194"/>
      <c r="H734" s="195"/>
      <c r="I734" s="202"/>
      <c r="O734" s="197"/>
      <c r="P734" s="197"/>
      <c r="Q734" s="197"/>
      <c r="R734" s="197"/>
      <c r="S734" s="197"/>
      <c r="T734" s="197"/>
      <c r="U734" s="197"/>
      <c r="V734" s="197"/>
      <c r="W734" s="197"/>
      <c r="X734" s="197"/>
      <c r="Y734" s="197"/>
      <c r="Z734" s="197"/>
      <c r="AA734" s="197"/>
      <c r="AB734" s="197"/>
      <c r="AC734" s="197"/>
      <c r="AD734" s="208"/>
      <c r="AE734" s="200"/>
      <c r="AF734" s="200"/>
    </row>
    <row r="735" spans="5:32" ht="15.75" x14ac:dyDescent="0.25">
      <c r="E735" s="261"/>
      <c r="F735" s="193"/>
      <c r="G735" s="194"/>
      <c r="H735" s="195"/>
      <c r="I735" s="202"/>
      <c r="O735" s="197"/>
      <c r="P735" s="197"/>
      <c r="Q735" s="197"/>
      <c r="R735" s="197"/>
      <c r="S735" s="197"/>
      <c r="T735" s="197"/>
      <c r="U735" s="197"/>
      <c r="V735" s="197"/>
      <c r="W735" s="197"/>
      <c r="X735" s="197"/>
      <c r="Y735" s="197"/>
      <c r="Z735" s="197"/>
      <c r="AA735" s="197"/>
      <c r="AB735" s="197"/>
      <c r="AC735" s="197"/>
      <c r="AD735" s="208"/>
      <c r="AE735" s="200"/>
      <c r="AF735" s="200"/>
    </row>
    <row r="736" spans="5:32" ht="15.75" x14ac:dyDescent="0.25">
      <c r="E736" s="261"/>
      <c r="F736" s="193"/>
      <c r="G736" s="194"/>
      <c r="H736" s="195"/>
      <c r="I736" s="202"/>
      <c r="O736" s="197"/>
      <c r="P736" s="197"/>
      <c r="Q736" s="197"/>
      <c r="R736" s="197"/>
      <c r="S736" s="197"/>
      <c r="T736" s="197"/>
      <c r="U736" s="197"/>
      <c r="V736" s="197"/>
      <c r="W736" s="197"/>
      <c r="X736" s="197"/>
      <c r="Y736" s="197"/>
      <c r="Z736" s="197"/>
      <c r="AA736" s="197"/>
      <c r="AB736" s="197"/>
      <c r="AC736" s="197"/>
      <c r="AD736" s="208"/>
      <c r="AE736" s="200"/>
      <c r="AF736" s="200"/>
    </row>
    <row r="737" spans="5:32" ht="15.75" x14ac:dyDescent="0.25">
      <c r="E737" s="261"/>
      <c r="F737" s="193"/>
      <c r="G737" s="194"/>
      <c r="H737" s="195"/>
      <c r="I737" s="202"/>
      <c r="O737" s="197"/>
      <c r="P737" s="197"/>
      <c r="Q737" s="197"/>
      <c r="R737" s="197"/>
      <c r="S737" s="197"/>
      <c r="T737" s="197"/>
      <c r="U737" s="197"/>
      <c r="V737" s="197"/>
      <c r="W737" s="197"/>
      <c r="X737" s="197"/>
      <c r="Y737" s="197"/>
      <c r="Z737" s="197"/>
      <c r="AA737" s="197"/>
      <c r="AB737" s="197"/>
      <c r="AC737" s="197"/>
      <c r="AD737" s="208"/>
      <c r="AE737" s="200"/>
      <c r="AF737" s="200"/>
    </row>
    <row r="738" spans="5:32" ht="15.75" x14ac:dyDescent="0.25">
      <c r="E738" s="261"/>
      <c r="F738" s="193"/>
      <c r="G738" s="194"/>
      <c r="H738" s="195"/>
      <c r="I738" s="202"/>
      <c r="O738" s="197"/>
      <c r="P738" s="197"/>
      <c r="Q738" s="197"/>
      <c r="R738" s="197"/>
      <c r="S738" s="197"/>
      <c r="T738" s="197"/>
      <c r="U738" s="197"/>
      <c r="V738" s="197"/>
      <c r="W738" s="197"/>
      <c r="X738" s="197"/>
      <c r="Y738" s="197"/>
      <c r="Z738" s="197"/>
      <c r="AA738" s="197"/>
      <c r="AB738" s="197"/>
      <c r="AC738" s="197"/>
      <c r="AD738" s="208"/>
      <c r="AE738" s="200"/>
      <c r="AF738" s="200"/>
    </row>
    <row r="739" spans="5:32" ht="15.75" x14ac:dyDescent="0.25">
      <c r="E739" s="261"/>
      <c r="F739" s="193"/>
      <c r="G739" s="194"/>
      <c r="H739" s="195"/>
      <c r="I739" s="202"/>
      <c r="O739" s="197"/>
      <c r="P739" s="197"/>
      <c r="Q739" s="197"/>
      <c r="R739" s="197"/>
      <c r="S739" s="197"/>
      <c r="T739" s="197"/>
      <c r="U739" s="197"/>
      <c r="V739" s="197"/>
      <c r="W739" s="197"/>
      <c r="X739" s="197"/>
      <c r="Y739" s="197"/>
      <c r="Z739" s="197"/>
      <c r="AA739" s="197"/>
      <c r="AB739" s="197"/>
      <c r="AC739" s="197"/>
      <c r="AD739" s="208"/>
      <c r="AE739" s="200"/>
      <c r="AF739" s="200"/>
    </row>
    <row r="740" spans="5:32" ht="15.75" x14ac:dyDescent="0.25">
      <c r="E740" s="261"/>
      <c r="F740" s="193"/>
      <c r="G740" s="194"/>
      <c r="H740" s="195"/>
      <c r="I740" s="202"/>
      <c r="O740" s="197"/>
      <c r="P740" s="197"/>
      <c r="Q740" s="197"/>
      <c r="R740" s="197"/>
      <c r="S740" s="197"/>
      <c r="T740" s="197"/>
      <c r="U740" s="197"/>
      <c r="V740" s="197"/>
      <c r="W740" s="197"/>
      <c r="X740" s="197"/>
      <c r="Y740" s="197"/>
      <c r="Z740" s="197"/>
      <c r="AA740" s="197"/>
      <c r="AB740" s="197"/>
      <c r="AC740" s="197"/>
      <c r="AD740" s="208"/>
      <c r="AE740" s="200"/>
      <c r="AF740" s="200"/>
    </row>
    <row r="741" spans="5:32" ht="15.75" x14ac:dyDescent="0.25">
      <c r="E741" s="261"/>
      <c r="F741" s="193"/>
      <c r="G741" s="194"/>
      <c r="H741" s="195"/>
      <c r="I741" s="202"/>
      <c r="O741" s="197"/>
      <c r="P741" s="197"/>
      <c r="Q741" s="197"/>
      <c r="R741" s="197"/>
      <c r="S741" s="197"/>
      <c r="T741" s="197"/>
      <c r="U741" s="197"/>
      <c r="V741" s="197"/>
      <c r="W741" s="197"/>
      <c r="X741" s="197"/>
      <c r="Y741" s="197"/>
      <c r="Z741" s="197"/>
      <c r="AA741" s="197"/>
      <c r="AB741" s="197"/>
      <c r="AC741" s="197"/>
      <c r="AD741" s="208"/>
      <c r="AE741" s="200"/>
      <c r="AF741" s="200"/>
    </row>
    <row r="742" spans="5:32" ht="15.75" x14ac:dyDescent="0.25">
      <c r="E742" s="261"/>
      <c r="F742" s="193"/>
      <c r="G742" s="194"/>
      <c r="H742" s="195"/>
      <c r="I742" s="202"/>
      <c r="O742" s="197"/>
      <c r="P742" s="197"/>
      <c r="Q742" s="197"/>
      <c r="R742" s="197"/>
      <c r="S742" s="197"/>
      <c r="T742" s="197"/>
      <c r="U742" s="197"/>
      <c r="V742" s="197"/>
      <c r="W742" s="197"/>
      <c r="X742" s="197"/>
      <c r="Y742" s="197"/>
      <c r="Z742" s="197"/>
      <c r="AA742" s="197"/>
      <c r="AB742" s="197"/>
      <c r="AC742" s="197"/>
      <c r="AD742" s="208"/>
      <c r="AE742" s="200"/>
      <c r="AF742" s="200"/>
    </row>
    <row r="743" spans="5:32" ht="15.75" x14ac:dyDescent="0.25">
      <c r="E743" s="261"/>
      <c r="F743" s="193"/>
      <c r="G743" s="194"/>
      <c r="H743" s="195"/>
      <c r="I743" s="202"/>
      <c r="O743" s="197"/>
      <c r="P743" s="197"/>
      <c r="Q743" s="197"/>
      <c r="R743" s="197"/>
      <c r="S743" s="197"/>
      <c r="T743" s="197"/>
      <c r="U743" s="197"/>
      <c r="V743" s="197"/>
      <c r="W743" s="197"/>
      <c r="X743" s="197"/>
      <c r="Y743" s="197"/>
      <c r="Z743" s="197"/>
      <c r="AA743" s="197"/>
      <c r="AB743" s="197"/>
      <c r="AC743" s="197"/>
      <c r="AD743" s="208"/>
      <c r="AE743" s="200"/>
      <c r="AF743" s="200"/>
    </row>
    <row r="744" spans="5:32" ht="15.75" x14ac:dyDescent="0.25">
      <c r="E744" s="261"/>
      <c r="F744" s="193"/>
      <c r="G744" s="194"/>
      <c r="H744" s="195"/>
      <c r="I744" s="202"/>
      <c r="O744" s="197"/>
      <c r="P744" s="197"/>
      <c r="Q744" s="197"/>
      <c r="R744" s="197"/>
      <c r="S744" s="197"/>
      <c r="T744" s="197"/>
      <c r="U744" s="197"/>
      <c r="V744" s="197"/>
      <c r="W744" s="197"/>
      <c r="X744" s="197"/>
      <c r="Y744" s="197"/>
      <c r="Z744" s="197"/>
      <c r="AA744" s="197"/>
      <c r="AB744" s="197"/>
      <c r="AC744" s="197"/>
      <c r="AD744" s="208"/>
      <c r="AE744" s="200"/>
      <c r="AF744" s="200"/>
    </row>
    <row r="745" spans="5:32" ht="15.75" x14ac:dyDescent="0.25">
      <c r="E745" s="261"/>
      <c r="F745" s="193"/>
      <c r="G745" s="194"/>
      <c r="H745" s="195"/>
      <c r="I745" s="202"/>
      <c r="O745" s="197"/>
      <c r="P745" s="197"/>
      <c r="Q745" s="197"/>
      <c r="R745" s="197"/>
      <c r="S745" s="197"/>
      <c r="T745" s="197"/>
      <c r="U745" s="197"/>
      <c r="V745" s="197"/>
      <c r="W745" s="197"/>
      <c r="X745" s="197"/>
      <c r="Y745" s="197"/>
      <c r="Z745" s="197"/>
      <c r="AA745" s="197"/>
      <c r="AB745" s="197"/>
      <c r="AC745" s="197"/>
      <c r="AD745" s="208"/>
      <c r="AE745" s="200"/>
      <c r="AF745" s="200"/>
    </row>
    <row r="746" spans="5:32" ht="15.75" x14ac:dyDescent="0.25">
      <c r="E746" s="261"/>
      <c r="F746" s="193"/>
      <c r="G746" s="194"/>
      <c r="H746" s="195"/>
      <c r="I746" s="202"/>
      <c r="O746" s="197"/>
      <c r="P746" s="197"/>
      <c r="Q746" s="197"/>
      <c r="R746" s="197"/>
      <c r="S746" s="197"/>
      <c r="T746" s="197"/>
      <c r="U746" s="197"/>
      <c r="V746" s="197"/>
      <c r="W746" s="197"/>
      <c r="X746" s="197"/>
      <c r="Y746" s="197"/>
      <c r="Z746" s="197"/>
      <c r="AA746" s="197"/>
      <c r="AB746" s="197"/>
      <c r="AC746" s="197"/>
      <c r="AD746" s="208"/>
      <c r="AE746" s="200"/>
      <c r="AF746" s="200"/>
    </row>
    <row r="747" spans="5:32" ht="15.75" x14ac:dyDescent="0.25">
      <c r="E747" s="261"/>
      <c r="F747" s="193"/>
      <c r="G747" s="194"/>
      <c r="H747" s="195"/>
      <c r="I747" s="202"/>
      <c r="O747" s="197"/>
      <c r="P747" s="197"/>
      <c r="Q747" s="197"/>
      <c r="R747" s="197"/>
      <c r="S747" s="197"/>
      <c r="T747" s="197"/>
      <c r="U747" s="197"/>
      <c r="V747" s="197"/>
      <c r="W747" s="197"/>
      <c r="X747" s="197"/>
      <c r="Y747" s="197"/>
      <c r="Z747" s="197"/>
      <c r="AA747" s="197"/>
      <c r="AB747" s="197"/>
      <c r="AC747" s="197"/>
      <c r="AD747" s="208"/>
      <c r="AE747" s="200"/>
      <c r="AF747" s="200"/>
    </row>
    <row r="748" spans="5:32" ht="15.75" x14ac:dyDescent="0.25">
      <c r="E748" s="261"/>
      <c r="F748" s="193"/>
      <c r="G748" s="194"/>
      <c r="H748" s="195"/>
      <c r="I748" s="202"/>
      <c r="O748" s="197"/>
      <c r="P748" s="197"/>
      <c r="Q748" s="197"/>
      <c r="R748" s="197"/>
      <c r="S748" s="197"/>
      <c r="T748" s="197"/>
      <c r="U748" s="197"/>
      <c r="V748" s="197"/>
      <c r="W748" s="197"/>
      <c r="X748" s="197"/>
      <c r="Y748" s="197"/>
      <c r="Z748" s="197"/>
      <c r="AA748" s="197"/>
      <c r="AB748" s="197"/>
      <c r="AC748" s="197"/>
      <c r="AD748" s="208"/>
      <c r="AE748" s="200"/>
      <c r="AF748" s="200"/>
    </row>
    <row r="749" spans="5:32" ht="15.75" x14ac:dyDescent="0.25">
      <c r="E749" s="261"/>
      <c r="F749" s="193"/>
      <c r="G749" s="194"/>
      <c r="H749" s="195"/>
      <c r="I749" s="202"/>
      <c r="O749" s="197"/>
      <c r="P749" s="197"/>
      <c r="Q749" s="197"/>
      <c r="R749" s="197"/>
      <c r="S749" s="197"/>
      <c r="T749" s="197"/>
      <c r="U749" s="197"/>
      <c r="V749" s="197"/>
      <c r="W749" s="197"/>
      <c r="X749" s="197"/>
      <c r="Y749" s="197"/>
      <c r="Z749" s="197"/>
      <c r="AA749" s="197"/>
      <c r="AB749" s="197"/>
      <c r="AC749" s="197"/>
      <c r="AD749" s="208"/>
      <c r="AE749" s="200"/>
      <c r="AF749" s="200"/>
    </row>
    <row r="750" spans="5:32" ht="15.75" x14ac:dyDescent="0.25">
      <c r="E750" s="261"/>
      <c r="F750" s="193"/>
      <c r="G750" s="194"/>
      <c r="H750" s="195"/>
      <c r="I750" s="202"/>
      <c r="O750" s="197"/>
      <c r="P750" s="197"/>
      <c r="Q750" s="197"/>
      <c r="R750" s="197"/>
      <c r="S750" s="197"/>
      <c r="T750" s="197"/>
      <c r="U750" s="197"/>
      <c r="V750" s="197"/>
      <c r="W750" s="197"/>
      <c r="X750" s="197"/>
      <c r="Y750" s="197"/>
      <c r="Z750" s="197"/>
      <c r="AA750" s="197"/>
      <c r="AB750" s="197"/>
      <c r="AC750" s="197"/>
      <c r="AD750" s="208"/>
      <c r="AE750" s="200"/>
      <c r="AF750" s="200"/>
    </row>
    <row r="751" spans="5:32" ht="15.75" x14ac:dyDescent="0.25">
      <c r="E751" s="261"/>
      <c r="F751" s="193"/>
      <c r="G751" s="194"/>
      <c r="H751" s="195"/>
      <c r="I751" s="202"/>
      <c r="O751" s="197"/>
      <c r="P751" s="197"/>
      <c r="Q751" s="197"/>
      <c r="R751" s="197"/>
      <c r="S751" s="197"/>
      <c r="T751" s="197"/>
      <c r="U751" s="197"/>
      <c r="V751" s="197"/>
      <c r="W751" s="197"/>
      <c r="X751" s="197"/>
      <c r="Y751" s="197"/>
      <c r="Z751" s="197"/>
      <c r="AA751" s="197"/>
      <c r="AB751" s="197"/>
      <c r="AC751" s="197"/>
      <c r="AD751" s="208"/>
      <c r="AE751" s="200"/>
      <c r="AF751" s="200"/>
    </row>
    <row r="752" spans="5:32" ht="15.75" x14ac:dyDescent="0.25">
      <c r="E752" s="261"/>
      <c r="F752" s="193"/>
      <c r="G752" s="194"/>
      <c r="H752" s="195"/>
      <c r="I752" s="202"/>
      <c r="O752" s="197"/>
      <c r="P752" s="197"/>
      <c r="Q752" s="197"/>
      <c r="R752" s="197"/>
      <c r="S752" s="197"/>
      <c r="T752" s="197"/>
      <c r="U752" s="197"/>
      <c r="V752" s="197"/>
      <c r="W752" s="197"/>
      <c r="X752" s="197"/>
      <c r="Y752" s="197"/>
      <c r="Z752" s="197"/>
      <c r="AA752" s="197"/>
      <c r="AB752" s="197"/>
      <c r="AC752" s="197"/>
      <c r="AD752" s="208"/>
      <c r="AE752" s="200"/>
      <c r="AF752" s="200"/>
    </row>
    <row r="753" spans="5:32" ht="15.75" x14ac:dyDescent="0.25">
      <c r="E753" s="261"/>
      <c r="F753" s="193"/>
      <c r="G753" s="194"/>
      <c r="H753" s="195"/>
      <c r="I753" s="202"/>
      <c r="O753" s="197"/>
      <c r="P753" s="197"/>
      <c r="Q753" s="197"/>
      <c r="R753" s="197"/>
      <c r="S753" s="197"/>
      <c r="T753" s="197"/>
      <c r="U753" s="197"/>
      <c r="V753" s="197"/>
      <c r="W753" s="197"/>
      <c r="X753" s="197"/>
      <c r="Y753" s="197"/>
      <c r="Z753" s="197"/>
      <c r="AA753" s="197"/>
      <c r="AB753" s="197"/>
      <c r="AC753" s="197"/>
      <c r="AD753" s="208"/>
      <c r="AE753" s="200"/>
      <c r="AF753" s="200"/>
    </row>
    <row r="754" spans="5:32" ht="15.75" x14ac:dyDescent="0.25">
      <c r="E754" s="261"/>
      <c r="F754" s="193"/>
      <c r="G754" s="194"/>
      <c r="H754" s="195"/>
      <c r="I754" s="202"/>
      <c r="O754" s="197"/>
      <c r="P754" s="197"/>
      <c r="Q754" s="197"/>
      <c r="R754" s="197"/>
      <c r="S754" s="197"/>
      <c r="T754" s="197"/>
      <c r="U754" s="197"/>
      <c r="V754" s="197"/>
      <c r="W754" s="197"/>
      <c r="X754" s="197"/>
      <c r="Y754" s="197"/>
      <c r="Z754" s="197"/>
      <c r="AA754" s="197"/>
      <c r="AB754" s="197"/>
      <c r="AC754" s="197"/>
      <c r="AD754" s="208"/>
      <c r="AE754" s="200"/>
      <c r="AF754" s="200"/>
    </row>
    <row r="755" spans="5:32" ht="15.75" x14ac:dyDescent="0.25">
      <c r="E755" s="261"/>
      <c r="F755" s="193"/>
      <c r="G755" s="194"/>
      <c r="H755" s="195"/>
      <c r="I755" s="202"/>
      <c r="O755" s="197"/>
      <c r="P755" s="197"/>
      <c r="Q755" s="197"/>
      <c r="R755" s="197"/>
      <c r="S755" s="197"/>
      <c r="T755" s="197"/>
      <c r="U755" s="197"/>
      <c r="V755" s="197"/>
      <c r="W755" s="197"/>
      <c r="X755" s="197"/>
      <c r="Y755" s="197"/>
      <c r="Z755" s="197"/>
      <c r="AA755" s="197"/>
      <c r="AB755" s="197"/>
      <c r="AC755" s="197"/>
      <c r="AD755" s="208"/>
      <c r="AE755" s="200"/>
      <c r="AF755" s="200"/>
    </row>
    <row r="756" spans="5:32" ht="15.75" x14ac:dyDescent="0.25">
      <c r="E756" s="261"/>
      <c r="F756" s="193"/>
      <c r="G756" s="194"/>
      <c r="H756" s="195"/>
      <c r="I756" s="202"/>
      <c r="O756" s="197"/>
      <c r="P756" s="197"/>
      <c r="Q756" s="197"/>
      <c r="R756" s="197"/>
      <c r="S756" s="197"/>
      <c r="T756" s="197"/>
      <c r="U756" s="197"/>
      <c r="V756" s="197"/>
      <c r="W756" s="197"/>
      <c r="X756" s="197"/>
      <c r="Y756" s="197"/>
      <c r="Z756" s="197"/>
      <c r="AA756" s="197"/>
      <c r="AB756" s="197"/>
      <c r="AC756" s="197"/>
      <c r="AD756" s="208"/>
      <c r="AE756" s="200"/>
      <c r="AF756" s="200"/>
    </row>
    <row r="757" spans="5:32" ht="15.75" x14ac:dyDescent="0.25">
      <c r="E757" s="261"/>
      <c r="F757" s="193"/>
      <c r="G757" s="194"/>
      <c r="H757" s="195"/>
      <c r="I757" s="202"/>
      <c r="O757" s="197"/>
      <c r="P757" s="197"/>
      <c r="Q757" s="197"/>
      <c r="R757" s="197"/>
      <c r="S757" s="197"/>
      <c r="T757" s="197"/>
      <c r="U757" s="197"/>
      <c r="V757" s="197"/>
      <c r="W757" s="197"/>
      <c r="X757" s="197"/>
      <c r="Y757" s="197"/>
      <c r="Z757" s="197"/>
      <c r="AA757" s="197"/>
      <c r="AB757" s="197"/>
      <c r="AC757" s="197"/>
      <c r="AD757" s="208"/>
      <c r="AE757" s="200"/>
      <c r="AF757" s="200"/>
    </row>
    <row r="758" spans="5:32" ht="15.75" x14ac:dyDescent="0.25">
      <c r="E758" s="261"/>
      <c r="F758" s="193"/>
      <c r="G758" s="194"/>
      <c r="H758" s="195"/>
      <c r="I758" s="202"/>
      <c r="O758" s="197"/>
      <c r="P758" s="197"/>
      <c r="Q758" s="197"/>
      <c r="R758" s="197"/>
      <c r="S758" s="197"/>
      <c r="T758" s="197"/>
      <c r="U758" s="197"/>
      <c r="V758" s="197"/>
      <c r="W758" s="197"/>
      <c r="X758" s="197"/>
      <c r="Y758" s="197"/>
      <c r="Z758" s="197"/>
      <c r="AA758" s="197"/>
      <c r="AB758" s="197"/>
      <c r="AC758" s="197"/>
      <c r="AD758" s="208"/>
      <c r="AE758" s="200"/>
      <c r="AF758" s="200"/>
    </row>
    <row r="759" spans="5:32" ht="15.75" x14ac:dyDescent="0.25">
      <c r="E759" s="261"/>
      <c r="F759" s="193"/>
      <c r="G759" s="194"/>
      <c r="H759" s="195"/>
      <c r="I759" s="202"/>
      <c r="O759" s="197"/>
      <c r="P759" s="197"/>
      <c r="Q759" s="197"/>
      <c r="R759" s="197"/>
      <c r="S759" s="197"/>
      <c r="T759" s="197"/>
      <c r="U759" s="197"/>
      <c r="V759" s="197"/>
      <c r="W759" s="197"/>
      <c r="X759" s="197"/>
      <c r="Y759" s="197"/>
      <c r="Z759" s="197"/>
      <c r="AA759" s="197"/>
      <c r="AB759" s="197"/>
      <c r="AC759" s="197"/>
      <c r="AD759" s="208"/>
      <c r="AE759" s="200"/>
      <c r="AF759" s="200"/>
    </row>
    <row r="760" spans="5:32" ht="15.75" x14ac:dyDescent="0.25">
      <c r="E760" s="261"/>
      <c r="F760" s="193"/>
      <c r="G760" s="194"/>
      <c r="H760" s="195"/>
      <c r="I760" s="202"/>
      <c r="O760" s="197"/>
      <c r="P760" s="197"/>
      <c r="Q760" s="197"/>
      <c r="R760" s="197"/>
      <c r="S760" s="197"/>
      <c r="T760" s="197"/>
      <c r="U760" s="197"/>
      <c r="V760" s="197"/>
      <c r="W760" s="197"/>
      <c r="X760" s="197"/>
      <c r="Y760" s="197"/>
      <c r="Z760" s="197"/>
      <c r="AA760" s="197"/>
      <c r="AB760" s="197"/>
      <c r="AC760" s="197"/>
      <c r="AD760" s="208"/>
      <c r="AE760" s="200"/>
      <c r="AF760" s="200"/>
    </row>
    <row r="761" spans="5:32" ht="15.75" x14ac:dyDescent="0.25">
      <c r="E761" s="261"/>
      <c r="F761" s="193"/>
      <c r="G761" s="194"/>
      <c r="H761" s="195"/>
      <c r="I761" s="202"/>
      <c r="O761" s="197"/>
      <c r="P761" s="197"/>
      <c r="Q761" s="197"/>
      <c r="R761" s="197"/>
      <c r="S761" s="197"/>
      <c r="T761" s="197"/>
      <c r="U761" s="197"/>
      <c r="V761" s="197"/>
      <c r="W761" s="197"/>
      <c r="X761" s="197"/>
      <c r="Y761" s="197"/>
      <c r="Z761" s="197"/>
      <c r="AA761" s="197"/>
      <c r="AB761" s="197"/>
      <c r="AC761" s="197"/>
      <c r="AD761" s="208"/>
      <c r="AE761" s="200"/>
      <c r="AF761" s="200"/>
    </row>
    <row r="762" spans="5:32" ht="15.75" x14ac:dyDescent="0.25">
      <c r="E762" s="261"/>
      <c r="F762" s="193"/>
      <c r="G762" s="194"/>
      <c r="H762" s="195"/>
      <c r="I762" s="202"/>
      <c r="O762" s="197"/>
      <c r="P762" s="197"/>
      <c r="Q762" s="197"/>
      <c r="R762" s="197"/>
      <c r="S762" s="197"/>
      <c r="T762" s="197"/>
      <c r="U762" s="197"/>
      <c r="V762" s="197"/>
      <c r="W762" s="197"/>
      <c r="X762" s="197"/>
      <c r="Y762" s="197"/>
      <c r="Z762" s="197"/>
      <c r="AA762" s="197"/>
      <c r="AB762" s="197"/>
      <c r="AC762" s="197"/>
      <c r="AD762" s="208"/>
      <c r="AE762" s="200"/>
      <c r="AF762" s="200"/>
    </row>
    <row r="763" spans="5:32" ht="15.75" x14ac:dyDescent="0.25">
      <c r="E763" s="261"/>
      <c r="F763" s="193"/>
      <c r="G763" s="194"/>
      <c r="H763" s="195"/>
      <c r="I763" s="202"/>
      <c r="O763" s="197"/>
      <c r="P763" s="197"/>
      <c r="Q763" s="197"/>
      <c r="R763" s="197"/>
      <c r="S763" s="197"/>
      <c r="T763" s="197"/>
      <c r="U763" s="197"/>
      <c r="V763" s="197"/>
      <c r="W763" s="197"/>
      <c r="X763" s="197"/>
      <c r="Y763" s="197"/>
      <c r="Z763" s="197"/>
      <c r="AA763" s="197"/>
      <c r="AB763" s="197"/>
      <c r="AC763" s="197"/>
      <c r="AD763" s="208"/>
      <c r="AE763" s="200"/>
      <c r="AF763" s="200"/>
    </row>
    <row r="764" spans="5:32" ht="15.75" x14ac:dyDescent="0.25">
      <c r="E764" s="261"/>
      <c r="F764" s="193"/>
      <c r="G764" s="194"/>
      <c r="H764" s="195"/>
      <c r="I764" s="202"/>
      <c r="O764" s="197"/>
      <c r="P764" s="197"/>
      <c r="Q764" s="197"/>
      <c r="R764" s="197"/>
      <c r="S764" s="197"/>
      <c r="T764" s="197"/>
      <c r="U764" s="197"/>
      <c r="V764" s="197"/>
      <c r="W764" s="197"/>
      <c r="X764" s="197"/>
      <c r="Y764" s="197"/>
      <c r="Z764" s="197"/>
      <c r="AA764" s="197"/>
      <c r="AB764" s="197"/>
      <c r="AC764" s="197"/>
      <c r="AD764" s="208"/>
      <c r="AE764" s="200"/>
      <c r="AF764" s="200"/>
    </row>
    <row r="765" spans="5:32" ht="15.75" x14ac:dyDescent="0.25">
      <c r="E765" s="261"/>
      <c r="F765" s="193"/>
      <c r="G765" s="194"/>
      <c r="H765" s="195"/>
      <c r="I765" s="202"/>
      <c r="O765" s="197"/>
      <c r="P765" s="197"/>
      <c r="Q765" s="197"/>
      <c r="R765" s="197"/>
      <c r="S765" s="197"/>
      <c r="T765" s="197"/>
      <c r="U765" s="197"/>
      <c r="V765" s="197"/>
      <c r="W765" s="197"/>
      <c r="X765" s="197"/>
      <c r="Y765" s="197"/>
      <c r="Z765" s="197"/>
      <c r="AA765" s="197"/>
      <c r="AB765" s="197"/>
      <c r="AC765" s="197"/>
      <c r="AD765" s="208"/>
      <c r="AE765" s="200"/>
      <c r="AF765" s="200"/>
    </row>
    <row r="766" spans="5:32" ht="15.75" x14ac:dyDescent="0.25">
      <c r="E766" s="261"/>
      <c r="F766" s="193"/>
      <c r="G766" s="194"/>
      <c r="H766" s="195"/>
      <c r="I766" s="202"/>
      <c r="O766" s="197"/>
      <c r="P766" s="197"/>
      <c r="Q766" s="197"/>
      <c r="R766" s="197"/>
      <c r="S766" s="197"/>
      <c r="T766" s="197"/>
      <c r="U766" s="197"/>
      <c r="V766" s="197"/>
      <c r="W766" s="197"/>
      <c r="X766" s="197"/>
      <c r="Y766" s="197"/>
      <c r="Z766" s="197"/>
      <c r="AA766" s="197"/>
      <c r="AB766" s="197"/>
      <c r="AC766" s="197"/>
      <c r="AD766" s="208"/>
      <c r="AE766" s="200"/>
      <c r="AF766" s="200"/>
    </row>
    <row r="767" spans="5:32" ht="15.75" x14ac:dyDescent="0.25">
      <c r="E767" s="261"/>
      <c r="F767" s="193"/>
      <c r="G767" s="194"/>
      <c r="H767" s="195"/>
      <c r="I767" s="202"/>
      <c r="O767" s="197"/>
      <c r="P767" s="197"/>
      <c r="Q767" s="197"/>
      <c r="R767" s="197"/>
      <c r="S767" s="197"/>
      <c r="T767" s="197"/>
      <c r="U767" s="197"/>
      <c r="V767" s="197"/>
      <c r="W767" s="197"/>
      <c r="X767" s="197"/>
      <c r="Y767" s="197"/>
      <c r="Z767" s="197"/>
      <c r="AA767" s="197"/>
      <c r="AB767" s="197"/>
      <c r="AC767" s="197"/>
      <c r="AD767" s="208"/>
      <c r="AE767" s="200"/>
      <c r="AF767" s="200"/>
    </row>
    <row r="768" spans="5:32" ht="15.75" x14ac:dyDescent="0.25">
      <c r="E768" s="261"/>
      <c r="F768" s="193"/>
      <c r="G768" s="194"/>
      <c r="H768" s="195"/>
      <c r="I768" s="202"/>
      <c r="O768" s="197"/>
      <c r="P768" s="197"/>
      <c r="Q768" s="197"/>
      <c r="R768" s="197"/>
      <c r="S768" s="197"/>
      <c r="T768" s="197"/>
      <c r="U768" s="197"/>
      <c r="V768" s="197"/>
      <c r="W768" s="197"/>
      <c r="X768" s="197"/>
      <c r="Y768" s="197"/>
      <c r="Z768" s="197"/>
      <c r="AA768" s="197"/>
      <c r="AB768" s="197"/>
      <c r="AC768" s="197"/>
      <c r="AD768" s="208"/>
      <c r="AE768" s="200"/>
      <c r="AF768" s="200"/>
    </row>
    <row r="769" spans="5:32" ht="15.75" x14ac:dyDescent="0.25">
      <c r="E769" s="261"/>
      <c r="F769" s="193"/>
      <c r="G769" s="194"/>
      <c r="H769" s="195"/>
      <c r="I769" s="202"/>
      <c r="O769" s="197"/>
      <c r="P769" s="197"/>
      <c r="Q769" s="197"/>
      <c r="R769" s="197"/>
      <c r="S769" s="197"/>
      <c r="T769" s="197"/>
      <c r="U769" s="197"/>
      <c r="V769" s="197"/>
      <c r="W769" s="197"/>
      <c r="X769" s="197"/>
      <c r="Y769" s="197"/>
      <c r="Z769" s="197"/>
      <c r="AA769" s="197"/>
      <c r="AB769" s="197"/>
      <c r="AC769" s="197"/>
      <c r="AD769" s="208"/>
      <c r="AE769" s="200"/>
      <c r="AF769" s="200"/>
    </row>
    <row r="770" spans="5:32" ht="15.75" x14ac:dyDescent="0.25">
      <c r="E770" s="261"/>
      <c r="F770" s="193"/>
      <c r="G770" s="194"/>
      <c r="H770" s="195"/>
      <c r="I770" s="202"/>
      <c r="O770" s="197"/>
      <c r="P770" s="197"/>
      <c r="Q770" s="197"/>
      <c r="R770" s="197"/>
      <c r="S770" s="197"/>
      <c r="T770" s="197"/>
      <c r="U770" s="197"/>
      <c r="V770" s="197"/>
      <c r="W770" s="197"/>
      <c r="X770" s="197"/>
      <c r="Y770" s="197"/>
      <c r="Z770" s="197"/>
      <c r="AA770" s="197"/>
      <c r="AB770" s="197"/>
      <c r="AC770" s="197"/>
      <c r="AD770" s="208"/>
      <c r="AE770" s="200"/>
      <c r="AF770" s="200"/>
    </row>
    <row r="771" spans="5:32" ht="15.75" x14ac:dyDescent="0.25">
      <c r="E771" s="261"/>
      <c r="F771" s="193"/>
      <c r="G771" s="194"/>
      <c r="H771" s="195"/>
      <c r="I771" s="202"/>
      <c r="O771" s="197"/>
      <c r="P771" s="197"/>
      <c r="Q771" s="197"/>
      <c r="R771" s="197"/>
      <c r="S771" s="197"/>
      <c r="T771" s="197"/>
      <c r="U771" s="197"/>
      <c r="V771" s="197"/>
      <c r="W771" s="197"/>
      <c r="X771" s="197"/>
      <c r="Y771" s="197"/>
      <c r="Z771" s="197"/>
      <c r="AA771" s="197"/>
      <c r="AB771" s="197"/>
      <c r="AC771" s="197"/>
      <c r="AD771" s="208"/>
      <c r="AE771" s="200"/>
      <c r="AF771" s="200"/>
    </row>
    <row r="772" spans="5:32" ht="15.75" x14ac:dyDescent="0.25">
      <c r="E772" s="261"/>
      <c r="F772" s="193"/>
      <c r="G772" s="194"/>
      <c r="H772" s="195"/>
      <c r="I772" s="202"/>
      <c r="O772" s="197"/>
      <c r="P772" s="197"/>
      <c r="Q772" s="197"/>
      <c r="R772" s="197"/>
      <c r="S772" s="197"/>
      <c r="T772" s="197"/>
      <c r="U772" s="197"/>
      <c r="V772" s="197"/>
      <c r="W772" s="197"/>
      <c r="X772" s="197"/>
      <c r="Y772" s="197"/>
      <c r="Z772" s="197"/>
      <c r="AA772" s="197"/>
      <c r="AB772" s="197"/>
      <c r="AC772" s="197"/>
      <c r="AD772" s="208"/>
      <c r="AE772" s="200"/>
      <c r="AF772" s="200"/>
    </row>
    <row r="773" spans="5:32" ht="15.75" x14ac:dyDescent="0.25">
      <c r="E773" s="261"/>
      <c r="F773" s="193"/>
      <c r="G773" s="194"/>
      <c r="H773" s="195"/>
      <c r="I773" s="202"/>
      <c r="O773" s="197"/>
      <c r="P773" s="197"/>
      <c r="Q773" s="197"/>
      <c r="R773" s="197"/>
      <c r="S773" s="197"/>
      <c r="T773" s="197"/>
      <c r="U773" s="197"/>
      <c r="V773" s="197"/>
      <c r="W773" s="197"/>
      <c r="X773" s="197"/>
      <c r="Y773" s="197"/>
      <c r="Z773" s="197"/>
      <c r="AA773" s="197"/>
      <c r="AB773" s="197"/>
      <c r="AC773" s="197"/>
      <c r="AD773" s="208"/>
      <c r="AE773" s="200"/>
      <c r="AF773" s="200"/>
    </row>
    <row r="774" spans="5:32" ht="15.75" x14ac:dyDescent="0.25">
      <c r="E774" s="261"/>
      <c r="F774" s="193"/>
      <c r="G774" s="194"/>
      <c r="H774" s="195"/>
      <c r="I774" s="202"/>
      <c r="O774" s="197"/>
      <c r="P774" s="197"/>
      <c r="Q774" s="197"/>
      <c r="R774" s="197"/>
      <c r="S774" s="197"/>
      <c r="T774" s="197"/>
      <c r="U774" s="197"/>
      <c r="V774" s="197"/>
      <c r="W774" s="197"/>
      <c r="X774" s="197"/>
      <c r="Y774" s="197"/>
      <c r="Z774" s="197"/>
      <c r="AA774" s="197"/>
      <c r="AB774" s="197"/>
      <c r="AC774" s="197"/>
      <c r="AD774" s="208"/>
      <c r="AE774" s="200"/>
      <c r="AF774" s="200"/>
    </row>
    <row r="775" spans="5:32" ht="15.75" x14ac:dyDescent="0.25">
      <c r="E775" s="261"/>
      <c r="F775" s="193"/>
      <c r="G775" s="194"/>
      <c r="H775" s="195"/>
      <c r="I775" s="202"/>
      <c r="O775" s="197"/>
      <c r="P775" s="197"/>
      <c r="Q775" s="197"/>
      <c r="R775" s="197"/>
      <c r="S775" s="197"/>
      <c r="T775" s="197"/>
      <c r="U775" s="197"/>
      <c r="V775" s="197"/>
      <c r="W775" s="197"/>
      <c r="X775" s="197"/>
      <c r="Y775" s="197"/>
      <c r="Z775" s="197"/>
      <c r="AA775" s="197"/>
      <c r="AB775" s="197"/>
      <c r="AC775" s="197"/>
      <c r="AD775" s="208"/>
      <c r="AE775" s="200"/>
      <c r="AF775" s="200"/>
    </row>
    <row r="776" spans="5:32" ht="15.75" x14ac:dyDescent="0.25">
      <c r="E776" s="261"/>
      <c r="F776" s="193"/>
      <c r="G776" s="194"/>
      <c r="H776" s="195"/>
      <c r="I776" s="202"/>
      <c r="O776" s="197"/>
      <c r="P776" s="197"/>
      <c r="Q776" s="197"/>
      <c r="R776" s="197"/>
      <c r="S776" s="197"/>
      <c r="T776" s="197"/>
      <c r="U776" s="197"/>
      <c r="V776" s="197"/>
      <c r="W776" s="197"/>
      <c r="X776" s="197"/>
      <c r="Y776" s="197"/>
      <c r="Z776" s="197"/>
      <c r="AA776" s="197"/>
      <c r="AB776" s="197"/>
      <c r="AC776" s="197"/>
      <c r="AD776" s="208"/>
      <c r="AE776" s="200"/>
      <c r="AF776" s="200"/>
    </row>
    <row r="777" spans="5:32" ht="15.75" x14ac:dyDescent="0.25">
      <c r="E777" s="261"/>
      <c r="F777" s="193"/>
      <c r="G777" s="194"/>
      <c r="H777" s="195"/>
      <c r="I777" s="202"/>
      <c r="O777" s="197"/>
      <c r="P777" s="197"/>
      <c r="Q777" s="197"/>
      <c r="R777" s="197"/>
      <c r="S777" s="197"/>
      <c r="T777" s="197"/>
      <c r="U777" s="197"/>
      <c r="V777" s="197"/>
      <c r="W777" s="197"/>
      <c r="X777" s="197"/>
      <c r="Y777" s="197"/>
      <c r="Z777" s="197"/>
      <c r="AA777" s="197"/>
      <c r="AB777" s="197"/>
      <c r="AC777" s="197"/>
      <c r="AD777" s="208"/>
      <c r="AE777" s="200"/>
      <c r="AF777" s="200"/>
    </row>
    <row r="778" spans="5:32" ht="15.75" x14ac:dyDescent="0.25">
      <c r="E778" s="261"/>
      <c r="F778" s="193"/>
      <c r="G778" s="194"/>
      <c r="H778" s="195"/>
      <c r="I778" s="202"/>
      <c r="O778" s="197"/>
      <c r="P778" s="197"/>
      <c r="Q778" s="197"/>
      <c r="R778" s="197"/>
      <c r="S778" s="197"/>
      <c r="T778" s="197"/>
      <c r="U778" s="197"/>
      <c r="V778" s="197"/>
      <c r="W778" s="197"/>
      <c r="X778" s="197"/>
      <c r="Y778" s="197"/>
      <c r="Z778" s="197"/>
      <c r="AA778" s="197"/>
      <c r="AB778" s="197"/>
      <c r="AC778" s="197"/>
      <c r="AD778" s="208"/>
      <c r="AE778" s="200"/>
      <c r="AF778" s="200"/>
    </row>
    <row r="779" spans="5:32" ht="15.75" x14ac:dyDescent="0.25">
      <c r="E779" s="261"/>
      <c r="F779" s="193"/>
      <c r="G779" s="194"/>
      <c r="H779" s="195"/>
      <c r="I779" s="202"/>
      <c r="O779" s="197"/>
      <c r="P779" s="197"/>
      <c r="Q779" s="197"/>
      <c r="R779" s="197"/>
      <c r="S779" s="197"/>
      <c r="T779" s="197"/>
      <c r="U779" s="197"/>
      <c r="V779" s="197"/>
      <c r="W779" s="197"/>
      <c r="X779" s="197"/>
      <c r="Y779" s="197"/>
      <c r="Z779" s="197"/>
      <c r="AA779" s="197"/>
      <c r="AB779" s="197"/>
      <c r="AC779" s="197"/>
      <c r="AD779" s="208"/>
      <c r="AE779" s="200"/>
      <c r="AF779" s="200"/>
    </row>
    <row r="780" spans="5:32" ht="15.75" x14ac:dyDescent="0.25">
      <c r="E780" s="261"/>
      <c r="F780" s="193"/>
      <c r="G780" s="194"/>
      <c r="H780" s="195"/>
      <c r="I780" s="202"/>
      <c r="O780" s="197"/>
      <c r="P780" s="197"/>
      <c r="Q780" s="197"/>
      <c r="R780" s="197"/>
      <c r="S780" s="197"/>
      <c r="T780" s="197"/>
      <c r="U780" s="197"/>
      <c r="V780" s="197"/>
      <c r="W780" s="197"/>
      <c r="X780" s="197"/>
      <c r="Y780" s="197"/>
      <c r="Z780" s="197"/>
      <c r="AA780" s="197"/>
      <c r="AB780" s="197"/>
      <c r="AC780" s="197"/>
      <c r="AD780" s="208"/>
      <c r="AE780" s="200"/>
      <c r="AF780" s="200"/>
    </row>
    <row r="781" spans="5:32" ht="15.75" x14ac:dyDescent="0.25">
      <c r="E781" s="261"/>
      <c r="F781" s="193"/>
      <c r="G781" s="194"/>
      <c r="H781" s="195"/>
      <c r="I781" s="202"/>
      <c r="O781" s="197"/>
      <c r="P781" s="197"/>
      <c r="Q781" s="197"/>
      <c r="R781" s="197"/>
      <c r="S781" s="197"/>
      <c r="T781" s="197"/>
      <c r="U781" s="197"/>
      <c r="V781" s="197"/>
      <c r="W781" s="197"/>
      <c r="X781" s="197"/>
      <c r="Y781" s="197"/>
      <c r="Z781" s="197"/>
      <c r="AA781" s="197"/>
      <c r="AB781" s="197"/>
      <c r="AC781" s="197"/>
      <c r="AD781" s="208"/>
      <c r="AE781" s="200"/>
      <c r="AF781" s="200"/>
    </row>
    <row r="782" spans="5:32" ht="15.75" x14ac:dyDescent="0.25">
      <c r="E782" s="261"/>
      <c r="F782" s="193"/>
      <c r="G782" s="194"/>
      <c r="H782" s="195"/>
      <c r="I782" s="202"/>
      <c r="O782" s="197"/>
      <c r="P782" s="197"/>
      <c r="Q782" s="197"/>
      <c r="R782" s="197"/>
      <c r="S782" s="197"/>
      <c r="T782" s="197"/>
      <c r="U782" s="197"/>
      <c r="V782" s="197"/>
      <c r="W782" s="197"/>
      <c r="X782" s="197"/>
      <c r="Y782" s="197"/>
      <c r="Z782" s="197"/>
      <c r="AA782" s="197"/>
      <c r="AB782" s="197"/>
      <c r="AC782" s="197"/>
      <c r="AD782" s="208"/>
      <c r="AE782" s="200"/>
      <c r="AF782" s="200"/>
    </row>
    <row r="783" spans="5:32" ht="15.75" x14ac:dyDescent="0.25">
      <c r="E783" s="261"/>
      <c r="F783" s="193"/>
      <c r="G783" s="194"/>
      <c r="H783" s="195"/>
      <c r="I783" s="202"/>
      <c r="O783" s="197"/>
      <c r="P783" s="197"/>
      <c r="Q783" s="197"/>
      <c r="R783" s="197"/>
      <c r="S783" s="197"/>
      <c r="T783" s="197"/>
      <c r="U783" s="197"/>
      <c r="V783" s="197"/>
      <c r="W783" s="197"/>
      <c r="X783" s="197"/>
      <c r="Y783" s="197"/>
      <c r="Z783" s="197"/>
      <c r="AA783" s="197"/>
      <c r="AB783" s="197"/>
      <c r="AC783" s="197"/>
      <c r="AD783" s="208"/>
      <c r="AE783" s="200"/>
      <c r="AF783" s="200"/>
    </row>
    <row r="784" spans="5:32" ht="15.75" x14ac:dyDescent="0.25">
      <c r="E784" s="262"/>
      <c r="F784" s="193"/>
      <c r="G784" s="194"/>
      <c r="H784" s="195"/>
      <c r="I784" s="206"/>
      <c r="O784" s="197"/>
      <c r="P784" s="207"/>
      <c r="Q784" s="207"/>
      <c r="R784" s="207"/>
      <c r="S784" s="197"/>
      <c r="T784" s="197"/>
      <c r="U784" s="197"/>
      <c r="V784" s="197"/>
      <c r="W784" s="197"/>
      <c r="X784" s="197"/>
      <c r="Y784" s="197"/>
      <c r="Z784" s="197"/>
      <c r="AA784" s="197"/>
      <c r="AB784" s="197"/>
      <c r="AC784" s="197"/>
      <c r="AD784" s="208"/>
      <c r="AE784" s="200"/>
      <c r="AF784" s="200"/>
    </row>
    <row r="785" spans="5:32" ht="15.75" x14ac:dyDescent="0.25">
      <c r="E785" s="261"/>
      <c r="F785" s="193"/>
      <c r="G785" s="194"/>
      <c r="H785" s="195"/>
      <c r="I785" s="202"/>
      <c r="O785" s="197"/>
      <c r="P785" s="197"/>
      <c r="Q785" s="197"/>
      <c r="R785" s="197"/>
      <c r="S785" s="197"/>
      <c r="T785" s="197"/>
      <c r="U785" s="197"/>
      <c r="V785" s="197"/>
      <c r="W785" s="197"/>
      <c r="X785" s="197"/>
      <c r="Y785" s="197"/>
      <c r="Z785" s="197"/>
      <c r="AA785" s="197"/>
      <c r="AB785" s="197"/>
      <c r="AC785" s="197"/>
      <c r="AD785" s="208"/>
      <c r="AE785" s="200"/>
      <c r="AF785" s="200"/>
    </row>
    <row r="786" spans="5:32" ht="15.75" x14ac:dyDescent="0.25">
      <c r="E786" s="262"/>
      <c r="F786" s="193"/>
      <c r="G786" s="194"/>
      <c r="H786" s="195"/>
      <c r="I786" s="206"/>
      <c r="O786" s="197"/>
      <c r="P786" s="207"/>
      <c r="Q786" s="207"/>
      <c r="R786" s="207"/>
      <c r="S786" s="197"/>
      <c r="T786" s="197"/>
      <c r="U786" s="197"/>
      <c r="V786" s="197"/>
      <c r="W786" s="197"/>
      <c r="X786" s="197"/>
      <c r="Y786" s="197"/>
      <c r="Z786" s="197"/>
      <c r="AA786" s="197"/>
      <c r="AB786" s="197"/>
      <c r="AC786" s="197"/>
      <c r="AD786" s="208"/>
      <c r="AE786" s="200"/>
      <c r="AF786" s="200"/>
    </row>
    <row r="787" spans="5:32" ht="15.75" x14ac:dyDescent="0.25">
      <c r="E787" s="261"/>
      <c r="F787" s="193"/>
      <c r="G787" s="194"/>
      <c r="H787" s="195"/>
      <c r="I787" s="202"/>
      <c r="O787" s="197"/>
      <c r="P787" s="197"/>
      <c r="Q787" s="197"/>
      <c r="R787" s="197"/>
      <c r="S787" s="197"/>
      <c r="T787" s="197"/>
      <c r="U787" s="197"/>
      <c r="V787" s="197"/>
      <c r="W787" s="197"/>
      <c r="X787" s="197"/>
      <c r="Y787" s="197"/>
      <c r="Z787" s="197"/>
      <c r="AA787" s="197"/>
      <c r="AB787" s="197"/>
      <c r="AC787" s="197"/>
      <c r="AD787" s="208"/>
      <c r="AE787" s="200"/>
      <c r="AF787" s="200"/>
    </row>
    <row r="788" spans="5:32" ht="15.75" x14ac:dyDescent="0.25">
      <c r="E788" s="261"/>
      <c r="F788" s="193"/>
      <c r="G788" s="194"/>
      <c r="H788" s="195"/>
      <c r="I788" s="202"/>
      <c r="O788" s="197"/>
      <c r="P788" s="197"/>
      <c r="Q788" s="197"/>
      <c r="R788" s="197"/>
      <c r="S788" s="197"/>
      <c r="T788" s="197"/>
      <c r="U788" s="197"/>
      <c r="V788" s="197"/>
      <c r="W788" s="197"/>
      <c r="X788" s="197"/>
      <c r="Y788" s="197"/>
      <c r="Z788" s="197"/>
      <c r="AA788" s="197"/>
      <c r="AB788" s="197"/>
      <c r="AC788" s="197"/>
      <c r="AD788" s="208"/>
      <c r="AE788" s="200"/>
      <c r="AF788" s="200"/>
    </row>
    <row r="789" spans="5:32" ht="15.75" x14ac:dyDescent="0.25">
      <c r="E789" s="261"/>
      <c r="F789" s="193"/>
      <c r="G789" s="194"/>
      <c r="H789" s="195"/>
      <c r="I789" s="202"/>
      <c r="O789" s="197"/>
      <c r="P789" s="197"/>
      <c r="Q789" s="197"/>
      <c r="R789" s="197"/>
      <c r="S789" s="197"/>
      <c r="T789" s="197"/>
      <c r="U789" s="197"/>
      <c r="V789" s="197"/>
      <c r="W789" s="197"/>
      <c r="X789" s="197"/>
      <c r="Y789" s="197"/>
      <c r="Z789" s="197"/>
      <c r="AA789" s="197"/>
      <c r="AB789" s="197"/>
      <c r="AC789" s="197"/>
      <c r="AD789" s="208"/>
      <c r="AE789" s="200"/>
      <c r="AF789" s="200"/>
    </row>
    <row r="790" spans="5:32" ht="15.75" x14ac:dyDescent="0.25">
      <c r="E790" s="261"/>
      <c r="F790" s="193"/>
      <c r="G790" s="194"/>
      <c r="H790" s="195"/>
      <c r="I790" s="202"/>
      <c r="O790" s="197"/>
      <c r="P790" s="197"/>
      <c r="Q790" s="197"/>
      <c r="R790" s="197"/>
      <c r="S790" s="197"/>
      <c r="T790" s="197"/>
      <c r="U790" s="197"/>
      <c r="V790" s="197"/>
      <c r="W790" s="197"/>
      <c r="X790" s="197"/>
      <c r="Y790" s="197"/>
      <c r="Z790" s="197"/>
      <c r="AA790" s="197"/>
      <c r="AB790" s="197"/>
      <c r="AC790" s="197"/>
      <c r="AD790" s="208"/>
      <c r="AE790" s="200"/>
      <c r="AF790" s="200"/>
    </row>
    <row r="791" spans="5:32" ht="15.75" x14ac:dyDescent="0.25">
      <c r="E791" s="261"/>
      <c r="F791" s="193"/>
      <c r="G791" s="194"/>
      <c r="H791" s="195"/>
      <c r="I791" s="202"/>
      <c r="O791" s="197"/>
      <c r="P791" s="197"/>
      <c r="Q791" s="197"/>
      <c r="R791" s="197"/>
      <c r="S791" s="197"/>
      <c r="T791" s="197"/>
      <c r="U791" s="197"/>
      <c r="V791" s="197"/>
      <c r="W791" s="197"/>
      <c r="X791" s="197"/>
      <c r="Y791" s="197"/>
      <c r="Z791" s="197"/>
      <c r="AA791" s="197"/>
      <c r="AB791" s="197"/>
      <c r="AC791" s="197"/>
      <c r="AD791" s="208"/>
      <c r="AE791" s="200"/>
      <c r="AF791" s="200"/>
    </row>
    <row r="792" spans="5:32" ht="15.75" x14ac:dyDescent="0.25">
      <c r="E792" s="261"/>
      <c r="F792" s="193"/>
      <c r="G792" s="194"/>
      <c r="H792" s="195"/>
      <c r="I792" s="202"/>
      <c r="O792" s="197"/>
      <c r="P792" s="197"/>
      <c r="Q792" s="197"/>
      <c r="R792" s="197"/>
      <c r="S792" s="197"/>
      <c r="T792" s="197"/>
      <c r="U792" s="197"/>
      <c r="V792" s="197"/>
      <c r="W792" s="197"/>
      <c r="X792" s="197"/>
      <c r="Y792" s="197"/>
      <c r="Z792" s="197"/>
      <c r="AA792" s="197"/>
      <c r="AB792" s="197"/>
      <c r="AC792" s="197"/>
      <c r="AD792" s="208"/>
      <c r="AE792" s="200"/>
      <c r="AF792" s="200"/>
    </row>
    <row r="793" spans="5:32" ht="15.75" x14ac:dyDescent="0.25">
      <c r="E793" s="261"/>
      <c r="F793" s="193"/>
      <c r="G793" s="194"/>
      <c r="H793" s="195"/>
      <c r="I793" s="202"/>
      <c r="O793" s="197"/>
      <c r="P793" s="197"/>
      <c r="Q793" s="197"/>
      <c r="R793" s="197"/>
      <c r="S793" s="197"/>
      <c r="T793" s="197"/>
      <c r="U793" s="197"/>
      <c r="V793" s="197"/>
      <c r="W793" s="197"/>
      <c r="X793" s="197"/>
      <c r="Y793" s="197"/>
      <c r="Z793" s="197"/>
      <c r="AA793" s="197"/>
      <c r="AB793" s="197"/>
      <c r="AC793" s="197"/>
      <c r="AD793" s="208"/>
      <c r="AE793" s="200"/>
      <c r="AF793" s="200"/>
    </row>
    <row r="794" spans="5:32" ht="15.75" x14ac:dyDescent="0.25">
      <c r="E794" s="261"/>
      <c r="F794" s="193"/>
      <c r="G794" s="194"/>
      <c r="H794" s="195"/>
      <c r="I794" s="202"/>
      <c r="O794" s="197"/>
      <c r="P794" s="197"/>
      <c r="Q794" s="197"/>
      <c r="R794" s="197"/>
      <c r="S794" s="197"/>
      <c r="T794" s="197"/>
      <c r="U794" s="197"/>
      <c r="V794" s="197"/>
      <c r="W794" s="197"/>
      <c r="X794" s="197"/>
      <c r="Y794" s="197"/>
      <c r="Z794" s="197"/>
      <c r="AA794" s="197"/>
      <c r="AB794" s="197"/>
      <c r="AC794" s="197"/>
      <c r="AD794" s="208"/>
      <c r="AE794" s="200"/>
      <c r="AF794" s="200"/>
    </row>
    <row r="795" spans="5:32" ht="15.75" x14ac:dyDescent="0.25">
      <c r="E795" s="261"/>
      <c r="F795" s="193"/>
      <c r="G795" s="194"/>
      <c r="H795" s="195"/>
      <c r="I795" s="202"/>
      <c r="O795" s="197"/>
      <c r="P795" s="197"/>
      <c r="Q795" s="197"/>
      <c r="R795" s="197"/>
      <c r="S795" s="197"/>
      <c r="T795" s="197"/>
      <c r="U795" s="197"/>
      <c r="V795" s="197"/>
      <c r="W795" s="197"/>
      <c r="X795" s="197"/>
      <c r="Y795" s="197"/>
      <c r="Z795" s="197"/>
      <c r="AA795" s="197"/>
      <c r="AB795" s="197"/>
      <c r="AC795" s="197"/>
      <c r="AD795" s="208"/>
      <c r="AE795" s="200"/>
      <c r="AF795" s="200"/>
    </row>
    <row r="796" spans="5:32" ht="15.75" x14ac:dyDescent="0.25">
      <c r="E796" s="261"/>
      <c r="F796" s="193"/>
      <c r="G796" s="194"/>
      <c r="H796" s="195"/>
      <c r="I796" s="202"/>
      <c r="O796" s="197"/>
      <c r="P796" s="197"/>
      <c r="Q796" s="197"/>
      <c r="R796" s="197"/>
      <c r="S796" s="197"/>
      <c r="T796" s="197"/>
      <c r="U796" s="197"/>
      <c r="V796" s="197"/>
      <c r="W796" s="197"/>
      <c r="X796" s="197"/>
      <c r="Y796" s="197"/>
      <c r="Z796" s="197"/>
      <c r="AA796" s="197"/>
      <c r="AB796" s="197"/>
      <c r="AC796" s="197"/>
      <c r="AD796" s="208"/>
      <c r="AE796" s="200"/>
      <c r="AF796" s="200"/>
    </row>
    <row r="797" spans="5:32" ht="15.75" x14ac:dyDescent="0.25">
      <c r="E797" s="261"/>
      <c r="F797" s="193"/>
      <c r="G797" s="194"/>
      <c r="H797" s="195"/>
      <c r="I797" s="202"/>
      <c r="O797" s="197"/>
      <c r="P797" s="197"/>
      <c r="Q797" s="197"/>
      <c r="R797" s="197"/>
      <c r="S797" s="197"/>
      <c r="T797" s="197"/>
      <c r="U797" s="197"/>
      <c r="V797" s="197"/>
      <c r="W797" s="197"/>
      <c r="X797" s="197"/>
      <c r="Y797" s="197"/>
      <c r="Z797" s="197"/>
      <c r="AA797" s="197"/>
      <c r="AB797" s="197"/>
      <c r="AC797" s="197"/>
      <c r="AD797" s="208"/>
      <c r="AE797" s="200"/>
      <c r="AF797" s="200"/>
    </row>
    <row r="798" spans="5:32" ht="15.75" x14ac:dyDescent="0.25">
      <c r="E798" s="261"/>
      <c r="F798" s="193"/>
      <c r="G798" s="194"/>
      <c r="H798" s="195"/>
      <c r="I798" s="202"/>
      <c r="O798" s="197"/>
      <c r="P798" s="197"/>
      <c r="Q798" s="197"/>
      <c r="R798" s="197"/>
      <c r="S798" s="197"/>
      <c r="T798" s="197"/>
      <c r="U798" s="197"/>
      <c r="V798" s="197"/>
      <c r="W798" s="197"/>
      <c r="X798" s="197"/>
      <c r="Y798" s="197"/>
      <c r="Z798" s="197"/>
      <c r="AA798" s="197"/>
      <c r="AB798" s="197"/>
      <c r="AC798" s="197"/>
      <c r="AD798" s="208"/>
      <c r="AE798" s="200"/>
      <c r="AF798" s="200"/>
    </row>
    <row r="799" spans="5:32" ht="15.75" x14ac:dyDescent="0.25">
      <c r="E799" s="261"/>
      <c r="F799" s="193"/>
      <c r="G799" s="194"/>
      <c r="H799" s="195"/>
      <c r="I799" s="202"/>
      <c r="O799" s="197"/>
      <c r="P799" s="197"/>
      <c r="Q799" s="197"/>
      <c r="R799" s="197"/>
      <c r="S799" s="197"/>
      <c r="T799" s="197"/>
      <c r="U799" s="197"/>
      <c r="V799" s="197"/>
      <c r="W799" s="197"/>
      <c r="X799" s="197"/>
      <c r="Y799" s="197"/>
      <c r="Z799" s="197"/>
      <c r="AA799" s="197"/>
      <c r="AB799" s="197"/>
      <c r="AC799" s="197"/>
      <c r="AD799" s="208"/>
      <c r="AE799" s="200"/>
      <c r="AF799" s="200"/>
    </row>
    <row r="800" spans="5:32" ht="15.75" x14ac:dyDescent="0.25">
      <c r="E800" s="261"/>
      <c r="F800" s="193"/>
      <c r="G800" s="194"/>
      <c r="H800" s="195"/>
      <c r="I800" s="202"/>
      <c r="O800" s="197"/>
      <c r="P800" s="197"/>
      <c r="Q800" s="197"/>
      <c r="R800" s="197"/>
      <c r="S800" s="197"/>
      <c r="T800" s="197"/>
      <c r="U800" s="197"/>
      <c r="V800" s="197"/>
      <c r="W800" s="197"/>
      <c r="X800" s="197"/>
      <c r="Y800" s="197"/>
      <c r="Z800" s="197"/>
      <c r="AA800" s="197"/>
      <c r="AB800" s="197"/>
      <c r="AC800" s="197"/>
      <c r="AD800" s="208"/>
      <c r="AE800" s="200"/>
      <c r="AF800" s="200"/>
    </row>
    <row r="801" spans="5:32" ht="15.75" x14ac:dyDescent="0.25">
      <c r="E801" s="261"/>
      <c r="F801" s="193"/>
      <c r="G801" s="194"/>
      <c r="H801" s="195"/>
      <c r="I801" s="202"/>
      <c r="O801" s="197"/>
      <c r="P801" s="197"/>
      <c r="Q801" s="197"/>
      <c r="R801" s="197"/>
      <c r="S801" s="197"/>
      <c r="T801" s="197"/>
      <c r="U801" s="197"/>
      <c r="V801" s="197"/>
      <c r="W801" s="197"/>
      <c r="X801" s="197"/>
      <c r="Y801" s="197"/>
      <c r="Z801" s="197"/>
      <c r="AA801" s="197"/>
      <c r="AB801" s="197"/>
      <c r="AC801" s="197"/>
      <c r="AD801" s="208"/>
      <c r="AE801" s="200"/>
      <c r="AF801" s="200"/>
    </row>
    <row r="802" spans="5:32" ht="15.75" x14ac:dyDescent="0.25">
      <c r="E802" s="261"/>
      <c r="F802" s="193"/>
      <c r="G802" s="194"/>
      <c r="H802" s="195"/>
      <c r="I802" s="202"/>
      <c r="O802" s="197"/>
      <c r="P802" s="197"/>
      <c r="Q802" s="197"/>
      <c r="R802" s="197"/>
      <c r="S802" s="197"/>
      <c r="T802" s="197"/>
      <c r="U802" s="197"/>
      <c r="V802" s="197"/>
      <c r="W802" s="197"/>
      <c r="X802" s="197"/>
      <c r="Y802" s="197"/>
      <c r="Z802" s="197"/>
      <c r="AA802" s="197"/>
      <c r="AB802" s="197"/>
      <c r="AC802" s="197"/>
      <c r="AD802" s="208"/>
      <c r="AE802" s="200"/>
      <c r="AF802" s="200"/>
    </row>
    <row r="803" spans="5:32" ht="15.75" x14ac:dyDescent="0.25">
      <c r="E803" s="261"/>
      <c r="F803" s="193"/>
      <c r="G803" s="194"/>
      <c r="H803" s="195"/>
      <c r="I803" s="202"/>
      <c r="O803" s="197"/>
      <c r="P803" s="197"/>
      <c r="Q803" s="197"/>
      <c r="R803" s="197"/>
      <c r="S803" s="197"/>
      <c r="T803" s="197"/>
      <c r="U803" s="197"/>
      <c r="V803" s="197"/>
      <c r="W803" s="197"/>
      <c r="X803" s="197"/>
      <c r="Y803" s="197"/>
      <c r="Z803" s="197"/>
      <c r="AA803" s="197"/>
      <c r="AB803" s="197"/>
      <c r="AC803" s="197"/>
      <c r="AD803" s="208"/>
      <c r="AE803" s="200"/>
      <c r="AF803" s="200"/>
    </row>
    <row r="804" spans="5:32" ht="15.75" x14ac:dyDescent="0.25">
      <c r="E804" s="261"/>
      <c r="F804" s="193"/>
      <c r="G804" s="194"/>
      <c r="H804" s="195"/>
      <c r="I804" s="202"/>
      <c r="O804" s="197"/>
      <c r="P804" s="197"/>
      <c r="Q804" s="197"/>
      <c r="R804" s="197"/>
      <c r="S804" s="197"/>
      <c r="T804" s="197"/>
      <c r="U804" s="197"/>
      <c r="V804" s="197"/>
      <c r="W804" s="197"/>
      <c r="X804" s="197"/>
      <c r="Y804" s="197"/>
      <c r="Z804" s="197"/>
      <c r="AA804" s="197"/>
      <c r="AB804" s="197"/>
      <c r="AC804" s="197"/>
      <c r="AD804" s="208"/>
      <c r="AE804" s="200"/>
      <c r="AF804" s="200"/>
    </row>
    <row r="805" spans="5:32" ht="15.75" x14ac:dyDescent="0.25">
      <c r="E805" s="261"/>
      <c r="F805" s="193"/>
      <c r="G805" s="194"/>
      <c r="H805" s="195"/>
      <c r="I805" s="202"/>
      <c r="O805" s="197"/>
      <c r="P805" s="197"/>
      <c r="Q805" s="197"/>
      <c r="R805" s="197"/>
      <c r="S805" s="197"/>
      <c r="T805" s="197"/>
      <c r="U805" s="197"/>
      <c r="V805" s="197"/>
      <c r="W805" s="197"/>
      <c r="X805" s="197"/>
      <c r="Y805" s="197"/>
      <c r="Z805" s="197"/>
      <c r="AA805" s="197"/>
      <c r="AB805" s="197"/>
      <c r="AC805" s="197"/>
      <c r="AD805" s="208"/>
      <c r="AE805" s="200"/>
      <c r="AF805" s="200"/>
    </row>
    <row r="806" spans="5:32" ht="15.75" x14ac:dyDescent="0.25">
      <c r="E806" s="261"/>
      <c r="F806" s="193"/>
      <c r="G806" s="194"/>
      <c r="H806" s="195"/>
      <c r="I806" s="202"/>
      <c r="O806" s="197"/>
      <c r="P806" s="197"/>
      <c r="Q806" s="197"/>
      <c r="R806" s="197"/>
      <c r="S806" s="197"/>
      <c r="T806" s="197"/>
      <c r="U806" s="197"/>
      <c r="V806" s="197"/>
      <c r="W806" s="197"/>
      <c r="X806" s="197"/>
      <c r="Y806" s="197"/>
      <c r="Z806" s="197"/>
      <c r="AA806" s="197"/>
      <c r="AB806" s="197"/>
      <c r="AC806" s="197"/>
      <c r="AD806" s="208"/>
      <c r="AE806" s="200"/>
      <c r="AF806" s="200"/>
    </row>
    <row r="807" spans="5:32" ht="15.75" x14ac:dyDescent="0.25">
      <c r="E807" s="261"/>
      <c r="F807" s="193"/>
      <c r="G807" s="194"/>
      <c r="H807" s="195"/>
      <c r="I807" s="202"/>
      <c r="O807" s="197"/>
      <c r="P807" s="197"/>
      <c r="Q807" s="197"/>
      <c r="R807" s="197"/>
      <c r="S807" s="197"/>
      <c r="T807" s="197"/>
      <c r="U807" s="197"/>
      <c r="V807" s="197"/>
      <c r="W807" s="197"/>
      <c r="X807" s="197"/>
      <c r="Y807" s="197"/>
      <c r="Z807" s="197"/>
      <c r="AA807" s="197"/>
      <c r="AB807" s="197"/>
      <c r="AC807" s="197"/>
      <c r="AD807" s="208"/>
      <c r="AE807" s="200"/>
      <c r="AF807" s="200"/>
    </row>
    <row r="808" spans="5:32" ht="15.75" x14ac:dyDescent="0.25">
      <c r="E808" s="261"/>
      <c r="F808" s="193"/>
      <c r="G808" s="194"/>
      <c r="H808" s="195"/>
      <c r="I808" s="202"/>
      <c r="O808" s="197"/>
      <c r="P808" s="197"/>
      <c r="Q808" s="197"/>
      <c r="R808" s="197"/>
      <c r="S808" s="197"/>
      <c r="T808" s="197"/>
      <c r="U808" s="197"/>
      <c r="V808" s="197"/>
      <c r="W808" s="197"/>
      <c r="X808" s="197"/>
      <c r="Y808" s="197"/>
      <c r="Z808" s="197"/>
      <c r="AA808" s="197"/>
      <c r="AB808" s="197"/>
      <c r="AC808" s="197"/>
      <c r="AD808" s="208"/>
      <c r="AE808" s="200"/>
      <c r="AF808" s="200"/>
    </row>
    <row r="809" spans="5:32" ht="15.75" x14ac:dyDescent="0.25">
      <c r="E809" s="261"/>
      <c r="F809" s="193"/>
      <c r="G809" s="194"/>
      <c r="H809" s="195"/>
      <c r="I809" s="202"/>
      <c r="O809" s="197"/>
      <c r="P809" s="197"/>
      <c r="Q809" s="197"/>
      <c r="R809" s="197"/>
      <c r="S809" s="197"/>
      <c r="T809" s="197"/>
      <c r="U809" s="197"/>
      <c r="V809" s="197"/>
      <c r="W809" s="197"/>
      <c r="X809" s="197"/>
      <c r="Y809" s="197"/>
      <c r="Z809" s="197"/>
      <c r="AA809" s="197"/>
      <c r="AB809" s="197"/>
      <c r="AC809" s="197"/>
      <c r="AD809" s="208"/>
      <c r="AE809" s="200"/>
      <c r="AF809" s="200"/>
    </row>
    <row r="810" spans="5:32" ht="15.75" x14ac:dyDescent="0.25">
      <c r="E810" s="261"/>
      <c r="F810" s="193"/>
      <c r="G810" s="194"/>
      <c r="H810" s="195"/>
      <c r="I810" s="202"/>
      <c r="O810" s="197"/>
      <c r="P810" s="197"/>
      <c r="Q810" s="197"/>
      <c r="R810" s="197"/>
      <c r="S810" s="197"/>
      <c r="T810" s="197"/>
      <c r="U810" s="197"/>
      <c r="V810" s="197"/>
      <c r="W810" s="197"/>
      <c r="X810" s="197"/>
      <c r="Y810" s="197"/>
      <c r="Z810" s="197"/>
      <c r="AA810" s="197"/>
      <c r="AB810" s="197"/>
      <c r="AC810" s="197"/>
      <c r="AD810" s="208"/>
      <c r="AE810" s="200"/>
      <c r="AF810" s="200"/>
    </row>
    <row r="811" spans="5:32" ht="15.75" x14ac:dyDescent="0.25">
      <c r="E811" s="261"/>
      <c r="F811" s="193"/>
      <c r="G811" s="194"/>
      <c r="H811" s="195"/>
      <c r="I811" s="202"/>
      <c r="O811" s="197"/>
      <c r="P811" s="197"/>
      <c r="Q811" s="197"/>
      <c r="R811" s="197"/>
      <c r="S811" s="197"/>
      <c r="T811" s="197"/>
      <c r="U811" s="197"/>
      <c r="V811" s="197"/>
      <c r="W811" s="197"/>
      <c r="X811" s="197"/>
      <c r="Y811" s="197"/>
      <c r="Z811" s="197"/>
      <c r="AA811" s="197"/>
      <c r="AB811" s="197"/>
      <c r="AC811" s="197"/>
      <c r="AD811" s="208"/>
      <c r="AE811" s="200"/>
      <c r="AF811" s="200"/>
    </row>
    <row r="812" spans="5:32" ht="15.75" x14ac:dyDescent="0.25">
      <c r="E812" s="261"/>
      <c r="F812" s="193"/>
      <c r="G812" s="194"/>
      <c r="H812" s="195"/>
      <c r="I812" s="202"/>
      <c r="O812" s="197"/>
      <c r="P812" s="197"/>
      <c r="Q812" s="197"/>
      <c r="R812" s="197"/>
      <c r="S812" s="197"/>
      <c r="T812" s="197"/>
      <c r="U812" s="197"/>
      <c r="V812" s="197"/>
      <c r="W812" s="197"/>
      <c r="X812" s="197"/>
      <c r="Y812" s="197"/>
      <c r="Z812" s="197"/>
      <c r="AA812" s="197"/>
      <c r="AB812" s="197"/>
      <c r="AC812" s="197"/>
      <c r="AD812" s="208"/>
      <c r="AE812" s="200"/>
      <c r="AF812" s="200"/>
    </row>
    <row r="813" spans="5:32" ht="15.75" x14ac:dyDescent="0.25">
      <c r="E813" s="261"/>
      <c r="F813" s="193"/>
      <c r="G813" s="194"/>
      <c r="H813" s="195"/>
      <c r="I813" s="202"/>
      <c r="O813" s="197"/>
      <c r="P813" s="197"/>
      <c r="Q813" s="197"/>
      <c r="R813" s="197"/>
      <c r="S813" s="197"/>
      <c r="T813" s="197"/>
      <c r="U813" s="197"/>
      <c r="V813" s="197"/>
      <c r="W813" s="197"/>
      <c r="X813" s="197"/>
      <c r="Y813" s="197"/>
      <c r="Z813" s="197"/>
      <c r="AA813" s="197"/>
      <c r="AB813" s="197"/>
      <c r="AC813" s="197"/>
      <c r="AD813" s="208"/>
      <c r="AE813" s="200"/>
      <c r="AF813" s="200"/>
    </row>
    <row r="814" spans="5:32" ht="15.75" x14ac:dyDescent="0.25">
      <c r="E814" s="261"/>
      <c r="F814" s="193"/>
      <c r="G814" s="194"/>
      <c r="H814" s="195"/>
      <c r="I814" s="202"/>
      <c r="O814" s="197"/>
      <c r="P814" s="197"/>
      <c r="Q814" s="197"/>
      <c r="R814" s="197"/>
      <c r="S814" s="197"/>
      <c r="T814" s="197"/>
      <c r="U814" s="197"/>
      <c r="V814" s="197"/>
      <c r="W814" s="197"/>
      <c r="X814" s="197"/>
      <c r="Y814" s="197"/>
      <c r="Z814" s="197"/>
      <c r="AA814" s="197"/>
      <c r="AB814" s="197"/>
      <c r="AC814" s="197"/>
      <c r="AD814" s="208"/>
      <c r="AE814" s="200"/>
      <c r="AF814" s="200"/>
    </row>
    <row r="815" spans="5:32" ht="15.75" x14ac:dyDescent="0.25">
      <c r="E815" s="261"/>
      <c r="F815" s="193"/>
      <c r="G815" s="194"/>
      <c r="H815" s="195"/>
      <c r="I815" s="202"/>
      <c r="O815" s="197"/>
      <c r="P815" s="197"/>
      <c r="Q815" s="197"/>
      <c r="R815" s="197"/>
      <c r="S815" s="197"/>
      <c r="T815" s="197"/>
      <c r="U815" s="197"/>
      <c r="V815" s="197"/>
      <c r="W815" s="197"/>
      <c r="X815" s="197"/>
      <c r="Y815" s="197"/>
      <c r="Z815" s="197"/>
      <c r="AA815" s="197"/>
      <c r="AB815" s="197"/>
      <c r="AC815" s="197"/>
      <c r="AD815" s="208"/>
      <c r="AE815" s="200"/>
      <c r="AF815" s="200"/>
    </row>
    <row r="816" spans="5:32" ht="15.75" x14ac:dyDescent="0.25">
      <c r="E816" s="261"/>
      <c r="F816" s="193"/>
      <c r="G816" s="194"/>
      <c r="H816" s="195"/>
      <c r="I816" s="202"/>
      <c r="O816" s="197"/>
      <c r="P816" s="197"/>
      <c r="Q816" s="197"/>
      <c r="R816" s="197"/>
      <c r="S816" s="197"/>
      <c r="T816" s="197"/>
      <c r="U816" s="197"/>
      <c r="V816" s="197"/>
      <c r="W816" s="197"/>
      <c r="X816" s="197"/>
      <c r="Y816" s="197"/>
      <c r="Z816" s="197"/>
      <c r="AA816" s="197"/>
      <c r="AB816" s="197"/>
      <c r="AC816" s="197"/>
      <c r="AD816" s="208"/>
      <c r="AE816" s="200"/>
      <c r="AF816" s="200"/>
    </row>
    <row r="817" spans="5:32" ht="15.75" x14ac:dyDescent="0.25">
      <c r="E817" s="261"/>
      <c r="F817" s="193"/>
      <c r="G817" s="194"/>
      <c r="H817" s="195"/>
      <c r="I817" s="202"/>
      <c r="O817" s="197"/>
      <c r="P817" s="197"/>
      <c r="Q817" s="197"/>
      <c r="R817" s="197"/>
      <c r="S817" s="197"/>
      <c r="T817" s="197"/>
      <c r="U817" s="197"/>
      <c r="V817" s="197"/>
      <c r="W817" s="197"/>
      <c r="X817" s="197"/>
      <c r="Y817" s="197"/>
      <c r="Z817" s="197"/>
      <c r="AA817" s="197"/>
      <c r="AB817" s="197"/>
      <c r="AC817" s="197"/>
      <c r="AD817" s="208"/>
      <c r="AE817" s="200"/>
      <c r="AF817" s="200"/>
    </row>
    <row r="818" spans="5:32" ht="15.75" x14ac:dyDescent="0.25">
      <c r="E818" s="261"/>
      <c r="F818" s="193"/>
      <c r="G818" s="194"/>
      <c r="H818" s="195"/>
      <c r="I818" s="202"/>
      <c r="O818" s="197"/>
      <c r="P818" s="197"/>
      <c r="Q818" s="197"/>
      <c r="R818" s="197"/>
      <c r="S818" s="197"/>
      <c r="T818" s="197"/>
      <c r="U818" s="197"/>
      <c r="V818" s="197"/>
      <c r="W818" s="197"/>
      <c r="X818" s="197"/>
      <c r="Y818" s="197"/>
      <c r="Z818" s="197"/>
      <c r="AA818" s="197"/>
      <c r="AB818" s="197"/>
      <c r="AC818" s="197"/>
      <c r="AD818" s="208"/>
      <c r="AE818" s="200"/>
      <c r="AF818" s="200"/>
    </row>
    <row r="819" spans="5:32" ht="15.75" x14ac:dyDescent="0.25">
      <c r="E819" s="261"/>
      <c r="F819" s="193"/>
      <c r="G819" s="194"/>
      <c r="H819" s="195"/>
      <c r="I819" s="202"/>
      <c r="O819" s="197"/>
      <c r="P819" s="197"/>
      <c r="Q819" s="197"/>
      <c r="R819" s="197"/>
      <c r="S819" s="197"/>
      <c r="T819" s="197"/>
      <c r="U819" s="197"/>
      <c r="V819" s="197"/>
      <c r="W819" s="197"/>
      <c r="X819" s="197"/>
      <c r="Y819" s="197"/>
      <c r="Z819" s="197"/>
      <c r="AA819" s="197"/>
      <c r="AB819" s="197"/>
      <c r="AC819" s="197"/>
      <c r="AD819" s="208"/>
      <c r="AE819" s="200"/>
      <c r="AF819" s="200"/>
    </row>
    <row r="820" spans="5:32" ht="15.75" x14ac:dyDescent="0.25">
      <c r="E820" s="261"/>
      <c r="F820" s="193"/>
      <c r="G820" s="194"/>
      <c r="H820" s="195"/>
      <c r="I820" s="202"/>
      <c r="O820" s="197"/>
      <c r="P820" s="197"/>
      <c r="Q820" s="197"/>
      <c r="R820" s="197"/>
      <c r="S820" s="197"/>
      <c r="T820" s="197"/>
      <c r="U820" s="197"/>
      <c r="V820" s="197"/>
      <c r="W820" s="197"/>
      <c r="X820" s="197"/>
      <c r="Y820" s="197"/>
      <c r="Z820" s="197"/>
      <c r="AA820" s="197"/>
      <c r="AB820" s="197"/>
      <c r="AC820" s="197"/>
      <c r="AD820" s="208"/>
      <c r="AE820" s="200"/>
      <c r="AF820" s="200"/>
    </row>
    <row r="821" spans="5:32" ht="15.75" x14ac:dyDescent="0.25">
      <c r="E821" s="261"/>
      <c r="F821" s="193"/>
      <c r="G821" s="194"/>
      <c r="H821" s="195"/>
      <c r="I821" s="202"/>
      <c r="O821" s="197"/>
      <c r="P821" s="197"/>
      <c r="Q821" s="197"/>
      <c r="R821" s="197"/>
      <c r="S821" s="197"/>
      <c r="T821" s="197"/>
      <c r="U821" s="197"/>
      <c r="V821" s="197"/>
      <c r="W821" s="197"/>
      <c r="X821" s="197"/>
      <c r="Y821" s="197"/>
      <c r="Z821" s="197"/>
      <c r="AA821" s="197"/>
      <c r="AB821" s="197"/>
      <c r="AC821" s="197"/>
      <c r="AD821" s="208"/>
      <c r="AE821" s="200"/>
      <c r="AF821" s="200"/>
    </row>
    <row r="822" spans="5:32" ht="15.75" x14ac:dyDescent="0.25">
      <c r="E822" s="261"/>
      <c r="F822" s="193"/>
      <c r="G822" s="194"/>
      <c r="H822" s="195"/>
      <c r="I822" s="202"/>
      <c r="O822" s="197"/>
      <c r="P822" s="197"/>
      <c r="Q822" s="197"/>
      <c r="R822" s="197"/>
      <c r="S822" s="197"/>
      <c r="T822" s="197"/>
      <c r="U822" s="197"/>
      <c r="V822" s="197"/>
      <c r="W822" s="197"/>
      <c r="X822" s="197"/>
      <c r="Y822" s="197"/>
      <c r="Z822" s="197"/>
      <c r="AA822" s="197"/>
      <c r="AB822" s="197"/>
      <c r="AC822" s="197"/>
      <c r="AD822" s="208"/>
      <c r="AE822" s="200"/>
      <c r="AF822" s="200"/>
    </row>
    <row r="823" spans="5:32" ht="15.75" x14ac:dyDescent="0.25">
      <c r="E823" s="261"/>
      <c r="F823" s="193"/>
      <c r="G823" s="194"/>
      <c r="H823" s="195"/>
      <c r="I823" s="202"/>
      <c r="O823" s="197"/>
      <c r="P823" s="197"/>
      <c r="Q823" s="197"/>
      <c r="R823" s="197"/>
      <c r="S823" s="197"/>
      <c r="T823" s="197"/>
      <c r="U823" s="197"/>
      <c r="V823" s="197"/>
      <c r="W823" s="197"/>
      <c r="X823" s="197"/>
      <c r="Y823" s="197"/>
      <c r="Z823" s="197"/>
      <c r="AA823" s="197"/>
      <c r="AB823" s="197"/>
      <c r="AC823" s="197"/>
      <c r="AD823" s="208"/>
      <c r="AE823" s="200"/>
      <c r="AF823" s="200"/>
    </row>
    <row r="824" spans="5:32" ht="15.75" x14ac:dyDescent="0.25">
      <c r="E824" s="261"/>
      <c r="F824" s="193"/>
      <c r="G824" s="194"/>
      <c r="H824" s="195"/>
      <c r="I824" s="202"/>
      <c r="O824" s="197"/>
      <c r="P824" s="197"/>
      <c r="Q824" s="197"/>
      <c r="R824" s="197"/>
      <c r="S824" s="197"/>
      <c r="T824" s="197"/>
      <c r="U824" s="197"/>
      <c r="V824" s="197"/>
      <c r="W824" s="197"/>
      <c r="X824" s="197"/>
      <c r="Y824" s="197"/>
      <c r="Z824" s="197"/>
      <c r="AA824" s="197"/>
      <c r="AB824" s="197"/>
      <c r="AC824" s="197"/>
      <c r="AD824" s="208"/>
      <c r="AE824" s="200"/>
      <c r="AF824" s="200"/>
    </row>
    <row r="825" spans="5:32" ht="15.75" x14ac:dyDescent="0.25">
      <c r="E825" s="261"/>
      <c r="F825" s="193"/>
      <c r="G825" s="194"/>
      <c r="H825" s="195"/>
      <c r="I825" s="202"/>
      <c r="O825" s="197"/>
      <c r="P825" s="197"/>
      <c r="Q825" s="197"/>
      <c r="R825" s="197"/>
      <c r="S825" s="197"/>
      <c r="T825" s="197"/>
      <c r="U825" s="197"/>
      <c r="V825" s="197"/>
      <c r="W825" s="197"/>
      <c r="X825" s="197"/>
      <c r="Y825" s="197"/>
      <c r="Z825" s="197"/>
      <c r="AA825" s="197"/>
      <c r="AB825" s="197"/>
      <c r="AC825" s="197"/>
      <c r="AD825" s="208"/>
      <c r="AE825" s="200"/>
      <c r="AF825" s="200"/>
    </row>
    <row r="826" spans="5:32" ht="15.75" x14ac:dyDescent="0.25">
      <c r="E826" s="261"/>
      <c r="F826" s="193"/>
      <c r="G826" s="194"/>
      <c r="H826" s="195"/>
      <c r="I826" s="202"/>
      <c r="O826" s="197"/>
      <c r="P826" s="197"/>
      <c r="Q826" s="197"/>
      <c r="R826" s="197"/>
      <c r="S826" s="197"/>
      <c r="T826" s="197"/>
      <c r="U826" s="197"/>
      <c r="V826" s="197"/>
      <c r="W826" s="197"/>
      <c r="X826" s="197"/>
      <c r="Y826" s="197"/>
      <c r="Z826" s="197"/>
      <c r="AA826" s="197"/>
      <c r="AB826" s="197"/>
      <c r="AC826" s="197"/>
      <c r="AD826" s="208"/>
      <c r="AE826" s="200"/>
      <c r="AF826" s="200"/>
    </row>
    <row r="827" spans="5:32" ht="15.75" x14ac:dyDescent="0.25">
      <c r="E827" s="261"/>
      <c r="F827" s="193"/>
      <c r="G827" s="194"/>
      <c r="H827" s="195"/>
      <c r="I827" s="202"/>
      <c r="O827" s="197"/>
      <c r="P827" s="197"/>
      <c r="Q827" s="197"/>
      <c r="R827" s="197"/>
      <c r="S827" s="197"/>
      <c r="T827" s="197"/>
      <c r="U827" s="197"/>
      <c r="V827" s="197"/>
      <c r="W827" s="197"/>
      <c r="X827" s="197"/>
      <c r="Y827" s="197"/>
      <c r="Z827" s="197"/>
      <c r="AA827" s="197"/>
      <c r="AB827" s="197"/>
      <c r="AC827" s="197"/>
      <c r="AD827" s="208"/>
      <c r="AE827" s="200"/>
      <c r="AF827" s="200"/>
    </row>
    <row r="828" spans="5:32" ht="15.75" x14ac:dyDescent="0.25">
      <c r="E828" s="261"/>
      <c r="F828" s="193"/>
      <c r="G828" s="194"/>
      <c r="H828" s="195"/>
      <c r="I828" s="202"/>
      <c r="O828" s="197"/>
      <c r="P828" s="197"/>
      <c r="Q828" s="197"/>
      <c r="R828" s="197"/>
      <c r="S828" s="197"/>
      <c r="T828" s="197"/>
      <c r="U828" s="197"/>
      <c r="V828" s="197"/>
      <c r="W828" s="197"/>
      <c r="X828" s="197"/>
      <c r="Y828" s="197"/>
      <c r="Z828" s="197"/>
      <c r="AA828" s="197"/>
      <c r="AB828" s="197"/>
      <c r="AC828" s="197"/>
      <c r="AD828" s="208"/>
      <c r="AE828" s="200"/>
      <c r="AF828" s="200"/>
    </row>
    <row r="829" spans="5:32" ht="15.75" x14ac:dyDescent="0.25">
      <c r="E829" s="261"/>
      <c r="F829" s="193"/>
      <c r="G829" s="194"/>
      <c r="H829" s="195"/>
      <c r="I829" s="202"/>
      <c r="O829" s="197"/>
      <c r="P829" s="197"/>
      <c r="Q829" s="197"/>
      <c r="R829" s="197"/>
      <c r="S829" s="197"/>
      <c r="T829" s="197"/>
      <c r="U829" s="197"/>
      <c r="V829" s="197"/>
      <c r="W829" s="197"/>
      <c r="X829" s="197"/>
      <c r="Y829" s="197"/>
      <c r="Z829" s="197"/>
      <c r="AA829" s="197"/>
      <c r="AB829" s="197"/>
      <c r="AC829" s="197"/>
      <c r="AD829" s="208"/>
      <c r="AE829" s="200"/>
      <c r="AF829" s="200"/>
    </row>
    <row r="830" spans="5:32" ht="15.75" x14ac:dyDescent="0.25">
      <c r="E830" s="261"/>
      <c r="F830" s="193"/>
      <c r="G830" s="194"/>
      <c r="H830" s="195"/>
      <c r="I830" s="202"/>
      <c r="O830" s="197"/>
      <c r="P830" s="197"/>
      <c r="Q830" s="197"/>
      <c r="R830" s="197"/>
      <c r="S830" s="197"/>
      <c r="T830" s="197"/>
      <c r="U830" s="197"/>
      <c r="V830" s="197"/>
      <c r="W830" s="197"/>
      <c r="X830" s="197"/>
      <c r="Y830" s="197"/>
      <c r="Z830" s="197"/>
      <c r="AA830" s="197"/>
      <c r="AB830" s="197"/>
      <c r="AC830" s="197"/>
      <c r="AD830" s="208"/>
      <c r="AE830" s="200"/>
      <c r="AF830" s="200"/>
    </row>
    <row r="831" spans="5:32" ht="15.75" x14ac:dyDescent="0.25">
      <c r="E831" s="261"/>
      <c r="F831" s="193"/>
      <c r="G831" s="194"/>
      <c r="H831" s="195"/>
      <c r="I831" s="202"/>
      <c r="O831" s="197"/>
      <c r="P831" s="197"/>
      <c r="Q831" s="197"/>
      <c r="R831" s="197"/>
      <c r="S831" s="197"/>
      <c r="T831" s="197"/>
      <c r="U831" s="197"/>
      <c r="V831" s="197"/>
      <c r="W831" s="197"/>
      <c r="X831" s="197"/>
      <c r="Y831" s="197"/>
      <c r="Z831" s="197"/>
      <c r="AA831" s="197"/>
      <c r="AB831" s="197"/>
      <c r="AC831" s="197"/>
      <c r="AD831" s="208"/>
      <c r="AE831" s="200"/>
      <c r="AF831" s="200"/>
    </row>
    <row r="832" spans="5:32" ht="15.75" x14ac:dyDescent="0.25">
      <c r="E832" s="261"/>
      <c r="F832" s="193"/>
      <c r="G832" s="194"/>
      <c r="H832" s="195"/>
      <c r="I832" s="202"/>
      <c r="O832" s="197"/>
      <c r="P832" s="197"/>
      <c r="Q832" s="197"/>
      <c r="R832" s="197"/>
      <c r="S832" s="197"/>
      <c r="T832" s="197"/>
      <c r="U832" s="197"/>
      <c r="V832" s="197"/>
      <c r="W832" s="197"/>
      <c r="X832" s="197"/>
      <c r="Y832" s="197"/>
      <c r="Z832" s="197"/>
      <c r="AA832" s="197"/>
      <c r="AB832" s="197"/>
      <c r="AC832" s="197"/>
      <c r="AD832" s="208"/>
      <c r="AE832" s="200"/>
      <c r="AF832" s="200"/>
    </row>
    <row r="833" spans="5:32" ht="15.75" x14ac:dyDescent="0.25">
      <c r="E833" s="261"/>
      <c r="F833" s="193"/>
      <c r="G833" s="194"/>
      <c r="H833" s="195"/>
      <c r="I833" s="202"/>
      <c r="O833" s="197"/>
      <c r="P833" s="197"/>
      <c r="Q833" s="197"/>
      <c r="R833" s="197"/>
      <c r="S833" s="197"/>
      <c r="T833" s="197"/>
      <c r="U833" s="197"/>
      <c r="V833" s="197"/>
      <c r="W833" s="197"/>
      <c r="X833" s="197"/>
      <c r="Y833" s="197"/>
      <c r="Z833" s="197"/>
      <c r="AA833" s="197"/>
      <c r="AB833" s="197"/>
      <c r="AC833" s="197"/>
      <c r="AD833" s="208"/>
      <c r="AE833" s="200"/>
      <c r="AF833" s="200"/>
    </row>
    <row r="834" spans="5:32" ht="15.75" x14ac:dyDescent="0.25">
      <c r="E834" s="261"/>
      <c r="F834" s="193"/>
      <c r="G834" s="194"/>
      <c r="H834" s="195"/>
      <c r="I834" s="202"/>
      <c r="O834" s="197"/>
      <c r="P834" s="197"/>
      <c r="Q834" s="197"/>
      <c r="R834" s="197"/>
      <c r="S834" s="197"/>
      <c r="T834" s="197"/>
      <c r="U834" s="197"/>
      <c r="V834" s="197"/>
      <c r="W834" s="197"/>
      <c r="X834" s="197"/>
      <c r="Y834" s="197"/>
      <c r="Z834" s="197"/>
      <c r="AA834" s="197"/>
      <c r="AB834" s="197"/>
      <c r="AC834" s="197"/>
      <c r="AD834" s="208"/>
      <c r="AE834" s="200"/>
      <c r="AF834" s="200"/>
    </row>
    <row r="835" spans="5:32" ht="15.75" x14ac:dyDescent="0.25">
      <c r="E835" s="261"/>
      <c r="F835" s="193"/>
      <c r="G835" s="194"/>
      <c r="H835" s="195"/>
      <c r="I835" s="202"/>
      <c r="O835" s="197"/>
      <c r="P835" s="197"/>
      <c r="Q835" s="197"/>
      <c r="R835" s="197"/>
      <c r="S835" s="197"/>
      <c r="T835" s="197"/>
      <c r="U835" s="197"/>
      <c r="V835" s="197"/>
      <c r="W835" s="197"/>
      <c r="X835" s="197"/>
      <c r="Y835" s="197"/>
      <c r="Z835" s="197"/>
      <c r="AA835" s="197"/>
      <c r="AB835" s="197"/>
      <c r="AC835" s="197"/>
      <c r="AD835" s="208"/>
      <c r="AE835" s="200"/>
      <c r="AF835" s="200"/>
    </row>
    <row r="836" spans="5:32" ht="15.75" x14ac:dyDescent="0.25">
      <c r="E836" s="261"/>
      <c r="F836" s="193"/>
      <c r="G836" s="194"/>
      <c r="H836" s="195"/>
      <c r="I836" s="202"/>
      <c r="O836" s="197"/>
      <c r="P836" s="197"/>
      <c r="Q836" s="197"/>
      <c r="R836" s="197"/>
      <c r="S836" s="197"/>
      <c r="T836" s="197"/>
      <c r="U836" s="197"/>
      <c r="V836" s="197"/>
      <c r="W836" s="197"/>
      <c r="X836" s="197"/>
      <c r="Y836" s="197"/>
      <c r="Z836" s="197"/>
      <c r="AA836" s="197"/>
      <c r="AB836" s="197"/>
      <c r="AC836" s="197"/>
      <c r="AD836" s="208"/>
      <c r="AE836" s="200"/>
      <c r="AF836" s="200"/>
    </row>
    <row r="837" spans="5:32" ht="15.75" x14ac:dyDescent="0.25">
      <c r="E837" s="261"/>
      <c r="F837" s="193"/>
      <c r="G837" s="194"/>
      <c r="H837" s="195"/>
      <c r="I837" s="202"/>
      <c r="O837" s="197"/>
      <c r="P837" s="197"/>
      <c r="Q837" s="197"/>
      <c r="R837" s="197"/>
      <c r="S837" s="197"/>
      <c r="T837" s="197"/>
      <c r="U837" s="197"/>
      <c r="V837" s="197"/>
      <c r="W837" s="197"/>
      <c r="X837" s="197"/>
      <c r="Y837" s="197"/>
      <c r="Z837" s="197"/>
      <c r="AA837" s="197"/>
      <c r="AB837" s="197"/>
      <c r="AC837" s="197"/>
      <c r="AD837" s="208"/>
      <c r="AE837" s="200"/>
      <c r="AF837" s="200"/>
    </row>
    <row r="838" spans="5:32" ht="15.75" x14ac:dyDescent="0.25">
      <c r="E838" s="261"/>
      <c r="F838" s="193"/>
      <c r="G838" s="194"/>
      <c r="H838" s="195"/>
      <c r="I838" s="202"/>
      <c r="O838" s="197"/>
      <c r="P838" s="197"/>
      <c r="Q838" s="197"/>
      <c r="R838" s="197"/>
      <c r="S838" s="197"/>
      <c r="T838" s="197"/>
      <c r="U838" s="197"/>
      <c r="V838" s="197"/>
      <c r="W838" s="197"/>
      <c r="X838" s="197"/>
      <c r="Y838" s="197"/>
      <c r="Z838" s="197"/>
      <c r="AA838" s="197"/>
      <c r="AB838" s="197"/>
      <c r="AC838" s="197"/>
      <c r="AD838" s="208"/>
      <c r="AE838" s="200"/>
      <c r="AF838" s="200"/>
    </row>
    <row r="839" spans="5:32" ht="15.75" x14ac:dyDescent="0.25">
      <c r="E839" s="261"/>
      <c r="F839" s="193"/>
      <c r="G839" s="194"/>
      <c r="H839" s="195"/>
      <c r="I839" s="202"/>
      <c r="O839" s="197"/>
      <c r="P839" s="197"/>
      <c r="Q839" s="197"/>
      <c r="R839" s="197"/>
      <c r="S839" s="197"/>
      <c r="T839" s="197"/>
      <c r="U839" s="197"/>
      <c r="V839" s="197"/>
      <c r="W839" s="197"/>
      <c r="X839" s="197"/>
      <c r="Y839" s="197"/>
      <c r="Z839" s="197"/>
      <c r="AA839" s="197"/>
      <c r="AB839" s="197"/>
      <c r="AC839" s="197"/>
      <c r="AD839" s="208"/>
      <c r="AE839" s="200"/>
      <c r="AF839" s="200"/>
    </row>
    <row r="840" spans="5:32" ht="15.75" x14ac:dyDescent="0.25">
      <c r="E840" s="261"/>
      <c r="F840" s="193"/>
      <c r="G840" s="194"/>
      <c r="H840" s="195"/>
      <c r="I840" s="202"/>
      <c r="O840" s="197"/>
      <c r="P840" s="197"/>
      <c r="Q840" s="197"/>
      <c r="R840" s="197"/>
      <c r="S840" s="197"/>
      <c r="T840" s="197"/>
      <c r="U840" s="197"/>
      <c r="V840" s="197"/>
      <c r="W840" s="197"/>
      <c r="X840" s="197"/>
      <c r="Y840" s="197"/>
      <c r="Z840" s="197"/>
      <c r="AA840" s="197"/>
      <c r="AB840" s="197"/>
      <c r="AC840" s="197"/>
      <c r="AD840" s="208"/>
      <c r="AE840" s="200"/>
      <c r="AF840" s="200"/>
    </row>
    <row r="841" spans="5:32" ht="15.75" x14ac:dyDescent="0.25">
      <c r="E841" s="261"/>
      <c r="F841" s="193"/>
      <c r="G841" s="194"/>
      <c r="H841" s="195"/>
      <c r="I841" s="202"/>
      <c r="O841" s="197"/>
      <c r="P841" s="197"/>
      <c r="Q841" s="197"/>
      <c r="R841" s="197"/>
      <c r="S841" s="197"/>
      <c r="T841" s="197"/>
      <c r="U841" s="197"/>
      <c r="V841" s="197"/>
      <c r="W841" s="197"/>
      <c r="X841" s="197"/>
      <c r="Y841" s="197"/>
      <c r="Z841" s="197"/>
      <c r="AA841" s="197"/>
      <c r="AB841" s="197"/>
      <c r="AC841" s="197"/>
      <c r="AD841" s="208"/>
      <c r="AE841" s="200"/>
      <c r="AF841" s="200"/>
    </row>
    <row r="842" spans="5:32" ht="15.75" x14ac:dyDescent="0.25">
      <c r="E842" s="261"/>
      <c r="F842" s="193"/>
      <c r="G842" s="194"/>
      <c r="H842" s="195"/>
      <c r="I842" s="202"/>
      <c r="O842" s="197"/>
      <c r="P842" s="197"/>
      <c r="Q842" s="197"/>
      <c r="R842" s="197"/>
      <c r="S842" s="197"/>
      <c r="T842" s="197"/>
      <c r="U842" s="197"/>
      <c r="V842" s="197"/>
      <c r="W842" s="197"/>
      <c r="X842" s="197"/>
      <c r="Y842" s="197"/>
      <c r="Z842" s="197"/>
      <c r="AA842" s="197"/>
      <c r="AB842" s="197"/>
      <c r="AC842" s="197"/>
      <c r="AD842" s="208"/>
      <c r="AE842" s="200"/>
      <c r="AF842" s="200"/>
    </row>
    <row r="843" spans="5:32" ht="15.75" x14ac:dyDescent="0.25">
      <c r="E843" s="261"/>
      <c r="F843" s="193"/>
      <c r="G843" s="194"/>
      <c r="H843" s="195"/>
      <c r="I843" s="202"/>
      <c r="O843" s="197"/>
      <c r="P843" s="197"/>
      <c r="Q843" s="197"/>
      <c r="R843" s="197"/>
      <c r="S843" s="197"/>
      <c r="T843" s="197"/>
      <c r="U843" s="197"/>
      <c r="V843" s="197"/>
      <c r="W843" s="197"/>
      <c r="X843" s="197"/>
      <c r="Y843" s="197"/>
      <c r="Z843" s="197"/>
      <c r="AA843" s="197"/>
      <c r="AB843" s="197"/>
      <c r="AC843" s="197"/>
      <c r="AD843" s="208"/>
      <c r="AE843" s="200"/>
      <c r="AF843" s="200"/>
    </row>
    <row r="844" spans="5:32" ht="15.75" x14ac:dyDescent="0.25">
      <c r="E844" s="261"/>
      <c r="F844" s="193"/>
      <c r="G844" s="194"/>
      <c r="H844" s="195"/>
      <c r="I844" s="202"/>
      <c r="O844" s="197"/>
      <c r="P844" s="197"/>
      <c r="Q844" s="197"/>
      <c r="R844" s="197"/>
      <c r="S844" s="197"/>
      <c r="T844" s="197"/>
      <c r="U844" s="197"/>
      <c r="V844" s="197"/>
      <c r="W844" s="197"/>
      <c r="X844" s="197"/>
      <c r="Y844" s="197"/>
      <c r="Z844" s="197"/>
      <c r="AA844" s="197"/>
      <c r="AB844" s="197"/>
      <c r="AC844" s="197"/>
      <c r="AD844" s="208"/>
      <c r="AE844" s="200"/>
      <c r="AF844" s="200"/>
    </row>
    <row r="845" spans="5:32" ht="15.75" x14ac:dyDescent="0.25">
      <c r="E845" s="261"/>
      <c r="F845" s="193"/>
      <c r="G845" s="194"/>
      <c r="H845" s="195"/>
      <c r="I845" s="202"/>
      <c r="O845" s="197"/>
      <c r="P845" s="197"/>
      <c r="Q845" s="197"/>
      <c r="R845" s="197"/>
      <c r="S845" s="197"/>
      <c r="T845" s="197"/>
      <c r="U845" s="197"/>
      <c r="V845" s="197"/>
      <c r="W845" s="197"/>
      <c r="X845" s="197"/>
      <c r="Y845" s="197"/>
      <c r="Z845" s="197"/>
      <c r="AA845" s="197"/>
      <c r="AB845" s="197"/>
      <c r="AC845" s="197"/>
      <c r="AD845" s="208"/>
      <c r="AE845" s="200"/>
      <c r="AF845" s="200"/>
    </row>
    <row r="846" spans="5:32" ht="15.75" x14ac:dyDescent="0.25">
      <c r="E846" s="261"/>
      <c r="F846" s="193"/>
      <c r="G846" s="194"/>
      <c r="H846" s="195"/>
      <c r="I846" s="202"/>
      <c r="O846" s="197"/>
      <c r="P846" s="197"/>
      <c r="Q846" s="197"/>
      <c r="R846" s="197"/>
      <c r="S846" s="197"/>
      <c r="T846" s="197"/>
      <c r="U846" s="197"/>
      <c r="V846" s="197"/>
      <c r="W846" s="197"/>
      <c r="X846" s="197"/>
      <c r="Y846" s="197"/>
      <c r="Z846" s="197"/>
      <c r="AA846" s="197"/>
      <c r="AB846" s="197"/>
      <c r="AC846" s="197"/>
      <c r="AD846" s="208"/>
      <c r="AE846" s="200"/>
      <c r="AF846" s="200"/>
    </row>
    <row r="847" spans="5:32" ht="15.75" x14ac:dyDescent="0.25">
      <c r="E847" s="261"/>
      <c r="F847" s="193"/>
      <c r="G847" s="194"/>
      <c r="H847" s="195"/>
      <c r="I847" s="202"/>
      <c r="O847" s="197"/>
      <c r="P847" s="197"/>
      <c r="Q847" s="197"/>
      <c r="R847" s="197"/>
      <c r="S847" s="197"/>
      <c r="T847" s="197"/>
      <c r="U847" s="197"/>
      <c r="V847" s="197"/>
      <c r="W847" s="197"/>
      <c r="X847" s="197"/>
      <c r="Y847" s="197"/>
      <c r="Z847" s="197"/>
      <c r="AA847" s="197"/>
      <c r="AB847" s="197"/>
      <c r="AC847" s="197"/>
      <c r="AD847" s="208"/>
      <c r="AE847" s="200"/>
      <c r="AF847" s="200"/>
    </row>
    <row r="848" spans="5:32" ht="15.75" x14ac:dyDescent="0.25">
      <c r="E848" s="261"/>
      <c r="F848" s="193"/>
      <c r="G848" s="194"/>
      <c r="H848" s="195"/>
      <c r="I848" s="202"/>
      <c r="O848" s="197"/>
      <c r="P848" s="197"/>
      <c r="Q848" s="197"/>
      <c r="R848" s="197"/>
      <c r="S848" s="197"/>
      <c r="T848" s="197"/>
      <c r="U848" s="197"/>
      <c r="V848" s="197"/>
      <c r="W848" s="197"/>
      <c r="X848" s="197"/>
      <c r="Y848" s="197"/>
      <c r="Z848" s="197"/>
      <c r="AA848" s="197"/>
      <c r="AB848" s="197"/>
      <c r="AC848" s="197"/>
      <c r="AD848" s="208"/>
      <c r="AE848" s="200"/>
      <c r="AF848" s="200"/>
    </row>
    <row r="849" spans="5:32" ht="15.75" x14ac:dyDescent="0.25">
      <c r="E849" s="261"/>
      <c r="F849" s="193"/>
      <c r="G849" s="194"/>
      <c r="H849" s="195"/>
      <c r="I849" s="202"/>
      <c r="O849" s="197"/>
      <c r="P849" s="197"/>
      <c r="Q849" s="197"/>
      <c r="R849" s="197"/>
      <c r="S849" s="197"/>
      <c r="T849" s="197"/>
      <c r="U849" s="197"/>
      <c r="V849" s="197"/>
      <c r="W849" s="197"/>
      <c r="X849" s="197"/>
      <c r="Y849" s="197"/>
      <c r="Z849" s="197"/>
      <c r="AA849" s="197"/>
      <c r="AB849" s="197"/>
      <c r="AC849" s="197"/>
      <c r="AD849" s="208"/>
      <c r="AE849" s="200"/>
      <c r="AF849" s="200"/>
    </row>
    <row r="850" spans="5:32" ht="15.75" x14ac:dyDescent="0.25">
      <c r="E850" s="261"/>
      <c r="F850" s="193"/>
      <c r="G850" s="194"/>
      <c r="H850" s="195"/>
      <c r="I850" s="202"/>
      <c r="O850" s="197"/>
      <c r="P850" s="197"/>
      <c r="Q850" s="197"/>
      <c r="R850" s="197"/>
      <c r="S850" s="197"/>
      <c r="T850" s="197"/>
      <c r="U850" s="197"/>
      <c r="V850" s="197"/>
      <c r="W850" s="197"/>
      <c r="X850" s="197"/>
      <c r="Y850" s="197"/>
      <c r="Z850" s="197"/>
      <c r="AA850" s="197"/>
      <c r="AB850" s="197"/>
      <c r="AC850" s="197"/>
      <c r="AD850" s="208"/>
      <c r="AE850" s="200"/>
      <c r="AF850" s="200"/>
    </row>
    <row r="851" spans="5:32" ht="15.75" x14ac:dyDescent="0.25">
      <c r="E851" s="261"/>
      <c r="F851" s="193"/>
      <c r="G851" s="194"/>
      <c r="H851" s="195"/>
      <c r="I851" s="202"/>
      <c r="O851" s="197"/>
      <c r="P851" s="197"/>
      <c r="Q851" s="197"/>
      <c r="R851" s="197"/>
      <c r="S851" s="197"/>
      <c r="T851" s="197"/>
      <c r="U851" s="197"/>
      <c r="V851" s="197"/>
      <c r="W851" s="197"/>
      <c r="X851" s="197"/>
      <c r="Y851" s="197"/>
      <c r="Z851" s="197"/>
      <c r="AA851" s="197"/>
      <c r="AB851" s="197"/>
      <c r="AC851" s="197"/>
      <c r="AD851" s="208"/>
      <c r="AE851" s="200"/>
      <c r="AF851" s="200"/>
    </row>
    <row r="852" spans="5:32" ht="15.75" x14ac:dyDescent="0.25">
      <c r="E852" s="261"/>
      <c r="F852" s="193"/>
      <c r="G852" s="194"/>
      <c r="H852" s="195"/>
      <c r="I852" s="202"/>
      <c r="O852" s="197"/>
      <c r="P852" s="197"/>
      <c r="Q852" s="197"/>
      <c r="R852" s="197"/>
      <c r="S852" s="197"/>
      <c r="T852" s="197"/>
      <c r="U852" s="197"/>
      <c r="V852" s="197"/>
      <c r="W852" s="197"/>
      <c r="X852" s="197"/>
      <c r="Y852" s="197"/>
      <c r="Z852" s="197"/>
      <c r="AA852" s="197"/>
      <c r="AB852" s="197"/>
      <c r="AC852" s="197"/>
      <c r="AD852" s="208"/>
      <c r="AE852" s="200"/>
      <c r="AF852" s="200"/>
    </row>
    <row r="853" spans="5:32" ht="15.75" x14ac:dyDescent="0.25">
      <c r="E853" s="261"/>
      <c r="F853" s="193"/>
      <c r="G853" s="194"/>
      <c r="H853" s="195"/>
      <c r="I853" s="202"/>
      <c r="O853" s="197"/>
      <c r="P853" s="197"/>
      <c r="Q853" s="197"/>
      <c r="R853" s="197"/>
      <c r="S853" s="197"/>
      <c r="T853" s="197"/>
      <c r="U853" s="197"/>
      <c r="V853" s="197"/>
      <c r="W853" s="197"/>
      <c r="X853" s="197"/>
      <c r="Y853" s="197"/>
      <c r="Z853" s="197"/>
      <c r="AA853" s="197"/>
      <c r="AB853" s="197"/>
      <c r="AC853" s="197"/>
      <c r="AD853" s="208"/>
      <c r="AE853" s="200"/>
      <c r="AF853" s="200"/>
    </row>
    <row r="854" spans="5:32" ht="15.75" x14ac:dyDescent="0.25">
      <c r="E854" s="261"/>
      <c r="F854" s="193"/>
      <c r="G854" s="194"/>
      <c r="H854" s="195"/>
      <c r="I854" s="202"/>
      <c r="O854" s="197"/>
      <c r="P854" s="197"/>
      <c r="Q854" s="197"/>
      <c r="R854" s="197"/>
      <c r="S854" s="197"/>
      <c r="T854" s="197"/>
      <c r="U854" s="197"/>
      <c r="V854" s="197"/>
      <c r="W854" s="197"/>
      <c r="X854" s="197"/>
      <c r="Y854" s="197"/>
      <c r="Z854" s="197"/>
      <c r="AA854" s="197"/>
      <c r="AB854" s="197"/>
      <c r="AC854" s="197"/>
      <c r="AD854" s="208"/>
      <c r="AE854" s="200"/>
      <c r="AF854" s="200"/>
    </row>
    <row r="855" spans="5:32" ht="15.75" x14ac:dyDescent="0.25">
      <c r="E855" s="261"/>
      <c r="F855" s="193"/>
      <c r="G855" s="194"/>
      <c r="H855" s="195"/>
      <c r="I855" s="202"/>
      <c r="O855" s="197"/>
      <c r="P855" s="197"/>
      <c r="Q855" s="197"/>
      <c r="R855" s="197"/>
      <c r="S855" s="197"/>
      <c r="T855" s="197"/>
      <c r="U855" s="197"/>
      <c r="V855" s="197"/>
      <c r="W855" s="197"/>
      <c r="X855" s="197"/>
      <c r="Y855" s="197"/>
      <c r="Z855" s="197"/>
      <c r="AA855" s="197"/>
      <c r="AB855" s="197"/>
      <c r="AC855" s="197"/>
      <c r="AD855" s="208"/>
      <c r="AE855" s="200"/>
      <c r="AF855" s="200"/>
    </row>
    <row r="856" spans="5:32" ht="15.75" x14ac:dyDescent="0.25">
      <c r="E856" s="261"/>
      <c r="F856" s="193"/>
      <c r="G856" s="194"/>
      <c r="H856" s="195"/>
      <c r="I856" s="202"/>
      <c r="O856" s="197"/>
      <c r="P856" s="197"/>
      <c r="Q856" s="197"/>
      <c r="R856" s="197"/>
      <c r="S856" s="197"/>
      <c r="T856" s="197"/>
      <c r="U856" s="197"/>
      <c r="V856" s="197"/>
      <c r="W856" s="197"/>
      <c r="X856" s="197"/>
      <c r="Y856" s="197"/>
      <c r="Z856" s="197"/>
      <c r="AA856" s="197"/>
      <c r="AB856" s="197"/>
      <c r="AC856" s="197"/>
      <c r="AD856" s="208"/>
      <c r="AE856" s="200"/>
      <c r="AF856" s="200"/>
    </row>
    <row r="857" spans="5:32" ht="15.75" x14ac:dyDescent="0.25">
      <c r="E857" s="261"/>
      <c r="F857" s="193"/>
      <c r="G857" s="194"/>
      <c r="H857" s="195"/>
      <c r="I857" s="202"/>
      <c r="O857" s="197"/>
      <c r="P857" s="197"/>
      <c r="Q857" s="197"/>
      <c r="R857" s="197"/>
      <c r="S857" s="197"/>
      <c r="T857" s="197"/>
      <c r="U857" s="197"/>
      <c r="V857" s="197"/>
      <c r="W857" s="197"/>
      <c r="X857" s="197"/>
      <c r="Y857" s="197"/>
      <c r="Z857" s="197"/>
      <c r="AA857" s="197"/>
      <c r="AB857" s="197"/>
      <c r="AC857" s="197"/>
      <c r="AD857" s="208"/>
      <c r="AE857" s="200"/>
      <c r="AF857" s="200"/>
    </row>
    <row r="858" spans="5:32" ht="15.75" x14ac:dyDescent="0.25">
      <c r="E858" s="261"/>
      <c r="F858" s="193"/>
      <c r="G858" s="194"/>
      <c r="H858" s="195"/>
      <c r="I858" s="202"/>
      <c r="O858" s="197"/>
      <c r="P858" s="197"/>
      <c r="Q858" s="197"/>
      <c r="R858" s="197"/>
      <c r="S858" s="197"/>
      <c r="T858" s="197"/>
      <c r="U858" s="197"/>
      <c r="V858" s="197"/>
      <c r="W858" s="197"/>
      <c r="X858" s="197"/>
      <c r="Y858" s="197"/>
      <c r="Z858" s="197"/>
      <c r="AA858" s="197"/>
      <c r="AB858" s="197"/>
      <c r="AC858" s="197"/>
      <c r="AD858" s="208"/>
      <c r="AE858" s="200"/>
      <c r="AF858" s="200"/>
    </row>
    <row r="859" spans="5:32" ht="15.75" x14ac:dyDescent="0.25">
      <c r="E859" s="261"/>
      <c r="F859" s="193"/>
      <c r="G859" s="194"/>
      <c r="H859" s="195"/>
      <c r="I859" s="202"/>
      <c r="O859" s="197"/>
      <c r="P859" s="197"/>
      <c r="Q859" s="197"/>
      <c r="R859" s="197"/>
      <c r="S859" s="197"/>
      <c r="T859" s="197"/>
      <c r="U859" s="197"/>
      <c r="V859" s="197"/>
      <c r="W859" s="197"/>
      <c r="X859" s="197"/>
      <c r="Y859" s="197"/>
      <c r="Z859" s="197"/>
      <c r="AA859" s="197"/>
      <c r="AB859" s="197"/>
      <c r="AC859" s="197"/>
      <c r="AD859" s="208"/>
      <c r="AE859" s="200"/>
      <c r="AF859" s="200"/>
    </row>
    <row r="860" spans="5:32" ht="15.75" x14ac:dyDescent="0.25">
      <c r="E860" s="261"/>
      <c r="F860" s="193"/>
      <c r="G860" s="194"/>
      <c r="H860" s="195"/>
      <c r="I860" s="202"/>
      <c r="O860" s="197"/>
      <c r="P860" s="197"/>
      <c r="Q860" s="197"/>
      <c r="R860" s="197"/>
      <c r="S860" s="197"/>
      <c r="T860" s="197"/>
      <c r="U860" s="197"/>
      <c r="V860" s="197"/>
      <c r="W860" s="197"/>
      <c r="X860" s="197"/>
      <c r="Y860" s="197"/>
      <c r="Z860" s="197"/>
      <c r="AA860" s="197"/>
      <c r="AB860" s="197"/>
      <c r="AC860" s="197"/>
      <c r="AD860" s="208"/>
      <c r="AE860" s="200"/>
      <c r="AF860" s="200"/>
    </row>
    <row r="861" spans="5:32" ht="15.75" x14ac:dyDescent="0.25">
      <c r="E861" s="261"/>
      <c r="F861" s="193"/>
      <c r="G861" s="194"/>
      <c r="H861" s="195"/>
      <c r="I861" s="202"/>
      <c r="O861" s="197"/>
      <c r="P861" s="197"/>
      <c r="Q861" s="197"/>
      <c r="R861" s="197"/>
      <c r="S861" s="197"/>
      <c r="T861" s="197"/>
      <c r="U861" s="197"/>
      <c r="V861" s="197"/>
      <c r="W861" s="197"/>
      <c r="X861" s="197"/>
      <c r="Y861" s="197"/>
      <c r="Z861" s="197"/>
      <c r="AA861" s="197"/>
      <c r="AB861" s="197"/>
      <c r="AC861" s="197"/>
      <c r="AD861" s="208"/>
      <c r="AE861" s="200"/>
      <c r="AF861" s="200"/>
    </row>
    <row r="862" spans="5:32" ht="15.75" x14ac:dyDescent="0.25">
      <c r="E862" s="261"/>
      <c r="F862" s="193"/>
      <c r="G862" s="194"/>
      <c r="H862" s="195"/>
      <c r="I862" s="202"/>
      <c r="O862" s="197"/>
      <c r="P862" s="197"/>
      <c r="Q862" s="197"/>
      <c r="R862" s="197"/>
      <c r="S862" s="197"/>
      <c r="T862" s="197"/>
      <c r="U862" s="197"/>
      <c r="V862" s="197"/>
      <c r="W862" s="197"/>
      <c r="X862" s="197"/>
      <c r="Y862" s="197"/>
      <c r="Z862" s="197"/>
      <c r="AA862" s="197"/>
      <c r="AB862" s="197"/>
      <c r="AC862" s="197"/>
      <c r="AD862" s="208"/>
      <c r="AE862" s="200"/>
      <c r="AF862" s="200"/>
    </row>
    <row r="863" spans="5:32" ht="15.75" x14ac:dyDescent="0.25">
      <c r="E863" s="261"/>
      <c r="F863" s="193"/>
      <c r="G863" s="194"/>
      <c r="H863" s="195"/>
      <c r="I863" s="202"/>
      <c r="O863" s="197"/>
      <c r="P863" s="197"/>
      <c r="Q863" s="197"/>
      <c r="R863" s="197"/>
      <c r="S863" s="197"/>
      <c r="T863" s="197"/>
      <c r="U863" s="197"/>
      <c r="V863" s="197"/>
      <c r="W863" s="197"/>
      <c r="X863" s="197"/>
      <c r="Y863" s="197"/>
      <c r="Z863" s="197"/>
      <c r="AA863" s="197"/>
      <c r="AB863" s="197"/>
      <c r="AC863" s="197"/>
      <c r="AD863" s="208"/>
      <c r="AE863" s="200"/>
      <c r="AF863" s="200"/>
    </row>
    <row r="864" spans="5:32" ht="15.75" x14ac:dyDescent="0.25">
      <c r="E864" s="261"/>
      <c r="F864" s="193"/>
      <c r="G864" s="194"/>
      <c r="H864" s="195"/>
      <c r="I864" s="202"/>
      <c r="O864" s="197"/>
      <c r="P864" s="197"/>
      <c r="Q864" s="197"/>
      <c r="R864" s="197"/>
      <c r="S864" s="197"/>
      <c r="T864" s="197"/>
      <c r="U864" s="197"/>
      <c r="V864" s="197"/>
      <c r="W864" s="197"/>
      <c r="X864" s="197"/>
      <c r="Y864" s="197"/>
      <c r="Z864" s="197"/>
      <c r="AA864" s="197"/>
      <c r="AB864" s="197"/>
      <c r="AC864" s="197"/>
      <c r="AD864" s="208"/>
      <c r="AE864" s="200"/>
      <c r="AF864" s="200"/>
    </row>
    <row r="865" spans="5:32" ht="15.75" x14ac:dyDescent="0.25">
      <c r="E865" s="261"/>
      <c r="F865" s="193"/>
      <c r="G865" s="194"/>
      <c r="H865" s="195"/>
      <c r="I865" s="202"/>
      <c r="O865" s="197"/>
      <c r="P865" s="197"/>
      <c r="Q865" s="197"/>
      <c r="R865" s="197"/>
      <c r="S865" s="197"/>
      <c r="T865" s="197"/>
      <c r="U865" s="197"/>
      <c r="V865" s="197"/>
      <c r="W865" s="197"/>
      <c r="X865" s="197"/>
      <c r="Y865" s="197"/>
      <c r="Z865" s="197"/>
      <c r="AA865" s="197"/>
      <c r="AB865" s="197"/>
      <c r="AC865" s="197"/>
      <c r="AD865" s="208"/>
      <c r="AE865" s="200"/>
      <c r="AF865" s="200"/>
    </row>
    <row r="866" spans="5:32" ht="15.75" x14ac:dyDescent="0.25">
      <c r="E866" s="261"/>
      <c r="F866" s="193"/>
      <c r="G866" s="194"/>
      <c r="H866" s="195"/>
      <c r="I866" s="202"/>
      <c r="O866" s="197"/>
      <c r="P866" s="197"/>
      <c r="Q866" s="197"/>
      <c r="R866" s="197"/>
      <c r="S866" s="197"/>
      <c r="T866" s="197"/>
      <c r="U866" s="197"/>
      <c r="V866" s="197"/>
      <c r="W866" s="197"/>
      <c r="X866" s="197"/>
      <c r="Y866" s="197"/>
      <c r="Z866" s="197"/>
      <c r="AA866" s="197"/>
      <c r="AB866" s="197"/>
      <c r="AC866" s="197"/>
      <c r="AD866" s="208"/>
      <c r="AE866" s="200"/>
      <c r="AF866" s="200"/>
    </row>
    <row r="867" spans="5:32" ht="15.75" x14ac:dyDescent="0.25">
      <c r="E867" s="261"/>
      <c r="F867" s="193"/>
      <c r="G867" s="194"/>
      <c r="H867" s="195"/>
      <c r="I867" s="202"/>
      <c r="O867" s="197"/>
      <c r="P867" s="197"/>
      <c r="Q867" s="197"/>
      <c r="R867" s="197"/>
      <c r="S867" s="197"/>
      <c r="T867" s="197"/>
      <c r="U867" s="197"/>
      <c r="V867" s="197"/>
      <c r="W867" s="197"/>
      <c r="X867" s="197"/>
      <c r="Y867" s="197"/>
      <c r="Z867" s="197"/>
      <c r="AA867" s="197"/>
      <c r="AB867" s="197"/>
      <c r="AC867" s="197"/>
      <c r="AD867" s="208"/>
      <c r="AE867" s="200"/>
      <c r="AF867" s="200"/>
    </row>
    <row r="868" spans="5:32" ht="15.75" x14ac:dyDescent="0.25">
      <c r="E868" s="261"/>
      <c r="F868" s="193"/>
      <c r="G868" s="194"/>
      <c r="H868" s="195"/>
      <c r="I868" s="202"/>
      <c r="O868" s="197"/>
      <c r="P868" s="197"/>
      <c r="Q868" s="197"/>
      <c r="R868" s="197"/>
      <c r="S868" s="197"/>
      <c r="T868" s="197"/>
      <c r="U868" s="197"/>
      <c r="V868" s="197"/>
      <c r="W868" s="197"/>
      <c r="X868" s="197"/>
      <c r="Y868" s="197"/>
      <c r="Z868" s="197"/>
      <c r="AA868" s="197"/>
      <c r="AB868" s="197"/>
      <c r="AC868" s="197"/>
      <c r="AD868" s="208"/>
      <c r="AE868" s="200"/>
      <c r="AF868" s="200"/>
    </row>
    <row r="869" spans="5:32" ht="15.75" x14ac:dyDescent="0.25">
      <c r="E869" s="261"/>
      <c r="F869" s="193"/>
      <c r="G869" s="194"/>
      <c r="H869" s="195"/>
      <c r="I869" s="202"/>
      <c r="O869" s="197"/>
      <c r="P869" s="197"/>
      <c r="Q869" s="197"/>
      <c r="R869" s="197"/>
      <c r="S869" s="197"/>
      <c r="T869" s="197"/>
      <c r="U869" s="197"/>
      <c r="V869" s="197"/>
      <c r="W869" s="197"/>
      <c r="X869" s="197"/>
      <c r="Y869" s="197"/>
      <c r="Z869" s="197"/>
      <c r="AA869" s="197"/>
      <c r="AB869" s="197"/>
      <c r="AC869" s="197"/>
      <c r="AD869" s="208"/>
      <c r="AE869" s="200"/>
      <c r="AF869" s="200"/>
    </row>
    <row r="870" spans="5:32" ht="15.75" x14ac:dyDescent="0.25">
      <c r="E870" s="261"/>
      <c r="F870" s="193"/>
      <c r="G870" s="194"/>
      <c r="H870" s="195"/>
      <c r="I870" s="202"/>
      <c r="O870" s="197"/>
      <c r="P870" s="197"/>
      <c r="Q870" s="197"/>
      <c r="R870" s="197"/>
      <c r="S870" s="197"/>
      <c r="T870" s="197"/>
      <c r="U870" s="197"/>
      <c r="V870" s="197"/>
      <c r="W870" s="197"/>
      <c r="X870" s="197"/>
      <c r="Y870" s="197"/>
      <c r="Z870" s="197"/>
      <c r="AA870" s="197"/>
      <c r="AB870" s="197"/>
      <c r="AC870" s="197"/>
      <c r="AD870" s="208"/>
      <c r="AE870" s="200"/>
      <c r="AF870" s="200"/>
    </row>
    <row r="871" spans="5:32" ht="15.75" x14ac:dyDescent="0.25">
      <c r="E871" s="261"/>
      <c r="F871" s="193"/>
      <c r="G871" s="194"/>
      <c r="H871" s="195"/>
      <c r="I871" s="202"/>
      <c r="O871" s="197"/>
      <c r="P871" s="197"/>
      <c r="Q871" s="197"/>
      <c r="R871" s="197"/>
      <c r="S871" s="197"/>
      <c r="T871" s="197"/>
      <c r="U871" s="197"/>
      <c r="V871" s="197"/>
      <c r="W871" s="197"/>
      <c r="X871" s="197"/>
      <c r="Y871" s="197"/>
      <c r="Z871" s="197"/>
      <c r="AA871" s="197"/>
      <c r="AB871" s="197"/>
      <c r="AC871" s="197"/>
      <c r="AD871" s="208"/>
      <c r="AE871" s="200"/>
      <c r="AF871" s="200"/>
    </row>
    <row r="872" spans="5:32" ht="15.75" x14ac:dyDescent="0.25">
      <c r="E872" s="261"/>
      <c r="F872" s="193"/>
      <c r="G872" s="194"/>
      <c r="H872" s="195"/>
      <c r="I872" s="202"/>
      <c r="O872" s="197"/>
      <c r="P872" s="197"/>
      <c r="Q872" s="197"/>
      <c r="R872" s="197"/>
      <c r="S872" s="197"/>
      <c r="T872" s="197"/>
      <c r="U872" s="197"/>
      <c r="V872" s="197"/>
      <c r="W872" s="197"/>
      <c r="X872" s="197"/>
      <c r="Y872" s="197"/>
      <c r="Z872" s="197"/>
      <c r="AA872" s="197"/>
      <c r="AB872" s="197"/>
      <c r="AC872" s="197"/>
      <c r="AD872" s="208"/>
      <c r="AE872" s="200"/>
      <c r="AF872" s="200"/>
    </row>
    <row r="873" spans="5:32" ht="15.75" x14ac:dyDescent="0.25">
      <c r="E873" s="261"/>
      <c r="F873" s="193"/>
      <c r="G873" s="194"/>
      <c r="H873" s="195"/>
      <c r="I873" s="202"/>
      <c r="O873" s="197"/>
      <c r="P873" s="197"/>
      <c r="Q873" s="197"/>
      <c r="R873" s="197"/>
      <c r="S873" s="197"/>
      <c r="T873" s="197"/>
      <c r="U873" s="197"/>
      <c r="V873" s="197"/>
      <c r="W873" s="197"/>
      <c r="X873" s="197"/>
      <c r="Y873" s="197"/>
      <c r="Z873" s="197"/>
      <c r="AA873" s="197"/>
      <c r="AB873" s="197"/>
      <c r="AC873" s="197"/>
      <c r="AD873" s="208"/>
      <c r="AE873" s="200"/>
      <c r="AF873" s="200"/>
    </row>
    <row r="874" spans="5:32" ht="15.75" x14ac:dyDescent="0.25">
      <c r="E874" s="261"/>
      <c r="F874" s="193"/>
      <c r="G874" s="194"/>
      <c r="H874" s="195"/>
      <c r="I874" s="202"/>
      <c r="O874" s="197"/>
      <c r="P874" s="197"/>
      <c r="Q874" s="197"/>
      <c r="R874" s="197"/>
      <c r="S874" s="197"/>
      <c r="T874" s="197"/>
      <c r="U874" s="197"/>
      <c r="V874" s="197"/>
      <c r="W874" s="197"/>
      <c r="X874" s="197"/>
      <c r="Y874" s="197"/>
      <c r="Z874" s="197"/>
      <c r="AA874" s="197"/>
      <c r="AB874" s="197"/>
      <c r="AC874" s="197"/>
      <c r="AD874" s="208"/>
      <c r="AE874" s="200"/>
      <c r="AF874" s="200"/>
    </row>
    <row r="875" spans="5:32" ht="15.75" x14ac:dyDescent="0.25">
      <c r="E875" s="261"/>
      <c r="F875" s="193"/>
      <c r="G875" s="194"/>
      <c r="H875" s="195"/>
      <c r="I875" s="202"/>
      <c r="O875" s="197"/>
      <c r="P875" s="197"/>
      <c r="Q875" s="197"/>
      <c r="R875" s="197"/>
      <c r="S875" s="197"/>
      <c r="T875" s="197"/>
      <c r="U875" s="197"/>
      <c r="V875" s="197"/>
      <c r="W875" s="197"/>
      <c r="X875" s="197"/>
      <c r="Y875" s="197"/>
      <c r="Z875" s="197"/>
      <c r="AA875" s="197"/>
      <c r="AB875" s="197"/>
      <c r="AC875" s="197"/>
      <c r="AD875" s="208"/>
      <c r="AE875" s="200"/>
      <c r="AF875" s="200"/>
    </row>
    <row r="876" spans="5:32" ht="15.75" x14ac:dyDescent="0.25">
      <c r="E876" s="261"/>
      <c r="F876" s="193"/>
      <c r="G876" s="194"/>
      <c r="H876" s="195"/>
      <c r="I876" s="202"/>
      <c r="O876" s="197"/>
      <c r="P876" s="197"/>
      <c r="Q876" s="197"/>
      <c r="R876" s="197"/>
      <c r="S876" s="197"/>
      <c r="T876" s="197"/>
      <c r="U876" s="197"/>
      <c r="V876" s="197"/>
      <c r="W876" s="197"/>
      <c r="X876" s="197"/>
      <c r="Y876" s="197"/>
      <c r="Z876" s="197"/>
      <c r="AA876" s="197"/>
      <c r="AB876" s="197"/>
      <c r="AC876" s="197"/>
      <c r="AD876" s="208"/>
      <c r="AE876" s="200"/>
      <c r="AF876" s="200"/>
    </row>
    <row r="877" spans="5:32" ht="15.75" x14ac:dyDescent="0.25">
      <c r="E877" s="261"/>
      <c r="F877" s="193"/>
      <c r="G877" s="194"/>
      <c r="H877" s="195"/>
      <c r="I877" s="202"/>
      <c r="O877" s="197"/>
      <c r="P877" s="197"/>
      <c r="Q877" s="197"/>
      <c r="R877" s="197"/>
      <c r="S877" s="197"/>
      <c r="T877" s="197"/>
      <c r="U877" s="197"/>
      <c r="V877" s="197"/>
      <c r="W877" s="197"/>
      <c r="X877" s="197"/>
      <c r="Y877" s="197"/>
      <c r="Z877" s="197"/>
      <c r="AA877" s="197"/>
      <c r="AB877" s="197"/>
      <c r="AC877" s="197"/>
      <c r="AD877" s="208"/>
      <c r="AE877" s="200"/>
      <c r="AF877" s="200"/>
    </row>
    <row r="878" spans="5:32" ht="15.75" x14ac:dyDescent="0.25">
      <c r="E878" s="261"/>
      <c r="F878" s="193"/>
      <c r="G878" s="194"/>
      <c r="H878" s="195"/>
      <c r="I878" s="202"/>
      <c r="O878" s="197"/>
      <c r="P878" s="197"/>
      <c r="Q878" s="197"/>
      <c r="R878" s="197"/>
      <c r="S878" s="197"/>
      <c r="T878" s="197"/>
      <c r="U878" s="197"/>
      <c r="V878" s="197"/>
      <c r="W878" s="197"/>
      <c r="X878" s="197"/>
      <c r="Y878" s="197"/>
      <c r="Z878" s="197"/>
      <c r="AA878" s="197"/>
      <c r="AB878" s="197"/>
      <c r="AC878" s="197"/>
      <c r="AD878" s="208"/>
      <c r="AE878" s="200"/>
      <c r="AF878" s="200"/>
    </row>
    <row r="879" spans="5:32" ht="15.75" x14ac:dyDescent="0.25">
      <c r="E879" s="261"/>
      <c r="F879" s="193"/>
      <c r="G879" s="194"/>
      <c r="H879" s="195"/>
      <c r="I879" s="202"/>
      <c r="O879" s="197"/>
      <c r="P879" s="197"/>
      <c r="Q879" s="197"/>
      <c r="R879" s="197"/>
      <c r="S879" s="197"/>
      <c r="T879" s="197"/>
      <c r="U879" s="197"/>
      <c r="V879" s="197"/>
      <c r="W879" s="197"/>
      <c r="X879" s="197"/>
      <c r="Y879" s="197"/>
      <c r="Z879" s="197"/>
      <c r="AA879" s="197"/>
      <c r="AB879" s="197"/>
      <c r="AC879" s="197"/>
      <c r="AD879" s="208"/>
      <c r="AE879" s="200"/>
      <c r="AF879" s="200"/>
    </row>
    <row r="880" spans="5:32" ht="15.75" x14ac:dyDescent="0.25">
      <c r="E880" s="261"/>
      <c r="F880" s="193"/>
      <c r="G880" s="194"/>
      <c r="H880" s="195"/>
      <c r="I880" s="202"/>
      <c r="O880" s="197"/>
      <c r="P880" s="197"/>
      <c r="Q880" s="197"/>
      <c r="R880" s="197"/>
      <c r="S880" s="197"/>
      <c r="T880" s="197"/>
      <c r="U880" s="197"/>
      <c r="V880" s="197"/>
      <c r="W880" s="197"/>
      <c r="X880" s="197"/>
      <c r="Y880" s="197"/>
      <c r="Z880" s="197"/>
      <c r="AA880" s="197"/>
      <c r="AB880" s="197"/>
      <c r="AC880" s="197"/>
      <c r="AD880" s="208"/>
      <c r="AE880" s="200"/>
      <c r="AF880" s="200"/>
    </row>
    <row r="881" spans="5:32" ht="15.75" x14ac:dyDescent="0.25">
      <c r="E881" s="261"/>
      <c r="F881" s="193"/>
      <c r="G881" s="194"/>
      <c r="H881" s="195"/>
      <c r="I881" s="202"/>
      <c r="O881" s="197"/>
      <c r="P881" s="197"/>
      <c r="Q881" s="197"/>
      <c r="R881" s="197"/>
      <c r="S881" s="197"/>
      <c r="T881" s="197"/>
      <c r="U881" s="197"/>
      <c r="V881" s="197"/>
      <c r="W881" s="197"/>
      <c r="X881" s="197"/>
      <c r="Y881" s="197"/>
      <c r="Z881" s="197"/>
      <c r="AA881" s="197"/>
      <c r="AB881" s="197"/>
      <c r="AC881" s="197"/>
      <c r="AD881" s="208"/>
      <c r="AE881" s="200"/>
      <c r="AF881" s="200"/>
    </row>
    <row r="882" spans="5:32" ht="15.75" x14ac:dyDescent="0.25">
      <c r="E882" s="261"/>
      <c r="F882" s="193"/>
      <c r="G882" s="194"/>
      <c r="H882" s="195"/>
      <c r="I882" s="202"/>
      <c r="O882" s="197"/>
      <c r="P882" s="197"/>
      <c r="Q882" s="197"/>
      <c r="R882" s="197"/>
      <c r="S882" s="197"/>
      <c r="T882" s="197"/>
      <c r="U882" s="197"/>
      <c r="V882" s="197"/>
      <c r="W882" s="197"/>
      <c r="X882" s="197"/>
      <c r="Y882" s="197"/>
      <c r="Z882" s="197"/>
      <c r="AA882" s="197"/>
      <c r="AB882" s="197"/>
      <c r="AC882" s="197"/>
      <c r="AD882" s="208"/>
      <c r="AE882" s="200"/>
      <c r="AF882" s="200"/>
    </row>
    <row r="883" spans="5:32" ht="15.75" x14ac:dyDescent="0.25">
      <c r="E883" s="261"/>
      <c r="F883" s="193"/>
      <c r="G883" s="194"/>
      <c r="H883" s="195"/>
      <c r="I883" s="202"/>
      <c r="O883" s="197"/>
      <c r="P883" s="197"/>
      <c r="Q883" s="197"/>
      <c r="R883" s="197"/>
      <c r="S883" s="197"/>
      <c r="T883" s="197"/>
      <c r="U883" s="197"/>
      <c r="V883" s="197"/>
      <c r="W883" s="197"/>
      <c r="X883" s="197"/>
      <c r="Y883" s="197"/>
      <c r="Z883" s="197"/>
      <c r="AA883" s="197"/>
      <c r="AB883" s="197"/>
      <c r="AC883" s="197"/>
      <c r="AD883" s="208"/>
      <c r="AE883" s="200"/>
      <c r="AF883" s="200"/>
    </row>
    <row r="884" spans="5:32" ht="15.75" x14ac:dyDescent="0.25">
      <c r="E884" s="261"/>
      <c r="F884" s="193"/>
      <c r="G884" s="194"/>
      <c r="H884" s="195"/>
      <c r="I884" s="202"/>
      <c r="O884" s="197"/>
      <c r="P884" s="197"/>
      <c r="Q884" s="197"/>
      <c r="R884" s="197"/>
      <c r="S884" s="197"/>
      <c r="T884" s="197"/>
      <c r="U884" s="197"/>
      <c r="V884" s="197"/>
      <c r="W884" s="197"/>
      <c r="X884" s="197"/>
      <c r="Y884" s="197"/>
      <c r="Z884" s="197"/>
      <c r="AA884" s="197"/>
      <c r="AB884" s="197"/>
      <c r="AC884" s="197"/>
      <c r="AD884" s="208"/>
      <c r="AE884" s="200"/>
      <c r="AF884" s="200"/>
    </row>
    <row r="885" spans="5:32" ht="15.75" x14ac:dyDescent="0.25">
      <c r="E885" s="261"/>
      <c r="F885" s="193"/>
      <c r="G885" s="194"/>
      <c r="H885" s="195"/>
      <c r="I885" s="202"/>
      <c r="O885" s="197"/>
      <c r="P885" s="197"/>
      <c r="Q885" s="197"/>
      <c r="R885" s="197"/>
      <c r="S885" s="197"/>
      <c r="T885" s="197"/>
      <c r="U885" s="197"/>
      <c r="V885" s="197"/>
      <c r="W885" s="197"/>
      <c r="X885" s="197"/>
      <c r="Y885" s="197"/>
      <c r="Z885" s="197"/>
      <c r="AA885" s="197"/>
      <c r="AB885" s="197"/>
      <c r="AC885" s="197"/>
      <c r="AD885" s="208"/>
      <c r="AE885" s="200"/>
      <c r="AF885" s="200"/>
    </row>
    <row r="886" spans="5:32" ht="15.75" x14ac:dyDescent="0.25">
      <c r="E886" s="261"/>
      <c r="F886" s="193"/>
      <c r="G886" s="194"/>
      <c r="H886" s="195"/>
      <c r="I886" s="202"/>
      <c r="O886" s="197"/>
      <c r="P886" s="197"/>
      <c r="Q886" s="197"/>
      <c r="R886" s="197"/>
      <c r="S886" s="197"/>
      <c r="T886" s="197"/>
      <c r="U886" s="197"/>
      <c r="V886" s="197"/>
      <c r="W886" s="197"/>
      <c r="X886" s="197"/>
      <c r="Y886" s="197"/>
      <c r="Z886" s="197"/>
      <c r="AA886" s="197"/>
      <c r="AB886" s="197"/>
      <c r="AC886" s="197"/>
      <c r="AD886" s="208"/>
      <c r="AE886" s="200"/>
      <c r="AF886" s="200"/>
    </row>
    <row r="887" spans="5:32" ht="15.75" x14ac:dyDescent="0.25">
      <c r="E887" s="261"/>
      <c r="F887" s="193"/>
      <c r="G887" s="194"/>
      <c r="H887" s="195"/>
      <c r="I887" s="202"/>
      <c r="O887" s="197"/>
      <c r="P887" s="197"/>
      <c r="Q887" s="197"/>
      <c r="R887" s="197"/>
      <c r="S887" s="197"/>
      <c r="T887" s="197"/>
      <c r="U887" s="197"/>
      <c r="V887" s="197"/>
      <c r="W887" s="197"/>
      <c r="X887" s="197"/>
      <c r="Y887" s="197"/>
      <c r="Z887" s="197"/>
      <c r="AA887" s="197"/>
      <c r="AB887" s="197"/>
      <c r="AC887" s="197"/>
      <c r="AD887" s="208"/>
      <c r="AE887" s="200"/>
      <c r="AF887" s="200"/>
    </row>
    <row r="888" spans="5:32" ht="15.75" x14ac:dyDescent="0.25">
      <c r="E888" s="261"/>
      <c r="F888" s="193"/>
      <c r="G888" s="194"/>
      <c r="H888" s="195"/>
      <c r="I888" s="202"/>
      <c r="O888" s="197"/>
      <c r="P888" s="197"/>
      <c r="Q888" s="197"/>
      <c r="R888" s="197"/>
      <c r="S888" s="197"/>
      <c r="T888" s="197"/>
      <c r="U888" s="197"/>
      <c r="V888" s="197"/>
      <c r="W888" s="197"/>
      <c r="X888" s="197"/>
      <c r="Y888" s="197"/>
      <c r="Z888" s="197"/>
      <c r="AA888" s="197"/>
      <c r="AB888" s="197"/>
      <c r="AC888" s="197"/>
      <c r="AD888" s="208"/>
      <c r="AE888" s="200"/>
      <c r="AF888" s="200"/>
    </row>
    <row r="889" spans="5:32" ht="15.75" x14ac:dyDescent="0.25">
      <c r="E889" s="261"/>
      <c r="F889" s="193"/>
      <c r="G889" s="194"/>
      <c r="H889" s="195"/>
      <c r="I889" s="202"/>
      <c r="O889" s="197"/>
      <c r="P889" s="197"/>
      <c r="Q889" s="197"/>
      <c r="R889" s="197"/>
      <c r="S889" s="197"/>
      <c r="T889" s="197"/>
      <c r="U889" s="197"/>
      <c r="V889" s="197"/>
      <c r="W889" s="197"/>
      <c r="X889" s="197"/>
      <c r="Y889" s="197"/>
      <c r="Z889" s="197"/>
      <c r="AA889" s="197"/>
      <c r="AB889" s="197"/>
      <c r="AC889" s="197"/>
      <c r="AD889" s="208"/>
      <c r="AE889" s="200"/>
      <c r="AF889" s="200"/>
    </row>
    <row r="890" spans="5:32" ht="15.75" x14ac:dyDescent="0.25">
      <c r="E890" s="261"/>
      <c r="F890" s="193"/>
      <c r="G890" s="194"/>
      <c r="H890" s="195"/>
      <c r="I890" s="202"/>
      <c r="O890" s="197"/>
      <c r="P890" s="197"/>
      <c r="Q890" s="197"/>
      <c r="R890" s="197"/>
      <c r="S890" s="197"/>
      <c r="T890" s="197"/>
      <c r="U890" s="197"/>
      <c r="V890" s="197"/>
      <c r="W890" s="197"/>
      <c r="X890" s="197"/>
      <c r="Y890" s="197"/>
      <c r="Z890" s="197"/>
      <c r="AA890" s="197"/>
      <c r="AB890" s="197"/>
      <c r="AC890" s="197"/>
      <c r="AD890" s="208"/>
      <c r="AE890" s="200"/>
      <c r="AF890" s="200"/>
    </row>
    <row r="891" spans="5:32" ht="15.75" x14ac:dyDescent="0.25">
      <c r="E891" s="261"/>
      <c r="F891" s="193"/>
      <c r="G891" s="194"/>
      <c r="H891" s="195"/>
      <c r="I891" s="202"/>
      <c r="O891" s="197"/>
      <c r="P891" s="197"/>
      <c r="Q891" s="197"/>
      <c r="R891" s="197"/>
      <c r="S891" s="197"/>
      <c r="T891" s="197"/>
      <c r="U891" s="197"/>
      <c r="V891" s="197"/>
      <c r="W891" s="197"/>
      <c r="X891" s="197"/>
      <c r="Y891" s="197"/>
      <c r="Z891" s="197"/>
      <c r="AA891" s="197"/>
      <c r="AB891" s="197"/>
      <c r="AC891" s="197"/>
      <c r="AD891" s="208"/>
      <c r="AE891" s="200"/>
      <c r="AF891" s="200"/>
    </row>
    <row r="892" spans="5:32" ht="15.75" x14ac:dyDescent="0.25">
      <c r="E892" s="261"/>
      <c r="F892" s="193"/>
      <c r="G892" s="194"/>
      <c r="H892" s="195"/>
      <c r="I892" s="202"/>
      <c r="O892" s="197"/>
      <c r="P892" s="197"/>
      <c r="Q892" s="197"/>
      <c r="R892" s="197"/>
      <c r="S892" s="197"/>
      <c r="T892" s="197"/>
      <c r="U892" s="197"/>
      <c r="V892" s="197"/>
      <c r="W892" s="197"/>
      <c r="X892" s="197"/>
      <c r="Y892" s="197"/>
      <c r="Z892" s="197"/>
      <c r="AA892" s="197"/>
      <c r="AB892" s="197"/>
      <c r="AC892" s="197"/>
      <c r="AD892" s="208"/>
      <c r="AE892" s="200"/>
      <c r="AF892" s="200"/>
    </row>
    <row r="893" spans="5:32" ht="15.75" x14ac:dyDescent="0.25">
      <c r="E893" s="261"/>
      <c r="F893" s="193"/>
      <c r="G893" s="194"/>
      <c r="H893" s="195"/>
      <c r="I893" s="202"/>
      <c r="O893" s="197"/>
      <c r="P893" s="197"/>
      <c r="Q893" s="197"/>
      <c r="R893" s="197"/>
      <c r="S893" s="197"/>
      <c r="T893" s="197"/>
      <c r="U893" s="197"/>
      <c r="V893" s="197"/>
      <c r="W893" s="197"/>
      <c r="X893" s="197"/>
      <c r="Y893" s="197"/>
      <c r="Z893" s="197"/>
      <c r="AA893" s="197"/>
      <c r="AB893" s="197"/>
      <c r="AC893" s="197"/>
      <c r="AD893" s="208"/>
      <c r="AE893" s="200"/>
      <c r="AF893" s="200"/>
    </row>
    <row r="894" spans="5:32" ht="15.75" x14ac:dyDescent="0.25">
      <c r="E894" s="261"/>
      <c r="F894" s="193"/>
      <c r="G894" s="194"/>
      <c r="H894" s="195"/>
      <c r="I894" s="202"/>
      <c r="O894" s="197"/>
      <c r="P894" s="197"/>
      <c r="Q894" s="197"/>
      <c r="R894" s="197"/>
      <c r="S894" s="197"/>
      <c r="T894" s="197"/>
      <c r="U894" s="197"/>
      <c r="V894" s="197"/>
      <c r="W894" s="197"/>
      <c r="X894" s="197"/>
      <c r="Y894" s="197"/>
      <c r="Z894" s="197"/>
      <c r="AA894" s="197"/>
      <c r="AB894" s="197"/>
      <c r="AC894" s="197"/>
      <c r="AD894" s="208"/>
      <c r="AE894" s="200"/>
      <c r="AF894" s="200"/>
    </row>
    <row r="895" spans="5:32" ht="15.75" x14ac:dyDescent="0.25">
      <c r="E895" s="261"/>
      <c r="F895" s="193"/>
      <c r="G895" s="194"/>
      <c r="H895" s="195"/>
      <c r="I895" s="202"/>
      <c r="O895" s="197"/>
      <c r="P895" s="197"/>
      <c r="Q895" s="197"/>
      <c r="R895" s="197"/>
      <c r="S895" s="197"/>
      <c r="T895" s="197"/>
      <c r="U895" s="197"/>
      <c r="V895" s="197"/>
      <c r="W895" s="197"/>
      <c r="X895" s="197"/>
      <c r="Y895" s="197"/>
      <c r="Z895" s="197"/>
      <c r="AA895" s="197"/>
      <c r="AB895" s="197"/>
      <c r="AC895" s="197"/>
      <c r="AD895" s="208"/>
      <c r="AE895" s="200"/>
      <c r="AF895" s="200"/>
    </row>
    <row r="896" spans="5:32" ht="15.75" x14ac:dyDescent="0.25">
      <c r="E896" s="261"/>
      <c r="F896" s="193"/>
      <c r="G896" s="194"/>
      <c r="H896" s="195"/>
      <c r="I896" s="202"/>
      <c r="O896" s="197"/>
      <c r="P896" s="197"/>
      <c r="Q896" s="197"/>
      <c r="R896" s="197"/>
      <c r="S896" s="197"/>
      <c r="T896" s="197"/>
      <c r="U896" s="197"/>
      <c r="V896" s="197"/>
      <c r="W896" s="197"/>
      <c r="X896" s="197"/>
      <c r="Y896" s="197"/>
      <c r="Z896" s="197"/>
      <c r="AA896" s="197"/>
      <c r="AB896" s="197"/>
      <c r="AC896" s="197"/>
      <c r="AD896" s="208"/>
      <c r="AE896" s="200"/>
      <c r="AF896" s="200"/>
    </row>
    <row r="897" spans="5:32" ht="15.75" x14ac:dyDescent="0.25">
      <c r="E897" s="261"/>
      <c r="F897" s="193"/>
      <c r="G897" s="194"/>
      <c r="H897" s="195"/>
      <c r="I897" s="202"/>
      <c r="O897" s="197"/>
      <c r="P897" s="197"/>
      <c r="Q897" s="197"/>
      <c r="R897" s="197"/>
      <c r="S897" s="197"/>
      <c r="T897" s="197"/>
      <c r="U897" s="197"/>
      <c r="V897" s="197"/>
      <c r="W897" s="197"/>
      <c r="X897" s="197"/>
      <c r="Y897" s="197"/>
      <c r="Z897" s="197"/>
      <c r="AA897" s="197"/>
      <c r="AB897" s="197"/>
      <c r="AC897" s="197"/>
      <c r="AD897" s="208"/>
      <c r="AE897" s="200"/>
      <c r="AF897" s="200"/>
    </row>
    <row r="898" spans="5:32" ht="15.75" x14ac:dyDescent="0.25">
      <c r="E898" s="261"/>
      <c r="F898" s="193"/>
      <c r="G898" s="194"/>
      <c r="H898" s="195"/>
      <c r="I898" s="202"/>
      <c r="O898" s="197"/>
      <c r="P898" s="197"/>
      <c r="Q898" s="197"/>
      <c r="R898" s="197"/>
      <c r="S898" s="197"/>
      <c r="T898" s="197"/>
      <c r="U898" s="197"/>
      <c r="V898" s="197"/>
      <c r="W898" s="197"/>
      <c r="X898" s="197"/>
      <c r="Y898" s="197"/>
      <c r="Z898" s="197"/>
      <c r="AA898" s="197"/>
      <c r="AB898" s="197"/>
      <c r="AC898" s="197"/>
      <c r="AD898" s="208"/>
      <c r="AE898" s="200"/>
      <c r="AF898" s="200"/>
    </row>
    <row r="899" spans="5:32" ht="15.75" x14ac:dyDescent="0.25">
      <c r="E899" s="261"/>
      <c r="F899" s="193"/>
      <c r="G899" s="194"/>
      <c r="H899" s="195"/>
      <c r="I899" s="202"/>
      <c r="O899" s="197"/>
      <c r="P899" s="197"/>
      <c r="Q899" s="197"/>
      <c r="R899" s="197"/>
      <c r="S899" s="197"/>
      <c r="T899" s="197"/>
      <c r="U899" s="197"/>
      <c r="V899" s="197"/>
      <c r="W899" s="197"/>
      <c r="X899" s="197"/>
      <c r="Y899" s="197"/>
      <c r="Z899" s="197"/>
      <c r="AA899" s="197"/>
      <c r="AB899" s="197"/>
      <c r="AC899" s="197"/>
      <c r="AD899" s="208"/>
      <c r="AE899" s="200"/>
      <c r="AF899" s="200"/>
    </row>
    <row r="900" spans="5:32" ht="15.75" x14ac:dyDescent="0.25">
      <c r="E900" s="261"/>
      <c r="F900" s="193"/>
      <c r="G900" s="194"/>
      <c r="H900" s="195"/>
      <c r="I900" s="202"/>
      <c r="O900" s="197"/>
      <c r="P900" s="197"/>
      <c r="Q900" s="197"/>
      <c r="R900" s="197"/>
      <c r="S900" s="197"/>
      <c r="T900" s="197"/>
      <c r="U900" s="197"/>
      <c r="V900" s="197"/>
      <c r="W900" s="197"/>
      <c r="X900" s="197"/>
      <c r="Y900" s="197"/>
      <c r="Z900" s="197"/>
      <c r="AA900" s="197"/>
      <c r="AB900" s="197"/>
      <c r="AC900" s="197"/>
      <c r="AD900" s="208"/>
      <c r="AE900" s="200"/>
      <c r="AF900" s="200"/>
    </row>
    <row r="901" spans="5:32" ht="15.75" x14ac:dyDescent="0.25">
      <c r="E901" s="261"/>
      <c r="F901" s="193"/>
      <c r="G901" s="194"/>
      <c r="H901" s="195"/>
      <c r="I901" s="202"/>
      <c r="O901" s="197"/>
      <c r="P901" s="197"/>
      <c r="Q901" s="197"/>
      <c r="R901" s="197"/>
      <c r="S901" s="197"/>
      <c r="T901" s="197"/>
      <c r="U901" s="197"/>
      <c r="V901" s="197"/>
      <c r="W901" s="197"/>
      <c r="X901" s="197"/>
      <c r="Y901" s="197"/>
      <c r="Z901" s="197"/>
      <c r="AA901" s="197"/>
      <c r="AB901" s="197"/>
      <c r="AC901" s="197"/>
      <c r="AD901" s="208"/>
      <c r="AE901" s="200"/>
      <c r="AF901" s="200"/>
    </row>
    <row r="902" spans="5:32" ht="15.75" x14ac:dyDescent="0.25">
      <c r="E902" s="261"/>
      <c r="F902" s="193"/>
      <c r="G902" s="194"/>
      <c r="H902" s="195"/>
      <c r="I902" s="202"/>
      <c r="O902" s="197"/>
      <c r="P902" s="197"/>
      <c r="Q902" s="197"/>
      <c r="R902" s="197"/>
      <c r="S902" s="197"/>
      <c r="T902" s="197"/>
      <c r="U902" s="197"/>
      <c r="V902" s="197"/>
      <c r="W902" s="197"/>
      <c r="X902" s="197"/>
      <c r="Y902" s="197"/>
      <c r="Z902" s="197"/>
      <c r="AA902" s="197"/>
      <c r="AB902" s="197"/>
      <c r="AC902" s="197"/>
      <c r="AD902" s="208"/>
      <c r="AE902" s="200"/>
      <c r="AF902" s="200"/>
    </row>
    <row r="903" spans="5:32" ht="15.75" x14ac:dyDescent="0.25">
      <c r="E903" s="261"/>
      <c r="F903" s="193"/>
      <c r="G903" s="194"/>
      <c r="H903" s="195"/>
      <c r="I903" s="202"/>
      <c r="O903" s="197"/>
      <c r="P903" s="197"/>
      <c r="Q903" s="197"/>
      <c r="R903" s="197"/>
      <c r="S903" s="197"/>
      <c r="T903" s="197"/>
      <c r="U903" s="197"/>
      <c r="V903" s="197"/>
      <c r="W903" s="197"/>
      <c r="X903" s="197"/>
      <c r="Y903" s="197"/>
      <c r="Z903" s="197"/>
      <c r="AA903" s="197"/>
      <c r="AB903" s="197"/>
      <c r="AC903" s="197"/>
      <c r="AD903" s="208"/>
      <c r="AE903" s="200"/>
      <c r="AF903" s="200"/>
    </row>
    <row r="904" spans="5:32" ht="15.75" x14ac:dyDescent="0.25">
      <c r="E904" s="261"/>
      <c r="F904" s="193"/>
      <c r="G904" s="194"/>
      <c r="H904" s="195"/>
      <c r="I904" s="202"/>
      <c r="O904" s="197"/>
      <c r="P904" s="197"/>
      <c r="Q904" s="197"/>
      <c r="R904" s="197"/>
      <c r="S904" s="197"/>
      <c r="T904" s="197"/>
      <c r="U904" s="197"/>
      <c r="V904" s="197"/>
      <c r="W904" s="197"/>
      <c r="X904" s="197"/>
      <c r="Y904" s="197"/>
      <c r="Z904" s="197"/>
      <c r="AA904" s="197"/>
      <c r="AB904" s="197"/>
      <c r="AC904" s="197"/>
      <c r="AD904" s="208"/>
      <c r="AE904" s="200"/>
      <c r="AF904" s="200"/>
    </row>
    <row r="905" spans="5:32" ht="15.75" x14ac:dyDescent="0.25">
      <c r="E905" s="261"/>
      <c r="F905" s="193"/>
      <c r="G905" s="194"/>
      <c r="H905" s="195"/>
      <c r="I905" s="202"/>
      <c r="O905" s="197"/>
      <c r="P905" s="197"/>
      <c r="Q905" s="197"/>
      <c r="R905" s="197"/>
      <c r="S905" s="197"/>
      <c r="T905" s="197"/>
      <c r="U905" s="197"/>
      <c r="V905" s="197"/>
      <c r="W905" s="197"/>
      <c r="X905" s="197"/>
      <c r="Y905" s="197"/>
      <c r="Z905" s="197"/>
      <c r="AA905" s="197"/>
      <c r="AB905" s="197"/>
      <c r="AC905" s="197"/>
      <c r="AD905" s="208"/>
      <c r="AE905" s="200"/>
      <c r="AF905" s="200"/>
    </row>
    <row r="906" spans="5:32" ht="15.75" x14ac:dyDescent="0.25">
      <c r="E906" s="261"/>
      <c r="F906" s="193"/>
      <c r="G906" s="194"/>
      <c r="H906" s="195"/>
      <c r="I906" s="202"/>
      <c r="O906" s="197"/>
      <c r="P906" s="197"/>
      <c r="Q906" s="197"/>
      <c r="R906" s="197"/>
      <c r="S906" s="197"/>
      <c r="T906" s="197"/>
      <c r="U906" s="197"/>
      <c r="V906" s="197"/>
      <c r="W906" s="197"/>
      <c r="X906" s="197"/>
      <c r="Y906" s="197"/>
      <c r="Z906" s="197"/>
      <c r="AA906" s="197"/>
      <c r="AB906" s="197"/>
      <c r="AC906" s="197"/>
      <c r="AD906" s="208"/>
      <c r="AE906" s="200"/>
      <c r="AF906" s="200"/>
    </row>
    <row r="907" spans="5:32" ht="15.75" x14ac:dyDescent="0.25">
      <c r="E907" s="261"/>
      <c r="F907" s="193"/>
      <c r="G907" s="194"/>
      <c r="H907" s="195"/>
      <c r="I907" s="202"/>
      <c r="O907" s="197"/>
      <c r="P907" s="197"/>
      <c r="Q907" s="197"/>
      <c r="R907" s="197"/>
      <c r="S907" s="197"/>
      <c r="T907" s="197"/>
      <c r="U907" s="197"/>
      <c r="V907" s="197"/>
      <c r="W907" s="197"/>
      <c r="X907" s="197"/>
      <c r="Y907" s="197"/>
      <c r="Z907" s="197"/>
      <c r="AA907" s="197"/>
      <c r="AB907" s="197"/>
      <c r="AC907" s="197"/>
      <c r="AD907" s="208"/>
      <c r="AE907" s="200"/>
      <c r="AF907" s="200"/>
    </row>
    <row r="908" spans="5:32" ht="15.75" x14ac:dyDescent="0.25">
      <c r="E908" s="261"/>
      <c r="F908" s="193"/>
      <c r="G908" s="194"/>
      <c r="H908" s="195"/>
      <c r="I908" s="202"/>
      <c r="O908" s="197"/>
      <c r="P908" s="197"/>
      <c r="Q908" s="197"/>
      <c r="R908" s="197"/>
      <c r="S908" s="197"/>
      <c r="T908" s="197"/>
      <c r="U908" s="197"/>
      <c r="V908" s="197"/>
      <c r="W908" s="197"/>
      <c r="X908" s="197"/>
      <c r="Y908" s="197"/>
      <c r="Z908" s="197"/>
      <c r="AA908" s="197"/>
      <c r="AB908" s="197"/>
      <c r="AC908" s="197"/>
      <c r="AD908" s="208"/>
      <c r="AE908" s="200"/>
      <c r="AF908" s="200"/>
    </row>
    <row r="909" spans="5:32" ht="15.75" x14ac:dyDescent="0.25">
      <c r="E909" s="261"/>
      <c r="F909" s="193"/>
      <c r="G909" s="194"/>
      <c r="H909" s="195"/>
      <c r="I909" s="202"/>
      <c r="O909" s="197"/>
      <c r="P909" s="197"/>
      <c r="Q909" s="197"/>
      <c r="R909" s="197"/>
      <c r="S909" s="197"/>
      <c r="T909" s="197"/>
      <c r="U909" s="197"/>
      <c r="V909" s="197"/>
      <c r="W909" s="197"/>
      <c r="X909" s="197"/>
      <c r="Y909" s="197"/>
      <c r="Z909" s="197"/>
      <c r="AA909" s="197"/>
      <c r="AB909" s="197"/>
      <c r="AC909" s="197"/>
      <c r="AD909" s="208"/>
      <c r="AE909" s="200"/>
      <c r="AF909" s="200"/>
    </row>
    <row r="910" spans="5:32" ht="15.75" x14ac:dyDescent="0.25">
      <c r="E910" s="261"/>
      <c r="F910" s="193"/>
      <c r="G910" s="194"/>
      <c r="H910" s="195"/>
      <c r="I910" s="202"/>
      <c r="O910" s="197"/>
      <c r="P910" s="197"/>
      <c r="Q910" s="197"/>
      <c r="R910" s="197"/>
      <c r="S910" s="197"/>
      <c r="T910" s="197"/>
      <c r="U910" s="197"/>
      <c r="V910" s="197"/>
      <c r="W910" s="197"/>
      <c r="X910" s="197"/>
      <c r="Y910" s="197"/>
      <c r="Z910" s="197"/>
      <c r="AA910" s="197"/>
      <c r="AB910" s="197"/>
      <c r="AC910" s="197"/>
      <c r="AD910" s="208"/>
      <c r="AE910" s="200"/>
      <c r="AF910" s="200"/>
    </row>
    <row r="911" spans="5:32" ht="15.75" x14ac:dyDescent="0.25">
      <c r="E911" s="261"/>
      <c r="F911" s="193"/>
      <c r="G911" s="194"/>
      <c r="H911" s="195"/>
      <c r="I911" s="202"/>
      <c r="O911" s="197"/>
      <c r="P911" s="197"/>
      <c r="Q911" s="197"/>
      <c r="R911" s="197"/>
      <c r="S911" s="197"/>
      <c r="T911" s="197"/>
      <c r="U911" s="197"/>
      <c r="V911" s="197"/>
      <c r="W911" s="197"/>
      <c r="X911" s="197"/>
      <c r="Y911" s="197"/>
      <c r="Z911" s="197"/>
      <c r="AA911" s="197"/>
      <c r="AB911" s="197"/>
      <c r="AC911" s="197"/>
      <c r="AD911" s="208"/>
      <c r="AE911" s="200"/>
      <c r="AF911" s="200"/>
    </row>
    <row r="912" spans="5:32" ht="15.75" x14ac:dyDescent="0.25">
      <c r="E912" s="261"/>
      <c r="F912" s="193"/>
      <c r="G912" s="194"/>
      <c r="H912" s="195"/>
      <c r="I912" s="202"/>
      <c r="O912" s="197"/>
      <c r="P912" s="197"/>
      <c r="Q912" s="197"/>
      <c r="R912" s="197"/>
      <c r="S912" s="197"/>
      <c r="T912" s="197"/>
      <c r="U912" s="197"/>
      <c r="V912" s="197"/>
      <c r="W912" s="197"/>
      <c r="X912" s="197"/>
      <c r="Y912" s="197"/>
      <c r="Z912" s="197"/>
      <c r="AA912" s="197"/>
      <c r="AB912" s="197"/>
      <c r="AC912" s="197"/>
      <c r="AD912" s="208"/>
      <c r="AE912" s="200"/>
      <c r="AF912" s="200"/>
    </row>
    <row r="913" spans="5:32" ht="15.75" x14ac:dyDescent="0.25">
      <c r="E913" s="261"/>
      <c r="F913" s="193"/>
      <c r="G913" s="194"/>
      <c r="H913" s="195"/>
      <c r="I913" s="202"/>
      <c r="O913" s="197"/>
      <c r="P913" s="197"/>
      <c r="Q913" s="197"/>
      <c r="R913" s="197"/>
      <c r="S913" s="197"/>
      <c r="T913" s="197"/>
      <c r="U913" s="197"/>
      <c r="V913" s="197"/>
      <c r="W913" s="197"/>
      <c r="X913" s="197"/>
      <c r="Y913" s="197"/>
      <c r="Z913" s="197"/>
      <c r="AA913" s="197"/>
      <c r="AB913" s="197"/>
      <c r="AC913" s="197"/>
      <c r="AD913" s="208"/>
      <c r="AE913" s="200"/>
      <c r="AF913" s="200"/>
    </row>
    <row r="914" spans="5:32" ht="15.75" x14ac:dyDescent="0.25">
      <c r="E914" s="261"/>
      <c r="F914" s="193"/>
      <c r="G914" s="194"/>
      <c r="H914" s="195"/>
      <c r="I914" s="202"/>
      <c r="O914" s="197"/>
      <c r="P914" s="197"/>
      <c r="Q914" s="197"/>
      <c r="R914" s="197"/>
      <c r="S914" s="197"/>
      <c r="T914" s="197"/>
      <c r="U914" s="197"/>
      <c r="V914" s="197"/>
      <c r="W914" s="197"/>
      <c r="X914" s="197"/>
      <c r="Y914" s="197"/>
      <c r="Z914" s="197"/>
      <c r="AA914" s="197"/>
      <c r="AB914" s="197"/>
      <c r="AC914" s="197"/>
      <c r="AD914" s="208"/>
      <c r="AE914" s="200"/>
      <c r="AF914" s="200"/>
    </row>
    <row r="915" spans="5:32" ht="15.75" x14ac:dyDescent="0.25">
      <c r="E915" s="261"/>
      <c r="F915" s="193"/>
      <c r="G915" s="194"/>
      <c r="H915" s="195"/>
      <c r="I915" s="202"/>
      <c r="O915" s="197"/>
      <c r="P915" s="197"/>
      <c r="Q915" s="197"/>
      <c r="R915" s="197"/>
      <c r="S915" s="197"/>
      <c r="T915" s="197"/>
      <c r="U915" s="197"/>
      <c r="V915" s="197"/>
      <c r="W915" s="197"/>
      <c r="X915" s="197"/>
      <c r="Y915" s="197"/>
      <c r="Z915" s="197"/>
      <c r="AA915" s="197"/>
      <c r="AB915" s="197"/>
      <c r="AC915" s="197"/>
      <c r="AD915" s="208"/>
      <c r="AE915" s="200"/>
      <c r="AF915" s="200"/>
    </row>
    <row r="916" spans="5:32" ht="15.75" x14ac:dyDescent="0.25">
      <c r="E916" s="261"/>
      <c r="F916" s="193"/>
      <c r="G916" s="194"/>
      <c r="H916" s="195"/>
      <c r="I916" s="202"/>
      <c r="O916" s="197"/>
      <c r="P916" s="197"/>
      <c r="Q916" s="197"/>
      <c r="R916" s="197"/>
      <c r="S916" s="197"/>
      <c r="T916" s="197"/>
      <c r="U916" s="197"/>
      <c r="V916" s="197"/>
      <c r="W916" s="197"/>
      <c r="X916" s="197"/>
      <c r="Y916" s="197"/>
      <c r="Z916" s="197"/>
      <c r="AA916" s="197"/>
      <c r="AB916" s="197"/>
      <c r="AC916" s="197"/>
      <c r="AD916" s="208"/>
      <c r="AE916" s="200"/>
      <c r="AF916" s="200"/>
    </row>
    <row r="917" spans="5:32" ht="15.75" x14ac:dyDescent="0.25">
      <c r="E917" s="261"/>
      <c r="F917" s="193"/>
      <c r="G917" s="194"/>
      <c r="H917" s="195"/>
      <c r="I917" s="202"/>
      <c r="O917" s="197"/>
      <c r="P917" s="197"/>
      <c r="Q917" s="197"/>
      <c r="R917" s="197"/>
      <c r="S917" s="197"/>
      <c r="T917" s="197"/>
      <c r="U917" s="197"/>
      <c r="V917" s="197"/>
      <c r="W917" s="197"/>
      <c r="X917" s="197"/>
      <c r="Y917" s="197"/>
      <c r="Z917" s="197"/>
      <c r="AA917" s="197"/>
      <c r="AB917" s="197"/>
      <c r="AC917" s="197"/>
      <c r="AD917" s="208"/>
      <c r="AE917" s="200"/>
      <c r="AF917" s="200"/>
    </row>
    <row r="918" spans="5:32" ht="15.75" x14ac:dyDescent="0.25">
      <c r="E918" s="261"/>
      <c r="F918" s="193"/>
      <c r="G918" s="194"/>
      <c r="H918" s="195"/>
      <c r="I918" s="202"/>
      <c r="O918" s="197"/>
      <c r="P918" s="197"/>
      <c r="Q918" s="197"/>
      <c r="R918" s="197"/>
      <c r="S918" s="197"/>
      <c r="T918" s="197"/>
      <c r="U918" s="197"/>
      <c r="V918" s="197"/>
      <c r="W918" s="197"/>
      <c r="X918" s="197"/>
      <c r="Y918" s="197"/>
      <c r="Z918" s="197"/>
      <c r="AA918" s="197"/>
      <c r="AB918" s="197"/>
      <c r="AC918" s="197"/>
      <c r="AD918" s="208"/>
      <c r="AE918" s="200"/>
      <c r="AF918" s="200"/>
    </row>
    <row r="919" spans="5:32" ht="15.75" x14ac:dyDescent="0.25">
      <c r="E919" s="261"/>
      <c r="F919" s="193"/>
      <c r="G919" s="194"/>
      <c r="H919" s="195"/>
      <c r="I919" s="202"/>
      <c r="O919" s="197"/>
      <c r="P919" s="197"/>
      <c r="Q919" s="197"/>
      <c r="R919" s="197"/>
      <c r="S919" s="197"/>
      <c r="T919" s="197"/>
      <c r="U919" s="197"/>
      <c r="V919" s="197"/>
      <c r="W919" s="197"/>
      <c r="X919" s="197"/>
      <c r="Y919" s="197"/>
      <c r="Z919" s="197"/>
      <c r="AA919" s="197"/>
      <c r="AB919" s="197"/>
      <c r="AC919" s="197"/>
      <c r="AD919" s="208"/>
      <c r="AE919" s="200"/>
      <c r="AF919" s="200"/>
    </row>
    <row r="920" spans="5:32" ht="15.75" x14ac:dyDescent="0.25">
      <c r="E920" s="261"/>
      <c r="F920" s="193"/>
      <c r="G920" s="194"/>
      <c r="H920" s="195"/>
      <c r="I920" s="202"/>
      <c r="O920" s="197"/>
      <c r="P920" s="197"/>
      <c r="Q920" s="197"/>
      <c r="R920" s="197"/>
      <c r="S920" s="197"/>
      <c r="T920" s="197"/>
      <c r="U920" s="197"/>
      <c r="V920" s="197"/>
      <c r="W920" s="197"/>
      <c r="X920" s="197"/>
      <c r="Y920" s="197"/>
      <c r="Z920" s="197"/>
      <c r="AA920" s="197"/>
      <c r="AB920" s="197"/>
      <c r="AC920" s="197"/>
      <c r="AD920" s="208"/>
      <c r="AE920" s="200"/>
      <c r="AF920" s="200"/>
    </row>
    <row r="921" spans="5:32" ht="15.75" x14ac:dyDescent="0.25">
      <c r="E921" s="261"/>
      <c r="F921" s="193"/>
      <c r="G921" s="194"/>
      <c r="H921" s="195"/>
      <c r="I921" s="202"/>
      <c r="O921" s="197"/>
      <c r="P921" s="197"/>
      <c r="Q921" s="197"/>
      <c r="R921" s="197"/>
      <c r="S921" s="197"/>
      <c r="T921" s="197"/>
      <c r="U921" s="197"/>
      <c r="V921" s="197"/>
      <c r="W921" s="197"/>
      <c r="X921" s="197"/>
      <c r="Y921" s="197"/>
      <c r="Z921" s="197"/>
      <c r="AA921" s="197"/>
      <c r="AB921" s="197"/>
      <c r="AC921" s="197"/>
      <c r="AD921" s="208"/>
      <c r="AE921" s="200"/>
      <c r="AF921" s="200"/>
    </row>
    <row r="922" spans="5:32" ht="15.75" x14ac:dyDescent="0.25">
      <c r="E922" s="261"/>
      <c r="F922" s="193"/>
      <c r="G922" s="194"/>
      <c r="H922" s="195"/>
      <c r="I922" s="202"/>
      <c r="O922" s="197"/>
      <c r="P922" s="197"/>
      <c r="Q922" s="197"/>
      <c r="R922" s="197"/>
      <c r="S922" s="197"/>
      <c r="T922" s="197"/>
      <c r="U922" s="197"/>
      <c r="V922" s="197"/>
      <c r="W922" s="197"/>
      <c r="X922" s="197"/>
      <c r="Y922" s="197"/>
      <c r="Z922" s="197"/>
      <c r="AA922" s="197"/>
      <c r="AB922" s="197"/>
      <c r="AC922" s="197"/>
      <c r="AD922" s="208"/>
      <c r="AE922" s="200"/>
      <c r="AF922" s="200"/>
    </row>
    <row r="923" spans="5:32" ht="15.75" x14ac:dyDescent="0.25">
      <c r="E923" s="261"/>
      <c r="F923" s="193"/>
      <c r="G923" s="194"/>
      <c r="H923" s="195"/>
      <c r="I923" s="202"/>
      <c r="O923" s="197"/>
      <c r="P923" s="197"/>
      <c r="Q923" s="197"/>
      <c r="R923" s="197"/>
      <c r="S923" s="197"/>
      <c r="T923" s="197"/>
      <c r="U923" s="197"/>
      <c r="V923" s="197"/>
      <c r="W923" s="197"/>
      <c r="X923" s="197"/>
      <c r="Y923" s="197"/>
      <c r="Z923" s="197"/>
      <c r="AA923" s="197"/>
      <c r="AB923" s="197"/>
      <c r="AC923" s="197"/>
      <c r="AD923" s="208"/>
      <c r="AE923" s="200"/>
      <c r="AF923" s="200"/>
    </row>
    <row r="924" spans="5:32" ht="15.75" x14ac:dyDescent="0.25">
      <c r="E924" s="261"/>
      <c r="F924" s="193"/>
      <c r="G924" s="194"/>
      <c r="H924" s="195"/>
      <c r="I924" s="202"/>
      <c r="O924" s="197"/>
      <c r="P924" s="197"/>
      <c r="Q924" s="197"/>
      <c r="R924" s="197"/>
      <c r="S924" s="197"/>
      <c r="T924" s="197"/>
      <c r="U924" s="197"/>
      <c r="V924" s="197"/>
      <c r="W924" s="197"/>
      <c r="X924" s="197"/>
      <c r="Y924" s="197"/>
      <c r="Z924" s="197"/>
      <c r="AA924" s="197"/>
      <c r="AB924" s="197"/>
      <c r="AC924" s="197"/>
      <c r="AD924" s="208"/>
      <c r="AE924" s="200"/>
      <c r="AF924" s="200"/>
    </row>
    <row r="925" spans="5:32" ht="15.75" x14ac:dyDescent="0.25">
      <c r="E925" s="261"/>
      <c r="F925" s="193"/>
      <c r="G925" s="194"/>
      <c r="H925" s="195"/>
      <c r="I925" s="202"/>
      <c r="O925" s="197"/>
      <c r="P925" s="197"/>
      <c r="Q925" s="197"/>
      <c r="R925" s="197"/>
      <c r="S925" s="197"/>
      <c r="T925" s="197"/>
      <c r="U925" s="197"/>
      <c r="V925" s="197"/>
      <c r="W925" s="197"/>
      <c r="X925" s="197"/>
      <c r="Y925" s="197"/>
      <c r="Z925" s="197"/>
      <c r="AA925" s="197"/>
      <c r="AB925" s="197"/>
      <c r="AC925" s="197"/>
      <c r="AD925" s="208"/>
      <c r="AE925" s="200"/>
      <c r="AF925" s="200"/>
    </row>
    <row r="926" spans="5:32" ht="15.75" x14ac:dyDescent="0.25">
      <c r="E926" s="261"/>
      <c r="F926" s="193"/>
      <c r="G926" s="194"/>
      <c r="H926" s="195"/>
      <c r="I926" s="202"/>
      <c r="O926" s="197"/>
      <c r="P926" s="197"/>
      <c r="Q926" s="197"/>
      <c r="R926" s="197"/>
      <c r="S926" s="197"/>
      <c r="T926" s="197"/>
      <c r="U926" s="197"/>
      <c r="V926" s="197"/>
      <c r="W926" s="197"/>
      <c r="X926" s="197"/>
      <c r="Y926" s="197"/>
      <c r="Z926" s="197"/>
      <c r="AA926" s="197"/>
      <c r="AB926" s="197"/>
      <c r="AC926" s="197"/>
      <c r="AD926" s="208"/>
      <c r="AE926" s="200"/>
      <c r="AF926" s="200"/>
    </row>
    <row r="927" spans="5:32" ht="15.75" x14ac:dyDescent="0.25">
      <c r="E927" s="261"/>
      <c r="F927" s="193"/>
      <c r="G927" s="194"/>
      <c r="H927" s="195"/>
      <c r="I927" s="202"/>
      <c r="O927" s="197"/>
      <c r="P927" s="197"/>
      <c r="Q927" s="197"/>
      <c r="R927" s="197"/>
      <c r="S927" s="197"/>
      <c r="T927" s="197"/>
      <c r="U927" s="197"/>
      <c r="V927" s="197"/>
      <c r="W927" s="197"/>
      <c r="X927" s="197"/>
      <c r="Y927" s="197"/>
      <c r="Z927" s="197"/>
      <c r="AA927" s="197"/>
      <c r="AB927" s="197"/>
      <c r="AC927" s="197"/>
      <c r="AD927" s="208"/>
      <c r="AE927" s="200"/>
      <c r="AF927" s="200"/>
    </row>
    <row r="928" spans="5:32" ht="15.75" x14ac:dyDescent="0.25">
      <c r="E928" s="261"/>
      <c r="F928" s="193"/>
      <c r="G928" s="194"/>
      <c r="H928" s="195"/>
      <c r="I928" s="202"/>
      <c r="O928" s="197"/>
      <c r="P928" s="197"/>
      <c r="Q928" s="197"/>
      <c r="R928" s="197"/>
      <c r="S928" s="197"/>
      <c r="T928" s="197"/>
      <c r="U928" s="197"/>
      <c r="V928" s="197"/>
      <c r="W928" s="197"/>
      <c r="X928" s="197"/>
      <c r="Y928" s="197"/>
      <c r="Z928" s="197"/>
      <c r="AA928" s="197"/>
      <c r="AB928" s="197"/>
      <c r="AC928" s="197"/>
      <c r="AD928" s="208"/>
      <c r="AE928" s="200"/>
      <c r="AF928" s="200"/>
    </row>
    <row r="929" spans="5:32" ht="15.75" x14ac:dyDescent="0.25">
      <c r="E929" s="261"/>
      <c r="F929" s="193"/>
      <c r="G929" s="194"/>
      <c r="H929" s="195"/>
      <c r="I929" s="202"/>
      <c r="O929" s="197"/>
      <c r="P929" s="197"/>
      <c r="Q929" s="197"/>
      <c r="R929" s="197"/>
      <c r="S929" s="197"/>
      <c r="T929" s="197"/>
      <c r="U929" s="197"/>
      <c r="V929" s="197"/>
      <c r="W929" s="197"/>
      <c r="X929" s="197"/>
      <c r="Y929" s="197"/>
      <c r="Z929" s="197"/>
      <c r="AA929" s="197"/>
      <c r="AB929" s="197"/>
      <c r="AC929" s="197"/>
      <c r="AD929" s="208"/>
      <c r="AE929" s="200"/>
      <c r="AF929" s="200"/>
    </row>
    <row r="930" spans="5:32" ht="15.75" x14ac:dyDescent="0.25">
      <c r="E930" s="261"/>
      <c r="F930" s="193"/>
      <c r="G930" s="194"/>
      <c r="H930" s="195"/>
      <c r="I930" s="202"/>
      <c r="O930" s="197"/>
      <c r="P930" s="197"/>
      <c r="Q930" s="197"/>
      <c r="R930" s="197"/>
      <c r="S930" s="197"/>
      <c r="T930" s="197"/>
      <c r="U930" s="197"/>
      <c r="V930" s="197"/>
      <c r="W930" s="197"/>
      <c r="X930" s="197"/>
      <c r="Y930" s="197"/>
      <c r="Z930" s="197"/>
      <c r="AA930" s="197"/>
      <c r="AB930" s="197"/>
      <c r="AC930" s="197"/>
      <c r="AD930" s="208"/>
      <c r="AE930" s="200"/>
      <c r="AF930" s="200"/>
    </row>
    <row r="931" spans="5:32" ht="15.75" x14ac:dyDescent="0.25">
      <c r="E931" s="261"/>
      <c r="F931" s="193"/>
      <c r="G931" s="194"/>
      <c r="H931" s="195"/>
      <c r="I931" s="202"/>
      <c r="O931" s="197"/>
      <c r="P931" s="197"/>
      <c r="Q931" s="197"/>
      <c r="R931" s="197"/>
      <c r="S931" s="197"/>
      <c r="T931" s="197"/>
      <c r="U931" s="197"/>
      <c r="V931" s="197"/>
      <c r="W931" s="197"/>
      <c r="X931" s="197"/>
      <c r="Y931" s="197"/>
      <c r="Z931" s="197"/>
      <c r="AA931" s="197"/>
      <c r="AB931" s="197"/>
      <c r="AC931" s="197"/>
      <c r="AD931" s="208"/>
      <c r="AE931" s="200"/>
      <c r="AF931" s="200"/>
    </row>
    <row r="932" spans="5:32" ht="15.75" x14ac:dyDescent="0.25">
      <c r="E932" s="261"/>
      <c r="F932" s="193"/>
      <c r="G932" s="194"/>
      <c r="H932" s="195"/>
      <c r="I932" s="202"/>
      <c r="O932" s="197"/>
      <c r="P932" s="197"/>
      <c r="Q932" s="197"/>
      <c r="R932" s="197"/>
      <c r="S932" s="197"/>
      <c r="T932" s="197"/>
      <c r="U932" s="197"/>
      <c r="V932" s="197"/>
      <c r="W932" s="197"/>
      <c r="X932" s="197"/>
      <c r="Y932" s="197"/>
      <c r="Z932" s="197"/>
      <c r="AA932" s="197"/>
      <c r="AB932" s="197"/>
      <c r="AC932" s="197"/>
      <c r="AD932" s="208"/>
      <c r="AE932" s="200"/>
      <c r="AF932" s="200"/>
    </row>
    <row r="933" spans="5:32" ht="15.75" x14ac:dyDescent="0.25">
      <c r="E933" s="261"/>
      <c r="F933" s="193"/>
      <c r="G933" s="194"/>
      <c r="H933" s="195"/>
      <c r="I933" s="202"/>
      <c r="O933" s="197"/>
      <c r="P933" s="197"/>
      <c r="Q933" s="197"/>
      <c r="R933" s="197"/>
      <c r="S933" s="197"/>
      <c r="T933" s="197"/>
      <c r="U933" s="197"/>
      <c r="V933" s="197"/>
      <c r="W933" s="197"/>
      <c r="X933" s="197"/>
      <c r="Y933" s="197"/>
      <c r="Z933" s="197"/>
      <c r="AA933" s="197"/>
      <c r="AB933" s="197"/>
      <c r="AC933" s="197"/>
      <c r="AD933" s="208"/>
      <c r="AE933" s="200"/>
      <c r="AF933" s="200"/>
    </row>
    <row r="934" spans="5:32" ht="15.75" x14ac:dyDescent="0.25">
      <c r="E934" s="261"/>
      <c r="F934" s="193"/>
      <c r="G934" s="194"/>
      <c r="H934" s="195"/>
      <c r="I934" s="202"/>
      <c r="O934" s="197"/>
      <c r="P934" s="197"/>
      <c r="Q934" s="197"/>
      <c r="R934" s="197"/>
      <c r="S934" s="197"/>
      <c r="T934" s="197"/>
      <c r="U934" s="197"/>
      <c r="V934" s="197"/>
      <c r="W934" s="197"/>
      <c r="X934" s="197"/>
      <c r="Y934" s="197"/>
      <c r="Z934" s="197"/>
      <c r="AA934" s="197"/>
      <c r="AB934" s="197"/>
      <c r="AC934" s="197"/>
      <c r="AD934" s="208"/>
      <c r="AE934" s="200"/>
      <c r="AF934" s="200"/>
    </row>
    <row r="935" spans="5:32" ht="15.75" x14ac:dyDescent="0.25">
      <c r="E935" s="261"/>
      <c r="F935" s="193"/>
      <c r="G935" s="194"/>
      <c r="H935" s="195"/>
      <c r="I935" s="202"/>
      <c r="O935" s="197"/>
      <c r="P935" s="197"/>
      <c r="Q935" s="197"/>
      <c r="R935" s="197"/>
      <c r="S935" s="197"/>
      <c r="T935" s="197"/>
      <c r="U935" s="197"/>
      <c r="V935" s="197"/>
      <c r="W935" s="197"/>
      <c r="X935" s="197"/>
      <c r="Y935" s="197"/>
      <c r="Z935" s="197"/>
      <c r="AA935" s="197"/>
      <c r="AB935" s="197"/>
      <c r="AC935" s="197"/>
      <c r="AD935" s="208"/>
      <c r="AE935" s="200"/>
      <c r="AF935" s="200"/>
    </row>
    <row r="936" spans="5:32" ht="15.75" x14ac:dyDescent="0.25">
      <c r="E936" s="261"/>
      <c r="F936" s="193"/>
      <c r="G936" s="194"/>
      <c r="H936" s="195"/>
      <c r="I936" s="202"/>
      <c r="O936" s="197"/>
      <c r="P936" s="197"/>
      <c r="Q936" s="197"/>
      <c r="R936" s="197"/>
      <c r="S936" s="197"/>
      <c r="T936" s="197"/>
      <c r="U936" s="197"/>
      <c r="V936" s="197"/>
      <c r="W936" s="197"/>
      <c r="X936" s="197"/>
      <c r="Y936" s="197"/>
      <c r="Z936" s="197"/>
      <c r="AA936" s="197"/>
      <c r="AB936" s="197"/>
      <c r="AC936" s="197"/>
      <c r="AD936" s="208"/>
      <c r="AE936" s="200"/>
      <c r="AF936" s="200"/>
    </row>
    <row r="937" spans="5:32" ht="15.75" x14ac:dyDescent="0.25">
      <c r="E937" s="261"/>
      <c r="F937" s="193"/>
      <c r="G937" s="194"/>
      <c r="H937" s="195"/>
      <c r="I937" s="202"/>
      <c r="O937" s="197"/>
      <c r="P937" s="197"/>
      <c r="Q937" s="197"/>
      <c r="R937" s="197"/>
      <c r="S937" s="197"/>
      <c r="T937" s="197"/>
      <c r="U937" s="197"/>
      <c r="V937" s="197"/>
      <c r="W937" s="197"/>
      <c r="X937" s="197"/>
      <c r="Y937" s="197"/>
      <c r="Z937" s="197"/>
      <c r="AA937" s="197"/>
      <c r="AB937" s="197"/>
      <c r="AC937" s="197"/>
      <c r="AD937" s="208"/>
      <c r="AE937" s="200"/>
      <c r="AF937" s="200"/>
    </row>
    <row r="938" spans="5:32" ht="15.75" x14ac:dyDescent="0.25">
      <c r="E938" s="261"/>
      <c r="F938" s="193"/>
      <c r="G938" s="194"/>
      <c r="H938" s="195"/>
      <c r="I938" s="202"/>
      <c r="O938" s="197"/>
      <c r="P938" s="197"/>
      <c r="Q938" s="197"/>
      <c r="R938" s="197"/>
      <c r="S938" s="197"/>
      <c r="T938" s="197"/>
      <c r="U938" s="197"/>
      <c r="V938" s="197"/>
      <c r="W938" s="197"/>
      <c r="X938" s="197"/>
      <c r="Y938" s="197"/>
      <c r="Z938" s="197"/>
      <c r="AA938" s="197"/>
      <c r="AB938" s="197"/>
      <c r="AC938" s="197"/>
      <c r="AD938" s="208"/>
      <c r="AE938" s="200"/>
      <c r="AF938" s="200"/>
    </row>
    <row r="939" spans="5:32" ht="15.75" x14ac:dyDescent="0.25">
      <c r="E939" s="261"/>
      <c r="F939" s="193"/>
      <c r="G939" s="194"/>
      <c r="H939" s="195"/>
      <c r="I939" s="202"/>
      <c r="O939" s="197"/>
      <c r="P939" s="197"/>
      <c r="Q939" s="197"/>
      <c r="R939" s="197"/>
      <c r="S939" s="197"/>
      <c r="T939" s="197"/>
      <c r="U939" s="197"/>
      <c r="V939" s="197"/>
      <c r="W939" s="197"/>
      <c r="X939" s="197"/>
      <c r="Y939" s="197"/>
      <c r="Z939" s="197"/>
      <c r="AA939" s="197"/>
      <c r="AB939" s="197"/>
      <c r="AC939" s="197"/>
      <c r="AD939" s="208"/>
      <c r="AE939" s="200"/>
      <c r="AF939" s="200"/>
    </row>
    <row r="940" spans="5:32" ht="15.75" x14ac:dyDescent="0.25">
      <c r="E940" s="261"/>
      <c r="F940" s="193"/>
      <c r="G940" s="194"/>
      <c r="H940" s="195"/>
      <c r="I940" s="202"/>
      <c r="O940" s="197"/>
      <c r="P940" s="197"/>
      <c r="Q940" s="197"/>
      <c r="R940" s="197"/>
      <c r="S940" s="197"/>
      <c r="T940" s="197"/>
      <c r="U940" s="197"/>
      <c r="V940" s="197"/>
      <c r="W940" s="197"/>
      <c r="X940" s="197"/>
      <c r="Y940" s="197"/>
      <c r="Z940" s="197"/>
      <c r="AA940" s="197"/>
      <c r="AB940" s="197"/>
      <c r="AC940" s="197"/>
      <c r="AD940" s="208"/>
      <c r="AE940" s="200"/>
      <c r="AF940" s="200"/>
    </row>
    <row r="941" spans="5:32" ht="15.75" x14ac:dyDescent="0.25">
      <c r="E941" s="261"/>
      <c r="F941" s="193"/>
      <c r="G941" s="194"/>
      <c r="H941" s="195"/>
      <c r="I941" s="202"/>
      <c r="O941" s="197"/>
      <c r="P941" s="197"/>
      <c r="Q941" s="197"/>
      <c r="R941" s="197"/>
      <c r="S941" s="197"/>
      <c r="T941" s="197"/>
      <c r="U941" s="197"/>
      <c r="V941" s="197"/>
      <c r="W941" s="197"/>
      <c r="X941" s="197"/>
      <c r="Y941" s="197"/>
      <c r="Z941" s="197"/>
      <c r="AA941" s="197"/>
      <c r="AB941" s="197"/>
      <c r="AC941" s="197"/>
      <c r="AD941" s="208"/>
      <c r="AE941" s="200"/>
      <c r="AF941" s="200"/>
    </row>
    <row r="942" spans="5:32" ht="15.75" x14ac:dyDescent="0.25">
      <c r="E942" s="261"/>
      <c r="F942" s="193"/>
      <c r="G942" s="194"/>
      <c r="H942" s="195"/>
      <c r="I942" s="202"/>
      <c r="O942" s="197"/>
      <c r="P942" s="197"/>
      <c r="Q942" s="197"/>
      <c r="R942" s="197"/>
      <c r="S942" s="197"/>
      <c r="T942" s="197"/>
      <c r="U942" s="197"/>
      <c r="V942" s="197"/>
      <c r="W942" s="197"/>
      <c r="X942" s="197"/>
      <c r="Y942" s="197"/>
      <c r="Z942" s="197"/>
      <c r="AA942" s="197"/>
      <c r="AB942" s="197"/>
      <c r="AC942" s="197"/>
      <c r="AD942" s="208"/>
      <c r="AE942" s="200"/>
      <c r="AF942" s="200"/>
    </row>
    <row r="943" spans="5:32" ht="15.75" x14ac:dyDescent="0.25">
      <c r="E943" s="261"/>
      <c r="F943" s="193"/>
      <c r="G943" s="194"/>
      <c r="H943" s="195"/>
      <c r="I943" s="202"/>
      <c r="O943" s="197"/>
      <c r="P943" s="197"/>
      <c r="Q943" s="197"/>
      <c r="R943" s="197"/>
      <c r="S943" s="197"/>
      <c r="T943" s="197"/>
      <c r="U943" s="197"/>
      <c r="V943" s="197"/>
      <c r="W943" s="197"/>
      <c r="X943" s="197"/>
      <c r="Y943" s="197"/>
      <c r="Z943" s="197"/>
      <c r="AA943" s="197"/>
      <c r="AB943" s="197"/>
      <c r="AC943" s="197"/>
      <c r="AD943" s="208"/>
      <c r="AE943" s="200"/>
      <c r="AF943" s="200"/>
    </row>
    <row r="944" spans="5:32" ht="15.75" x14ac:dyDescent="0.25">
      <c r="E944" s="261"/>
      <c r="F944" s="193"/>
      <c r="G944" s="194"/>
      <c r="H944" s="195"/>
      <c r="I944" s="202"/>
      <c r="O944" s="197"/>
      <c r="P944" s="197"/>
      <c r="Q944" s="197"/>
      <c r="R944" s="197"/>
      <c r="S944" s="197"/>
      <c r="T944" s="197"/>
      <c r="U944" s="197"/>
      <c r="V944" s="197"/>
      <c r="W944" s="197"/>
      <c r="X944" s="197"/>
      <c r="Y944" s="197"/>
      <c r="Z944" s="197"/>
      <c r="AA944" s="197"/>
      <c r="AB944" s="197"/>
      <c r="AC944" s="197"/>
      <c r="AD944" s="208"/>
      <c r="AE944" s="200"/>
      <c r="AF944" s="200"/>
    </row>
    <row r="945" spans="5:32" ht="15.75" x14ac:dyDescent="0.25">
      <c r="E945" s="261"/>
      <c r="F945" s="193"/>
      <c r="G945" s="194"/>
      <c r="H945" s="195"/>
      <c r="I945" s="202"/>
      <c r="O945" s="197"/>
      <c r="P945" s="197"/>
      <c r="Q945" s="197"/>
      <c r="R945" s="197"/>
      <c r="S945" s="197"/>
      <c r="T945" s="197"/>
      <c r="U945" s="197"/>
      <c r="V945" s="197"/>
      <c r="W945" s="197"/>
      <c r="X945" s="197"/>
      <c r="Y945" s="197"/>
      <c r="Z945" s="197"/>
      <c r="AA945" s="197"/>
      <c r="AB945" s="197"/>
      <c r="AC945" s="197"/>
      <c r="AD945" s="208"/>
      <c r="AE945" s="200"/>
      <c r="AF945" s="200"/>
    </row>
    <row r="946" spans="5:32" ht="15.75" x14ac:dyDescent="0.25">
      <c r="E946" s="261"/>
      <c r="F946" s="193"/>
      <c r="G946" s="194"/>
      <c r="H946" s="195"/>
      <c r="I946" s="202"/>
      <c r="O946" s="197"/>
      <c r="P946" s="197"/>
      <c r="Q946" s="197"/>
      <c r="R946" s="197"/>
      <c r="S946" s="197"/>
      <c r="T946" s="197"/>
      <c r="U946" s="197"/>
      <c r="V946" s="197"/>
      <c r="W946" s="197"/>
      <c r="X946" s="197"/>
      <c r="Y946" s="197"/>
      <c r="Z946" s="197"/>
      <c r="AA946" s="197"/>
      <c r="AB946" s="197"/>
      <c r="AC946" s="197"/>
      <c r="AD946" s="208"/>
      <c r="AE946" s="200"/>
      <c r="AF946" s="200"/>
    </row>
    <row r="947" spans="5:32" ht="15.75" x14ac:dyDescent="0.25">
      <c r="E947" s="261"/>
      <c r="F947" s="193"/>
      <c r="G947" s="194"/>
      <c r="H947" s="195"/>
      <c r="I947" s="202"/>
      <c r="O947" s="197"/>
      <c r="P947" s="197"/>
      <c r="Q947" s="197"/>
      <c r="R947" s="197"/>
      <c r="S947" s="197"/>
      <c r="T947" s="197"/>
      <c r="U947" s="197"/>
      <c r="V947" s="197"/>
      <c r="W947" s="197"/>
      <c r="X947" s="197"/>
      <c r="Y947" s="197"/>
      <c r="Z947" s="197"/>
      <c r="AA947" s="197"/>
      <c r="AB947" s="197"/>
      <c r="AC947" s="197"/>
      <c r="AD947" s="208"/>
      <c r="AE947" s="200"/>
      <c r="AF947" s="200"/>
    </row>
    <row r="948" spans="5:32" ht="15.75" x14ac:dyDescent="0.25">
      <c r="E948" s="261"/>
      <c r="F948" s="193"/>
      <c r="G948" s="194"/>
      <c r="H948" s="195"/>
      <c r="I948" s="202"/>
      <c r="O948" s="197"/>
      <c r="P948" s="197"/>
      <c r="Q948" s="197"/>
      <c r="R948" s="197"/>
      <c r="S948" s="197"/>
      <c r="T948" s="197"/>
      <c r="U948" s="197"/>
      <c r="V948" s="197"/>
      <c r="W948" s="197"/>
      <c r="X948" s="197"/>
      <c r="Y948" s="197"/>
      <c r="Z948" s="197"/>
      <c r="AA948" s="197"/>
      <c r="AB948" s="197"/>
      <c r="AC948" s="197"/>
      <c r="AD948" s="208"/>
      <c r="AE948" s="200"/>
      <c r="AF948" s="200"/>
    </row>
    <row r="949" spans="5:32" ht="15.75" x14ac:dyDescent="0.25">
      <c r="E949" s="261"/>
      <c r="F949" s="193"/>
      <c r="G949" s="194"/>
      <c r="H949" s="195"/>
      <c r="I949" s="202"/>
      <c r="O949" s="197"/>
      <c r="P949" s="197"/>
      <c r="Q949" s="197"/>
      <c r="R949" s="197"/>
      <c r="S949" s="197"/>
      <c r="T949" s="197"/>
      <c r="U949" s="197"/>
      <c r="V949" s="197"/>
      <c r="W949" s="197"/>
      <c r="X949" s="197"/>
      <c r="Y949" s="197"/>
      <c r="Z949" s="197"/>
      <c r="AA949" s="197"/>
      <c r="AB949" s="197"/>
      <c r="AC949" s="197"/>
      <c r="AD949" s="208"/>
      <c r="AE949" s="200"/>
      <c r="AF949" s="200"/>
    </row>
    <row r="950" spans="5:32" ht="15.75" x14ac:dyDescent="0.25">
      <c r="E950" s="261"/>
      <c r="F950" s="193"/>
      <c r="G950" s="194"/>
      <c r="H950" s="195"/>
      <c r="I950" s="202"/>
      <c r="O950" s="197"/>
      <c r="P950" s="197"/>
      <c r="Q950" s="197"/>
      <c r="R950" s="197"/>
      <c r="S950" s="197"/>
      <c r="T950" s="197"/>
      <c r="U950" s="197"/>
      <c r="V950" s="197"/>
      <c r="W950" s="197"/>
      <c r="X950" s="197"/>
      <c r="Y950" s="197"/>
      <c r="Z950" s="197"/>
      <c r="AA950" s="197"/>
      <c r="AB950" s="197"/>
      <c r="AC950" s="197"/>
      <c r="AD950" s="208"/>
      <c r="AE950" s="200"/>
      <c r="AF950" s="200"/>
    </row>
    <row r="951" spans="5:32" ht="15.75" x14ac:dyDescent="0.25">
      <c r="E951" s="261"/>
      <c r="F951" s="193"/>
      <c r="G951" s="194"/>
      <c r="H951" s="195"/>
      <c r="I951" s="202"/>
      <c r="O951" s="197"/>
      <c r="P951" s="197"/>
      <c r="Q951" s="197"/>
      <c r="R951" s="197"/>
      <c r="S951" s="197"/>
      <c r="T951" s="197"/>
      <c r="U951" s="197"/>
      <c r="V951" s="197"/>
      <c r="W951" s="197"/>
      <c r="X951" s="197"/>
      <c r="Y951" s="197"/>
      <c r="Z951" s="197"/>
      <c r="AA951" s="197"/>
      <c r="AB951" s="197"/>
      <c r="AC951" s="197"/>
      <c r="AD951" s="208"/>
      <c r="AE951" s="200"/>
      <c r="AF951" s="200"/>
    </row>
    <row r="952" spans="5:32" ht="15.75" x14ac:dyDescent="0.25">
      <c r="E952" s="261"/>
      <c r="F952" s="193"/>
      <c r="G952" s="194"/>
      <c r="H952" s="195"/>
      <c r="I952" s="202"/>
      <c r="O952" s="197"/>
      <c r="P952" s="197"/>
      <c r="Q952" s="197"/>
      <c r="R952" s="197"/>
      <c r="S952" s="197"/>
      <c r="T952" s="197"/>
      <c r="U952" s="197"/>
      <c r="V952" s="197"/>
      <c r="W952" s="197"/>
      <c r="X952" s="197"/>
      <c r="Y952" s="197"/>
      <c r="Z952" s="197"/>
      <c r="AA952" s="197"/>
      <c r="AB952" s="197"/>
      <c r="AC952" s="197"/>
      <c r="AD952" s="208"/>
      <c r="AE952" s="200"/>
      <c r="AF952" s="200"/>
    </row>
    <row r="953" spans="5:32" ht="15.75" x14ac:dyDescent="0.25">
      <c r="E953" s="261"/>
      <c r="F953" s="193"/>
      <c r="G953" s="194"/>
      <c r="H953" s="195"/>
      <c r="I953" s="202"/>
      <c r="O953" s="197"/>
      <c r="P953" s="197"/>
      <c r="Q953" s="197"/>
      <c r="R953" s="197"/>
      <c r="S953" s="197"/>
      <c r="T953" s="197"/>
      <c r="U953" s="197"/>
      <c r="V953" s="197"/>
      <c r="W953" s="197"/>
      <c r="X953" s="197"/>
      <c r="Y953" s="197"/>
      <c r="Z953" s="197"/>
      <c r="AA953" s="197"/>
      <c r="AB953" s="197"/>
      <c r="AC953" s="197"/>
      <c r="AD953" s="208"/>
      <c r="AE953" s="200"/>
      <c r="AF953" s="200"/>
    </row>
    <row r="954" spans="5:32" ht="15.75" x14ac:dyDescent="0.25">
      <c r="E954" s="261"/>
      <c r="F954" s="193"/>
      <c r="G954" s="194"/>
      <c r="H954" s="195"/>
      <c r="I954" s="202"/>
      <c r="O954" s="197"/>
      <c r="P954" s="197"/>
      <c r="Q954" s="197"/>
      <c r="R954" s="197"/>
      <c r="S954" s="197"/>
      <c r="T954" s="197"/>
      <c r="U954" s="197"/>
      <c r="V954" s="197"/>
      <c r="W954" s="197"/>
      <c r="X954" s="197"/>
      <c r="Y954" s="197"/>
      <c r="Z954" s="197"/>
      <c r="AA954" s="197"/>
      <c r="AB954" s="197"/>
      <c r="AC954" s="197"/>
      <c r="AD954" s="208"/>
      <c r="AE954" s="200"/>
      <c r="AF954" s="200"/>
    </row>
    <row r="955" spans="5:32" ht="15.75" x14ac:dyDescent="0.25">
      <c r="E955" s="261"/>
      <c r="F955" s="193"/>
      <c r="G955" s="194"/>
      <c r="H955" s="195"/>
      <c r="I955" s="202"/>
      <c r="O955" s="197"/>
      <c r="P955" s="197"/>
      <c r="Q955" s="197"/>
      <c r="R955" s="197"/>
      <c r="S955" s="197"/>
      <c r="T955" s="197"/>
      <c r="U955" s="197"/>
      <c r="V955" s="197"/>
      <c r="W955" s="197"/>
      <c r="X955" s="197"/>
      <c r="Y955" s="197"/>
      <c r="Z955" s="197"/>
      <c r="AA955" s="197"/>
      <c r="AB955" s="197"/>
      <c r="AC955" s="197"/>
      <c r="AD955" s="208"/>
      <c r="AE955" s="200"/>
      <c r="AF955" s="200"/>
    </row>
    <row r="956" spans="5:32" ht="15.75" x14ac:dyDescent="0.25">
      <c r="E956" s="261"/>
      <c r="F956" s="193"/>
      <c r="G956" s="194"/>
      <c r="H956" s="195"/>
      <c r="I956" s="202"/>
      <c r="O956" s="197"/>
      <c r="P956" s="197"/>
      <c r="Q956" s="197"/>
      <c r="R956" s="197"/>
      <c r="S956" s="197"/>
      <c r="T956" s="197"/>
      <c r="U956" s="197"/>
      <c r="V956" s="197"/>
      <c r="W956" s="197"/>
      <c r="X956" s="197"/>
      <c r="Y956" s="197"/>
      <c r="Z956" s="197"/>
      <c r="AA956" s="197"/>
      <c r="AB956" s="197"/>
      <c r="AC956" s="197"/>
      <c r="AD956" s="208"/>
      <c r="AE956" s="200"/>
      <c r="AF956" s="200"/>
    </row>
    <row r="957" spans="5:32" ht="15.75" x14ac:dyDescent="0.25">
      <c r="E957" s="261"/>
      <c r="F957" s="193"/>
      <c r="G957" s="194"/>
      <c r="H957" s="195"/>
      <c r="I957" s="202"/>
      <c r="O957" s="197"/>
      <c r="P957" s="197"/>
      <c r="Q957" s="197"/>
      <c r="R957" s="197"/>
      <c r="S957" s="197"/>
      <c r="T957" s="197"/>
      <c r="U957" s="197"/>
      <c r="V957" s="197"/>
      <c r="W957" s="197"/>
      <c r="X957" s="197"/>
      <c r="Y957" s="197"/>
      <c r="Z957" s="197"/>
      <c r="AA957" s="197"/>
      <c r="AB957" s="197"/>
      <c r="AC957" s="197"/>
      <c r="AD957" s="208"/>
      <c r="AE957" s="200"/>
      <c r="AF957" s="200"/>
    </row>
    <row r="958" spans="5:32" ht="15.75" x14ac:dyDescent="0.25">
      <c r="E958" s="261"/>
      <c r="F958" s="193"/>
      <c r="G958" s="194"/>
      <c r="H958" s="195"/>
      <c r="I958" s="202"/>
      <c r="O958" s="197"/>
      <c r="P958" s="197"/>
      <c r="Q958" s="197"/>
      <c r="R958" s="197"/>
      <c r="S958" s="197"/>
      <c r="T958" s="197"/>
      <c r="U958" s="197"/>
      <c r="V958" s="197"/>
      <c r="W958" s="197"/>
      <c r="X958" s="197"/>
      <c r="Y958" s="197"/>
      <c r="Z958" s="197"/>
      <c r="AA958" s="197"/>
      <c r="AB958" s="197"/>
      <c r="AC958" s="197"/>
      <c r="AD958" s="208"/>
      <c r="AE958" s="200"/>
      <c r="AF958" s="200"/>
    </row>
    <row r="959" spans="5:32" ht="15.75" x14ac:dyDescent="0.25">
      <c r="E959" s="261"/>
      <c r="F959" s="193"/>
      <c r="G959" s="194"/>
      <c r="H959" s="195"/>
      <c r="I959" s="202"/>
      <c r="O959" s="197"/>
      <c r="P959" s="197"/>
      <c r="Q959" s="197"/>
      <c r="R959" s="197"/>
      <c r="S959" s="197"/>
      <c r="T959" s="197"/>
      <c r="U959" s="197"/>
      <c r="V959" s="197"/>
      <c r="W959" s="197"/>
      <c r="X959" s="197"/>
      <c r="Y959" s="197"/>
      <c r="Z959" s="197"/>
      <c r="AA959" s="197"/>
      <c r="AB959" s="197"/>
      <c r="AC959" s="197"/>
      <c r="AD959" s="208"/>
      <c r="AE959" s="200"/>
      <c r="AF959" s="200"/>
    </row>
    <row r="960" spans="5:32" ht="15.75" x14ac:dyDescent="0.25">
      <c r="E960" s="261"/>
      <c r="F960" s="193"/>
      <c r="G960" s="194"/>
      <c r="H960" s="195"/>
      <c r="I960" s="202"/>
      <c r="O960" s="197"/>
      <c r="P960" s="197"/>
      <c r="Q960" s="197"/>
      <c r="R960" s="197"/>
      <c r="S960" s="197"/>
      <c r="T960" s="197"/>
      <c r="U960" s="197"/>
      <c r="V960" s="197"/>
      <c r="W960" s="197"/>
      <c r="X960" s="197"/>
      <c r="Y960" s="197"/>
      <c r="Z960" s="197"/>
      <c r="AA960" s="197"/>
      <c r="AB960" s="197"/>
      <c r="AC960" s="197"/>
      <c r="AD960" s="208"/>
      <c r="AE960" s="200"/>
      <c r="AF960" s="200"/>
    </row>
    <row r="961" spans="5:32" ht="15.75" x14ac:dyDescent="0.25">
      <c r="E961" s="261"/>
      <c r="F961" s="193"/>
      <c r="G961" s="194"/>
      <c r="H961" s="195"/>
      <c r="I961" s="202"/>
      <c r="O961" s="197"/>
      <c r="P961" s="197"/>
      <c r="Q961" s="197"/>
      <c r="R961" s="197"/>
      <c r="S961" s="197"/>
      <c r="T961" s="197"/>
      <c r="U961" s="197"/>
      <c r="V961" s="197"/>
      <c r="W961" s="197"/>
      <c r="X961" s="197"/>
      <c r="Y961" s="197"/>
      <c r="Z961" s="197"/>
      <c r="AA961" s="197"/>
      <c r="AB961" s="197"/>
      <c r="AC961" s="197"/>
      <c r="AD961" s="208"/>
      <c r="AE961" s="200"/>
      <c r="AF961" s="200"/>
    </row>
    <row r="962" spans="5:32" ht="15.75" x14ac:dyDescent="0.25">
      <c r="E962" s="261"/>
      <c r="F962" s="193"/>
      <c r="G962" s="194"/>
      <c r="H962" s="195"/>
      <c r="I962" s="202"/>
      <c r="O962" s="197"/>
      <c r="P962" s="197"/>
      <c r="Q962" s="197"/>
      <c r="R962" s="197"/>
      <c r="S962" s="197"/>
      <c r="T962" s="197"/>
      <c r="U962" s="197"/>
      <c r="V962" s="197"/>
      <c r="W962" s="197"/>
      <c r="X962" s="197"/>
      <c r="Y962" s="197"/>
      <c r="Z962" s="197"/>
      <c r="AA962" s="197"/>
      <c r="AB962" s="197"/>
      <c r="AC962" s="197"/>
      <c r="AD962" s="208"/>
      <c r="AE962" s="200"/>
      <c r="AF962" s="200"/>
    </row>
    <row r="963" spans="5:32" ht="15.75" x14ac:dyDescent="0.25">
      <c r="E963" s="261"/>
      <c r="F963" s="193"/>
      <c r="G963" s="194"/>
      <c r="H963" s="195"/>
      <c r="I963" s="202"/>
      <c r="O963" s="197"/>
      <c r="P963" s="197"/>
      <c r="Q963" s="197"/>
      <c r="R963" s="197"/>
      <c r="S963" s="197"/>
      <c r="T963" s="197"/>
      <c r="U963" s="197"/>
      <c r="V963" s="197"/>
      <c r="W963" s="197"/>
      <c r="X963" s="197"/>
      <c r="Y963" s="197"/>
      <c r="Z963" s="197"/>
      <c r="AA963" s="197"/>
      <c r="AB963" s="197"/>
      <c r="AC963" s="197"/>
      <c r="AD963" s="208"/>
      <c r="AE963" s="200"/>
      <c r="AF963" s="200"/>
    </row>
    <row r="964" spans="5:32" ht="15.75" x14ac:dyDescent="0.25">
      <c r="E964" s="261"/>
      <c r="F964" s="193"/>
      <c r="G964" s="194"/>
      <c r="H964" s="195"/>
      <c r="I964" s="202"/>
      <c r="O964" s="197"/>
      <c r="P964" s="197"/>
      <c r="Q964" s="197"/>
      <c r="R964" s="197"/>
      <c r="S964" s="197"/>
      <c r="T964" s="197"/>
      <c r="U964" s="197"/>
      <c r="V964" s="197"/>
      <c r="W964" s="197"/>
      <c r="X964" s="197"/>
      <c r="Y964" s="197"/>
      <c r="Z964" s="197"/>
      <c r="AA964" s="197"/>
      <c r="AB964" s="197"/>
      <c r="AC964" s="197"/>
      <c r="AD964" s="208"/>
      <c r="AE964" s="200"/>
      <c r="AF964" s="200"/>
    </row>
    <row r="965" spans="5:32" ht="15.75" x14ac:dyDescent="0.25">
      <c r="E965" s="261"/>
      <c r="F965" s="193"/>
      <c r="G965" s="194"/>
      <c r="H965" s="195"/>
      <c r="I965" s="202"/>
      <c r="O965" s="197"/>
      <c r="P965" s="197"/>
      <c r="Q965" s="197"/>
      <c r="R965" s="197"/>
      <c r="S965" s="197"/>
      <c r="T965" s="197"/>
      <c r="U965" s="197"/>
      <c r="V965" s="197"/>
      <c r="W965" s="197"/>
      <c r="X965" s="197"/>
      <c r="Y965" s="197"/>
      <c r="Z965" s="197"/>
      <c r="AA965" s="197"/>
      <c r="AB965" s="197"/>
      <c r="AC965" s="197"/>
      <c r="AD965" s="208"/>
      <c r="AE965" s="200"/>
      <c r="AF965" s="200"/>
    </row>
    <row r="966" spans="5:32" ht="15.75" x14ac:dyDescent="0.25">
      <c r="E966" s="261"/>
      <c r="F966" s="193"/>
      <c r="G966" s="194"/>
      <c r="H966" s="195"/>
      <c r="I966" s="202"/>
      <c r="O966" s="197"/>
      <c r="P966" s="197"/>
      <c r="Q966" s="197"/>
      <c r="R966" s="197"/>
      <c r="S966" s="197"/>
      <c r="T966" s="197"/>
      <c r="U966" s="197"/>
      <c r="V966" s="197"/>
      <c r="W966" s="197"/>
      <c r="X966" s="197"/>
      <c r="Y966" s="197"/>
      <c r="Z966" s="197"/>
      <c r="AA966" s="197"/>
      <c r="AB966" s="197"/>
      <c r="AC966" s="197"/>
      <c r="AD966" s="208"/>
      <c r="AE966" s="200"/>
      <c r="AF966" s="200"/>
    </row>
    <row r="967" spans="5:32" ht="15.75" x14ac:dyDescent="0.25">
      <c r="E967" s="261"/>
      <c r="F967" s="193"/>
      <c r="G967" s="194"/>
      <c r="H967" s="195"/>
      <c r="I967" s="202"/>
      <c r="O967" s="197"/>
      <c r="P967" s="197"/>
      <c r="Q967" s="197"/>
      <c r="R967" s="197"/>
      <c r="S967" s="197"/>
      <c r="T967" s="197"/>
      <c r="U967" s="197"/>
      <c r="V967" s="197"/>
      <c r="W967" s="197"/>
      <c r="X967" s="197"/>
      <c r="Y967" s="197"/>
      <c r="Z967" s="197"/>
      <c r="AA967" s="197"/>
      <c r="AB967" s="197"/>
      <c r="AC967" s="197"/>
      <c r="AD967" s="208"/>
      <c r="AE967" s="200"/>
      <c r="AF967" s="200"/>
    </row>
    <row r="968" spans="5:32" ht="15.75" x14ac:dyDescent="0.25">
      <c r="E968" s="261"/>
      <c r="F968" s="193"/>
      <c r="G968" s="194"/>
      <c r="H968" s="195"/>
      <c r="I968" s="202"/>
      <c r="O968" s="197"/>
      <c r="P968" s="197"/>
      <c r="Q968" s="197"/>
      <c r="R968" s="197"/>
      <c r="S968" s="197"/>
      <c r="T968" s="197"/>
      <c r="U968" s="197"/>
      <c r="V968" s="197"/>
      <c r="W968" s="197"/>
      <c r="X968" s="197"/>
      <c r="Y968" s="197"/>
      <c r="Z968" s="197"/>
      <c r="AA968" s="197"/>
      <c r="AB968" s="197"/>
      <c r="AC968" s="197"/>
      <c r="AD968" s="208"/>
      <c r="AE968" s="200"/>
      <c r="AF968" s="200"/>
    </row>
    <row r="969" spans="5:32" ht="15.75" x14ac:dyDescent="0.25">
      <c r="E969" s="261"/>
      <c r="F969" s="193"/>
      <c r="G969" s="194"/>
      <c r="H969" s="195"/>
      <c r="I969" s="202"/>
      <c r="O969" s="197"/>
      <c r="P969" s="197"/>
      <c r="Q969" s="197"/>
      <c r="R969" s="197"/>
      <c r="S969" s="197"/>
      <c r="T969" s="197"/>
      <c r="U969" s="197"/>
      <c r="V969" s="197"/>
      <c r="W969" s="197"/>
      <c r="X969" s="197"/>
      <c r="Y969" s="197"/>
      <c r="Z969" s="197"/>
      <c r="AA969" s="197"/>
      <c r="AB969" s="197"/>
      <c r="AC969" s="197"/>
      <c r="AD969" s="208"/>
      <c r="AE969" s="200"/>
      <c r="AF969" s="200"/>
    </row>
    <row r="970" spans="5:32" ht="15.75" x14ac:dyDescent="0.25">
      <c r="E970" s="261"/>
      <c r="F970" s="193"/>
      <c r="G970" s="194"/>
      <c r="H970" s="195"/>
      <c r="I970" s="202"/>
      <c r="O970" s="197"/>
      <c r="P970" s="197"/>
      <c r="Q970" s="197"/>
      <c r="R970" s="197"/>
      <c r="S970" s="197"/>
      <c r="T970" s="197"/>
      <c r="U970" s="197"/>
      <c r="V970" s="197"/>
      <c r="W970" s="197"/>
      <c r="X970" s="197"/>
      <c r="Y970" s="197"/>
      <c r="Z970" s="197"/>
      <c r="AA970" s="197"/>
      <c r="AB970" s="197"/>
      <c r="AC970" s="197"/>
      <c r="AD970" s="208"/>
      <c r="AE970" s="200"/>
      <c r="AF970" s="200"/>
    </row>
    <row r="971" spans="5:32" ht="15.75" x14ac:dyDescent="0.25">
      <c r="E971" s="261"/>
      <c r="F971" s="193"/>
      <c r="G971" s="194"/>
      <c r="H971" s="195"/>
      <c r="I971" s="202"/>
      <c r="O971" s="197"/>
      <c r="P971" s="197"/>
      <c r="Q971" s="197"/>
      <c r="R971" s="197"/>
      <c r="S971" s="197"/>
      <c r="T971" s="197"/>
      <c r="U971" s="197"/>
      <c r="V971" s="197"/>
      <c r="W971" s="197"/>
      <c r="X971" s="197"/>
      <c r="Y971" s="197"/>
      <c r="Z971" s="197"/>
      <c r="AA971" s="197"/>
      <c r="AB971" s="197"/>
      <c r="AC971" s="197"/>
      <c r="AD971" s="208"/>
      <c r="AE971" s="200"/>
      <c r="AF971" s="200"/>
    </row>
    <row r="972" spans="5:32" ht="15.75" x14ac:dyDescent="0.25">
      <c r="E972" s="261"/>
      <c r="F972" s="193"/>
      <c r="G972" s="194"/>
      <c r="H972" s="195"/>
      <c r="I972" s="202"/>
      <c r="O972" s="197"/>
      <c r="P972" s="197"/>
      <c r="Q972" s="197"/>
      <c r="R972" s="197"/>
      <c r="S972" s="197"/>
      <c r="T972" s="197"/>
      <c r="U972" s="197"/>
      <c r="V972" s="197"/>
      <c r="W972" s="197"/>
      <c r="X972" s="197"/>
      <c r="Y972" s="197"/>
      <c r="Z972" s="197"/>
      <c r="AA972" s="197"/>
      <c r="AB972" s="197"/>
      <c r="AC972" s="197"/>
      <c r="AD972" s="208"/>
      <c r="AE972" s="200"/>
      <c r="AF972" s="200"/>
    </row>
    <row r="973" spans="5:32" ht="15.75" x14ac:dyDescent="0.25">
      <c r="E973" s="261"/>
      <c r="F973" s="193"/>
      <c r="G973" s="194"/>
      <c r="H973" s="195"/>
      <c r="I973" s="202"/>
      <c r="O973" s="197"/>
      <c r="P973" s="197"/>
      <c r="Q973" s="197"/>
      <c r="R973" s="197"/>
      <c r="S973" s="197"/>
      <c r="T973" s="197"/>
      <c r="U973" s="197"/>
      <c r="V973" s="197"/>
      <c r="W973" s="197"/>
      <c r="X973" s="197"/>
      <c r="Y973" s="197"/>
      <c r="Z973" s="197"/>
      <c r="AA973" s="197"/>
      <c r="AB973" s="197"/>
      <c r="AC973" s="197"/>
      <c r="AD973" s="208"/>
      <c r="AE973" s="200"/>
      <c r="AF973" s="200"/>
    </row>
    <row r="974" spans="5:32" ht="15.75" x14ac:dyDescent="0.25">
      <c r="E974" s="261"/>
      <c r="F974" s="193"/>
      <c r="G974" s="194"/>
      <c r="H974" s="195"/>
      <c r="I974" s="202"/>
      <c r="O974" s="197"/>
      <c r="P974" s="197"/>
      <c r="Q974" s="197"/>
      <c r="R974" s="197"/>
      <c r="S974" s="197"/>
      <c r="T974" s="197"/>
      <c r="U974" s="197"/>
      <c r="V974" s="197"/>
      <c r="W974" s="197"/>
      <c r="X974" s="197"/>
      <c r="Y974" s="197"/>
      <c r="Z974" s="197"/>
      <c r="AA974" s="197"/>
      <c r="AB974" s="197"/>
      <c r="AC974" s="197"/>
      <c r="AD974" s="208"/>
      <c r="AE974" s="200"/>
      <c r="AF974" s="200"/>
    </row>
    <row r="975" spans="5:32" ht="15.75" x14ac:dyDescent="0.25">
      <c r="E975" s="261"/>
      <c r="F975" s="193"/>
      <c r="G975" s="194"/>
      <c r="H975" s="195"/>
      <c r="I975" s="202"/>
      <c r="O975" s="197"/>
      <c r="P975" s="197"/>
      <c r="Q975" s="197"/>
      <c r="R975" s="197"/>
      <c r="S975" s="197"/>
      <c r="T975" s="197"/>
      <c r="U975" s="197"/>
      <c r="V975" s="197"/>
      <c r="W975" s="197"/>
      <c r="X975" s="197"/>
      <c r="Y975" s="197"/>
      <c r="Z975" s="197"/>
      <c r="AA975" s="197"/>
      <c r="AB975" s="197"/>
      <c r="AC975" s="197"/>
      <c r="AD975" s="208"/>
      <c r="AE975" s="200"/>
      <c r="AF975" s="200"/>
    </row>
    <row r="976" spans="5:32" ht="15.75" x14ac:dyDescent="0.25">
      <c r="E976" s="261"/>
      <c r="F976" s="193"/>
      <c r="G976" s="194"/>
      <c r="H976" s="195"/>
      <c r="I976" s="202"/>
      <c r="O976" s="197"/>
      <c r="P976" s="197"/>
      <c r="Q976" s="197"/>
      <c r="R976" s="197"/>
      <c r="S976" s="197"/>
      <c r="T976" s="197"/>
      <c r="U976" s="197"/>
      <c r="V976" s="197"/>
      <c r="W976" s="197"/>
      <c r="X976" s="197"/>
      <c r="Y976" s="197"/>
      <c r="Z976" s="197"/>
      <c r="AA976" s="197"/>
      <c r="AB976" s="197"/>
      <c r="AC976" s="197"/>
      <c r="AD976" s="208"/>
      <c r="AE976" s="200"/>
      <c r="AF976" s="200"/>
    </row>
    <row r="977" spans="5:32" ht="15.75" x14ac:dyDescent="0.25">
      <c r="E977" s="261"/>
      <c r="F977" s="193"/>
      <c r="G977" s="194"/>
      <c r="H977" s="195"/>
      <c r="I977" s="202"/>
      <c r="O977" s="197"/>
      <c r="P977" s="197"/>
      <c r="Q977" s="197"/>
      <c r="R977" s="197"/>
      <c r="S977" s="197"/>
      <c r="T977" s="197"/>
      <c r="U977" s="197"/>
      <c r="V977" s="197"/>
      <c r="W977" s="197"/>
      <c r="X977" s="197"/>
      <c r="Y977" s="197"/>
      <c r="Z977" s="197"/>
      <c r="AA977" s="197"/>
      <c r="AB977" s="197"/>
      <c r="AC977" s="197"/>
      <c r="AD977" s="208"/>
      <c r="AE977" s="200"/>
      <c r="AF977" s="200"/>
    </row>
    <row r="978" spans="5:32" ht="15.75" x14ac:dyDescent="0.25">
      <c r="E978" s="261"/>
      <c r="F978" s="193"/>
      <c r="G978" s="194"/>
      <c r="H978" s="195"/>
      <c r="I978" s="202"/>
      <c r="O978" s="197"/>
      <c r="P978" s="197"/>
      <c r="Q978" s="197"/>
      <c r="R978" s="197"/>
      <c r="S978" s="197"/>
      <c r="T978" s="197"/>
      <c r="U978" s="197"/>
      <c r="V978" s="197"/>
      <c r="W978" s="197"/>
      <c r="X978" s="197"/>
      <c r="Y978" s="197"/>
      <c r="Z978" s="197"/>
      <c r="AA978" s="197"/>
      <c r="AB978" s="197"/>
      <c r="AC978" s="197"/>
      <c r="AD978" s="208"/>
      <c r="AE978" s="200"/>
      <c r="AF978" s="200"/>
    </row>
    <row r="979" spans="5:32" ht="15.75" x14ac:dyDescent="0.25">
      <c r="E979" s="261"/>
      <c r="F979" s="193"/>
      <c r="G979" s="194"/>
      <c r="H979" s="195"/>
      <c r="I979" s="202"/>
      <c r="O979" s="197"/>
      <c r="P979" s="197"/>
      <c r="Q979" s="197"/>
      <c r="R979" s="197"/>
      <c r="S979" s="197"/>
      <c r="T979" s="197"/>
      <c r="U979" s="197"/>
      <c r="V979" s="197"/>
      <c r="W979" s="197"/>
      <c r="X979" s="197"/>
      <c r="Y979" s="197"/>
      <c r="Z979" s="197"/>
      <c r="AA979" s="197"/>
      <c r="AB979" s="197"/>
      <c r="AC979" s="197"/>
      <c r="AD979" s="208"/>
      <c r="AE979" s="200"/>
      <c r="AF979" s="200"/>
    </row>
    <row r="980" spans="5:32" ht="15.75" x14ac:dyDescent="0.25">
      <c r="E980" s="261"/>
      <c r="F980" s="193"/>
      <c r="G980" s="194"/>
      <c r="H980" s="195"/>
      <c r="I980" s="202"/>
      <c r="O980" s="197"/>
      <c r="P980" s="197"/>
      <c r="Q980" s="197"/>
      <c r="R980" s="197"/>
      <c r="S980" s="197"/>
      <c r="T980" s="197"/>
      <c r="U980" s="197"/>
      <c r="V980" s="197"/>
      <c r="W980" s="197"/>
      <c r="X980" s="197"/>
      <c r="Y980" s="197"/>
      <c r="Z980" s="197"/>
      <c r="AA980" s="197"/>
      <c r="AB980" s="197"/>
      <c r="AC980" s="197"/>
      <c r="AD980" s="208"/>
      <c r="AE980" s="200"/>
      <c r="AF980" s="200"/>
    </row>
    <row r="981" spans="5:32" ht="15.75" x14ac:dyDescent="0.25">
      <c r="E981" s="261"/>
      <c r="F981" s="193"/>
      <c r="G981" s="194"/>
      <c r="H981" s="195"/>
      <c r="I981" s="202"/>
      <c r="O981" s="197"/>
      <c r="P981" s="197"/>
      <c r="Q981" s="197"/>
      <c r="R981" s="197"/>
      <c r="S981" s="197"/>
      <c r="T981" s="197"/>
      <c r="U981" s="197"/>
      <c r="V981" s="197"/>
      <c r="W981" s="197"/>
      <c r="X981" s="197"/>
      <c r="Y981" s="197"/>
      <c r="Z981" s="197"/>
      <c r="AA981" s="197"/>
      <c r="AB981" s="197"/>
      <c r="AC981" s="197"/>
      <c r="AD981" s="208"/>
      <c r="AE981" s="200"/>
      <c r="AF981" s="200"/>
    </row>
    <row r="982" spans="5:32" ht="15.75" x14ac:dyDescent="0.25">
      <c r="E982" s="261"/>
      <c r="F982" s="193"/>
      <c r="G982" s="194"/>
      <c r="H982" s="195"/>
      <c r="I982" s="202"/>
      <c r="O982" s="197"/>
      <c r="P982" s="197"/>
      <c r="Q982" s="197"/>
      <c r="R982" s="197"/>
      <c r="S982" s="197"/>
      <c r="T982" s="197"/>
      <c r="U982" s="197"/>
      <c r="V982" s="197"/>
      <c r="W982" s="197"/>
      <c r="X982" s="197"/>
      <c r="Y982" s="197"/>
      <c r="Z982" s="197"/>
      <c r="AA982" s="197"/>
      <c r="AB982" s="197"/>
      <c r="AC982" s="197"/>
      <c r="AD982" s="208"/>
      <c r="AE982" s="200"/>
      <c r="AF982" s="200"/>
    </row>
    <row r="983" spans="5:32" ht="15.75" x14ac:dyDescent="0.25">
      <c r="E983" s="261"/>
      <c r="F983" s="193"/>
      <c r="G983" s="194"/>
      <c r="H983" s="195"/>
      <c r="I983" s="202"/>
      <c r="O983" s="197"/>
      <c r="P983" s="197"/>
      <c r="Q983" s="197"/>
      <c r="R983" s="197"/>
      <c r="S983" s="197"/>
      <c r="T983" s="197"/>
      <c r="U983" s="197"/>
      <c r="V983" s="197"/>
      <c r="W983" s="197"/>
      <c r="X983" s="197"/>
      <c r="Y983" s="197"/>
      <c r="Z983" s="197"/>
      <c r="AA983" s="197"/>
      <c r="AB983" s="197"/>
      <c r="AC983" s="197"/>
      <c r="AD983" s="208"/>
      <c r="AE983" s="200"/>
      <c r="AF983" s="200"/>
    </row>
    <row r="984" spans="5:32" ht="15.75" x14ac:dyDescent="0.25">
      <c r="E984" s="261"/>
      <c r="F984" s="193"/>
      <c r="G984" s="194"/>
      <c r="H984" s="195"/>
      <c r="I984" s="202"/>
      <c r="O984" s="197"/>
      <c r="P984" s="197"/>
      <c r="Q984" s="197"/>
      <c r="R984" s="197"/>
      <c r="S984" s="197"/>
      <c r="T984" s="197"/>
      <c r="U984" s="197"/>
      <c r="V984" s="197"/>
      <c r="W984" s="197"/>
      <c r="X984" s="197"/>
      <c r="Y984" s="197"/>
      <c r="Z984" s="197"/>
      <c r="AA984" s="197"/>
      <c r="AB984" s="197"/>
      <c r="AC984" s="197"/>
      <c r="AD984" s="208"/>
      <c r="AE984" s="200"/>
      <c r="AF984" s="200"/>
    </row>
    <row r="985" spans="5:32" ht="15.75" x14ac:dyDescent="0.25">
      <c r="E985" s="261"/>
      <c r="F985" s="193"/>
      <c r="G985" s="194"/>
      <c r="H985" s="195"/>
      <c r="I985" s="202"/>
      <c r="O985" s="197"/>
      <c r="P985" s="197"/>
      <c r="Q985" s="197"/>
      <c r="R985" s="197"/>
      <c r="S985" s="197"/>
      <c r="T985" s="197"/>
      <c r="U985" s="197"/>
      <c r="V985" s="197"/>
      <c r="W985" s="197"/>
      <c r="X985" s="197"/>
      <c r="Y985" s="197"/>
      <c r="Z985" s="197"/>
      <c r="AA985" s="197"/>
      <c r="AB985" s="197"/>
      <c r="AC985" s="197"/>
      <c r="AD985" s="208"/>
      <c r="AE985" s="200"/>
      <c r="AF985" s="200"/>
    </row>
    <row r="986" spans="5:32" ht="15.75" x14ac:dyDescent="0.25">
      <c r="E986" s="261"/>
      <c r="F986" s="193"/>
      <c r="G986" s="194"/>
      <c r="H986" s="195"/>
      <c r="I986" s="202"/>
      <c r="O986" s="197"/>
      <c r="P986" s="197"/>
      <c r="Q986" s="197"/>
      <c r="R986" s="197"/>
      <c r="S986" s="197"/>
      <c r="T986" s="197"/>
      <c r="U986" s="197"/>
      <c r="V986" s="197"/>
      <c r="W986" s="197"/>
      <c r="X986" s="197"/>
      <c r="Y986" s="197"/>
      <c r="Z986" s="197"/>
      <c r="AA986" s="197"/>
      <c r="AB986" s="197"/>
      <c r="AC986" s="197"/>
      <c r="AD986" s="208"/>
      <c r="AE986" s="200"/>
      <c r="AF986" s="200"/>
    </row>
    <row r="987" spans="5:32" ht="15.75" x14ac:dyDescent="0.25">
      <c r="E987" s="261"/>
      <c r="F987" s="193"/>
      <c r="G987" s="194"/>
      <c r="H987" s="195"/>
      <c r="I987" s="202"/>
      <c r="O987" s="197"/>
      <c r="P987" s="197"/>
      <c r="Q987" s="197"/>
      <c r="R987" s="197"/>
      <c r="S987" s="197"/>
      <c r="T987" s="197"/>
      <c r="U987" s="197"/>
      <c r="V987" s="197"/>
      <c r="W987" s="197"/>
      <c r="X987" s="197"/>
      <c r="Y987" s="197"/>
      <c r="Z987" s="197"/>
      <c r="AA987" s="197"/>
      <c r="AB987" s="197"/>
      <c r="AC987" s="197"/>
      <c r="AD987" s="208"/>
      <c r="AE987" s="200"/>
      <c r="AF987" s="200"/>
    </row>
    <row r="988" spans="5:32" ht="15.75" x14ac:dyDescent="0.25">
      <c r="E988" s="261"/>
      <c r="F988" s="193"/>
      <c r="G988" s="194"/>
      <c r="H988" s="195"/>
      <c r="I988" s="202"/>
      <c r="O988" s="197"/>
      <c r="P988" s="197"/>
      <c r="Q988" s="197"/>
      <c r="R988" s="197"/>
      <c r="S988" s="197"/>
      <c r="T988" s="197"/>
      <c r="U988" s="197"/>
      <c r="V988" s="197"/>
      <c r="W988" s="197"/>
      <c r="X988" s="197"/>
      <c r="Y988" s="197"/>
      <c r="Z988" s="197"/>
      <c r="AA988" s="197"/>
      <c r="AB988" s="197"/>
      <c r="AC988" s="197"/>
      <c r="AD988" s="208"/>
      <c r="AE988" s="200"/>
      <c r="AF988" s="200"/>
    </row>
    <row r="989" spans="5:32" ht="15.75" x14ac:dyDescent="0.25">
      <c r="E989" s="261"/>
      <c r="F989" s="193"/>
      <c r="G989" s="194"/>
      <c r="H989" s="195"/>
      <c r="I989" s="202"/>
      <c r="O989" s="197"/>
      <c r="P989" s="197"/>
      <c r="Q989" s="197"/>
      <c r="R989" s="197"/>
      <c r="S989" s="197"/>
      <c r="T989" s="197"/>
      <c r="U989" s="197"/>
      <c r="V989" s="197"/>
      <c r="W989" s="197"/>
      <c r="X989" s="197"/>
      <c r="Y989" s="197"/>
      <c r="Z989" s="197"/>
      <c r="AA989" s="197"/>
      <c r="AB989" s="197"/>
      <c r="AC989" s="197"/>
      <c r="AD989" s="208"/>
      <c r="AE989" s="200"/>
      <c r="AF989" s="200"/>
    </row>
    <row r="990" spans="5:32" ht="15.75" x14ac:dyDescent="0.25">
      <c r="E990" s="261"/>
      <c r="F990" s="193"/>
      <c r="G990" s="194"/>
      <c r="H990" s="195"/>
      <c r="I990" s="202"/>
      <c r="O990" s="197"/>
      <c r="P990" s="197"/>
      <c r="Q990" s="197"/>
      <c r="R990" s="197"/>
      <c r="S990" s="197"/>
      <c r="T990" s="197"/>
      <c r="U990" s="197"/>
      <c r="V990" s="197"/>
      <c r="W990" s="197"/>
      <c r="X990" s="197"/>
      <c r="Y990" s="197"/>
      <c r="Z990" s="197"/>
      <c r="AA990" s="197"/>
      <c r="AB990" s="197"/>
      <c r="AC990" s="197"/>
      <c r="AD990" s="208"/>
      <c r="AE990" s="200"/>
      <c r="AF990" s="200"/>
    </row>
    <row r="991" spans="5:32" ht="15.75" x14ac:dyDescent="0.25">
      <c r="E991" s="261"/>
      <c r="F991" s="193"/>
      <c r="G991" s="194"/>
      <c r="H991" s="195"/>
      <c r="I991" s="202"/>
      <c r="O991" s="197"/>
      <c r="P991" s="197"/>
      <c r="Q991" s="197"/>
      <c r="R991" s="197"/>
      <c r="S991" s="197"/>
      <c r="T991" s="197"/>
      <c r="U991" s="197"/>
      <c r="V991" s="197"/>
      <c r="W991" s="197"/>
      <c r="X991" s="197"/>
      <c r="Y991" s="197"/>
      <c r="Z991" s="197"/>
      <c r="AA991" s="197"/>
      <c r="AB991" s="197"/>
      <c r="AC991" s="197"/>
      <c r="AD991" s="208"/>
      <c r="AE991" s="200"/>
      <c r="AF991" s="200"/>
    </row>
    <row r="992" spans="5:32" ht="15.75" x14ac:dyDescent="0.25">
      <c r="E992" s="261"/>
      <c r="F992" s="193"/>
      <c r="G992" s="194"/>
      <c r="H992" s="195"/>
      <c r="I992" s="202"/>
      <c r="O992" s="197"/>
      <c r="P992" s="197"/>
      <c r="Q992" s="197"/>
      <c r="R992" s="197"/>
      <c r="S992" s="197"/>
      <c r="T992" s="197"/>
      <c r="U992" s="197"/>
      <c r="V992" s="197"/>
      <c r="W992" s="197"/>
      <c r="X992" s="197"/>
      <c r="Y992" s="197"/>
      <c r="Z992" s="197"/>
      <c r="AA992" s="197"/>
      <c r="AB992" s="197"/>
      <c r="AC992" s="197"/>
      <c r="AD992" s="208"/>
      <c r="AE992" s="200"/>
      <c r="AF992" s="200"/>
    </row>
    <row r="993" spans="5:32" ht="15.75" x14ac:dyDescent="0.25">
      <c r="E993" s="261"/>
      <c r="F993" s="193"/>
      <c r="G993" s="194"/>
      <c r="H993" s="195"/>
      <c r="I993" s="202"/>
      <c r="O993" s="197"/>
      <c r="P993" s="197"/>
      <c r="Q993" s="197"/>
      <c r="R993" s="197"/>
      <c r="S993" s="197"/>
      <c r="T993" s="197"/>
      <c r="U993" s="197"/>
      <c r="V993" s="197"/>
      <c r="W993" s="197"/>
      <c r="X993" s="197"/>
      <c r="Y993" s="197"/>
      <c r="Z993" s="197"/>
      <c r="AA993" s="197"/>
      <c r="AB993" s="197"/>
      <c r="AC993" s="197"/>
      <c r="AD993" s="208"/>
      <c r="AE993" s="200"/>
      <c r="AF993" s="200"/>
    </row>
    <row r="994" spans="5:32" ht="15.75" x14ac:dyDescent="0.25">
      <c r="E994" s="261"/>
      <c r="F994" s="193"/>
      <c r="G994" s="194"/>
      <c r="H994" s="195"/>
      <c r="I994" s="202"/>
      <c r="O994" s="197"/>
      <c r="P994" s="197"/>
      <c r="Q994" s="197"/>
      <c r="R994" s="197"/>
      <c r="S994" s="197"/>
      <c r="T994" s="197"/>
      <c r="U994" s="197"/>
      <c r="V994" s="197"/>
      <c r="W994" s="197"/>
      <c r="X994" s="197"/>
      <c r="Y994" s="197"/>
      <c r="Z994" s="197"/>
      <c r="AA994" s="197"/>
      <c r="AB994" s="197"/>
      <c r="AC994" s="197"/>
      <c r="AD994" s="208"/>
      <c r="AE994" s="200"/>
      <c r="AF994" s="200"/>
    </row>
    <row r="995" spans="5:32" ht="15.75" x14ac:dyDescent="0.25">
      <c r="E995" s="261"/>
      <c r="F995" s="193"/>
      <c r="G995" s="194"/>
      <c r="H995" s="195"/>
      <c r="I995" s="202"/>
      <c r="O995" s="197"/>
      <c r="P995" s="197"/>
      <c r="Q995" s="197"/>
      <c r="R995" s="197"/>
      <c r="S995" s="197"/>
      <c r="T995" s="197"/>
      <c r="U995" s="197"/>
      <c r="V995" s="197"/>
      <c r="W995" s="197"/>
      <c r="X995" s="197"/>
      <c r="Y995" s="197"/>
      <c r="Z995" s="197"/>
      <c r="AA995" s="197"/>
      <c r="AB995" s="197"/>
      <c r="AC995" s="197"/>
      <c r="AD995" s="208"/>
      <c r="AE995" s="200"/>
      <c r="AF995" s="200"/>
    </row>
    <row r="996" spans="5:32" ht="15.75" x14ac:dyDescent="0.25">
      <c r="E996" s="261"/>
      <c r="F996" s="193"/>
      <c r="G996" s="194"/>
      <c r="H996" s="195"/>
      <c r="I996" s="202"/>
      <c r="O996" s="197"/>
      <c r="P996" s="197"/>
      <c r="Q996" s="197"/>
      <c r="R996" s="197"/>
      <c r="S996" s="197"/>
      <c r="T996" s="197"/>
      <c r="U996" s="197"/>
      <c r="V996" s="197"/>
      <c r="W996" s="197"/>
      <c r="X996" s="197"/>
      <c r="Y996" s="197"/>
      <c r="Z996" s="197"/>
      <c r="AA996" s="197"/>
      <c r="AB996" s="197"/>
      <c r="AC996" s="197"/>
      <c r="AD996" s="208"/>
      <c r="AE996" s="200"/>
      <c r="AF996" s="200"/>
    </row>
    <row r="997" spans="5:32" ht="15.75" x14ac:dyDescent="0.25">
      <c r="E997" s="261"/>
      <c r="F997" s="193"/>
      <c r="G997" s="194"/>
      <c r="H997" s="195"/>
      <c r="I997" s="202"/>
      <c r="O997" s="197"/>
      <c r="P997" s="197"/>
      <c r="Q997" s="197"/>
      <c r="R997" s="197"/>
      <c r="S997" s="197"/>
      <c r="T997" s="197"/>
      <c r="U997" s="197"/>
      <c r="V997" s="197"/>
      <c r="W997" s="197"/>
      <c r="X997" s="197"/>
      <c r="Y997" s="197"/>
      <c r="Z997" s="197"/>
      <c r="AA997" s="197"/>
      <c r="AB997" s="197"/>
      <c r="AC997" s="197"/>
      <c r="AD997" s="208"/>
      <c r="AE997" s="200"/>
      <c r="AF997" s="200"/>
    </row>
    <row r="998" spans="5:32" ht="15.75" x14ac:dyDescent="0.25">
      <c r="E998" s="261"/>
      <c r="F998" s="193"/>
      <c r="G998" s="194"/>
      <c r="H998" s="195"/>
      <c r="I998" s="202"/>
      <c r="O998" s="197"/>
      <c r="P998" s="197"/>
      <c r="Q998" s="197"/>
      <c r="R998" s="197"/>
      <c r="S998" s="197"/>
      <c r="T998" s="197"/>
      <c r="U998" s="197"/>
      <c r="V998" s="197"/>
      <c r="W998" s="197"/>
      <c r="X998" s="197"/>
      <c r="Y998" s="197"/>
      <c r="Z998" s="197"/>
      <c r="AA998" s="197"/>
      <c r="AB998" s="197"/>
      <c r="AC998" s="197"/>
      <c r="AD998" s="208"/>
      <c r="AE998" s="200"/>
      <c r="AF998" s="200"/>
    </row>
    <row r="999" spans="5:32" ht="15.75" x14ac:dyDescent="0.25">
      <c r="E999" s="261"/>
      <c r="F999" s="193"/>
      <c r="G999" s="194"/>
      <c r="H999" s="195"/>
      <c r="I999" s="202"/>
      <c r="O999" s="197"/>
      <c r="P999" s="197"/>
      <c r="Q999" s="197"/>
      <c r="R999" s="197"/>
      <c r="S999" s="197"/>
      <c r="T999" s="197"/>
      <c r="U999" s="197"/>
      <c r="V999" s="197"/>
      <c r="W999" s="197"/>
      <c r="X999" s="197"/>
      <c r="Y999" s="197"/>
      <c r="Z999" s="197"/>
      <c r="AA999" s="197"/>
      <c r="AB999" s="197"/>
      <c r="AC999" s="197"/>
      <c r="AD999" s="208"/>
      <c r="AE999" s="200"/>
      <c r="AF999" s="200"/>
    </row>
    <row r="1000" spans="5:32" ht="15.75" x14ac:dyDescent="0.25">
      <c r="E1000" s="261"/>
      <c r="F1000" s="193"/>
      <c r="G1000" s="194"/>
      <c r="H1000" s="195"/>
      <c r="I1000" s="202"/>
      <c r="O1000" s="197"/>
      <c r="P1000" s="197"/>
      <c r="Q1000" s="197"/>
      <c r="R1000" s="197"/>
      <c r="S1000" s="197"/>
      <c r="T1000" s="197"/>
      <c r="U1000" s="197"/>
      <c r="V1000" s="197"/>
      <c r="W1000" s="197"/>
      <c r="X1000" s="197"/>
      <c r="Y1000" s="197"/>
      <c r="Z1000" s="197"/>
      <c r="AA1000" s="197"/>
      <c r="AB1000" s="197"/>
      <c r="AC1000" s="197"/>
      <c r="AD1000" s="208"/>
      <c r="AE1000" s="200"/>
      <c r="AF1000" s="200"/>
    </row>
    <row r="1001" spans="5:32" ht="15.75" x14ac:dyDescent="0.25">
      <c r="E1001" s="261"/>
      <c r="F1001" s="193"/>
      <c r="G1001" s="194"/>
      <c r="H1001" s="195"/>
      <c r="I1001" s="202"/>
      <c r="O1001" s="197"/>
      <c r="P1001" s="197"/>
      <c r="Q1001" s="197"/>
      <c r="R1001" s="197"/>
      <c r="S1001" s="197"/>
      <c r="T1001" s="197"/>
      <c r="U1001" s="197"/>
      <c r="V1001" s="197"/>
      <c r="W1001" s="197"/>
      <c r="X1001" s="197"/>
      <c r="Y1001" s="197"/>
      <c r="Z1001" s="197"/>
      <c r="AA1001" s="197"/>
      <c r="AB1001" s="197"/>
      <c r="AC1001" s="197"/>
      <c r="AD1001" s="208"/>
      <c r="AE1001" s="200"/>
      <c r="AF1001" s="200"/>
    </row>
    <row r="1002" spans="5:32" ht="15.75" x14ac:dyDescent="0.25">
      <c r="E1002" s="261"/>
      <c r="F1002" s="193"/>
      <c r="G1002" s="194"/>
      <c r="H1002" s="195"/>
      <c r="I1002" s="202"/>
      <c r="O1002" s="197"/>
      <c r="P1002" s="197"/>
      <c r="Q1002" s="197"/>
      <c r="R1002" s="197"/>
      <c r="S1002" s="197"/>
      <c r="T1002" s="197"/>
      <c r="U1002" s="197"/>
      <c r="V1002" s="197"/>
      <c r="W1002" s="197"/>
      <c r="X1002" s="197"/>
      <c r="Y1002" s="197"/>
      <c r="Z1002" s="197"/>
      <c r="AA1002" s="197"/>
      <c r="AB1002" s="197"/>
      <c r="AC1002" s="197"/>
      <c r="AD1002" s="208"/>
      <c r="AE1002" s="200"/>
      <c r="AF1002" s="200"/>
    </row>
    <row r="1003" spans="5:32" ht="15.75" x14ac:dyDescent="0.25">
      <c r="E1003" s="261"/>
      <c r="F1003" s="193"/>
      <c r="G1003" s="194"/>
      <c r="H1003" s="195"/>
      <c r="I1003" s="202"/>
      <c r="O1003" s="197"/>
      <c r="P1003" s="197"/>
      <c r="Q1003" s="197"/>
      <c r="R1003" s="197"/>
      <c r="S1003" s="197"/>
      <c r="T1003" s="197"/>
      <c r="U1003" s="197"/>
      <c r="V1003" s="197"/>
      <c r="W1003" s="197"/>
      <c r="X1003" s="197"/>
      <c r="Y1003" s="197"/>
      <c r="Z1003" s="197"/>
      <c r="AA1003" s="197"/>
      <c r="AB1003" s="197"/>
      <c r="AC1003" s="197"/>
      <c r="AD1003" s="208"/>
      <c r="AE1003" s="200"/>
      <c r="AF1003" s="200"/>
    </row>
    <row r="1004" spans="5:32" ht="15.75" x14ac:dyDescent="0.25">
      <c r="E1004" s="261"/>
      <c r="F1004" s="193"/>
      <c r="G1004" s="194"/>
      <c r="H1004" s="195"/>
      <c r="I1004" s="202"/>
      <c r="O1004" s="197"/>
      <c r="P1004" s="197"/>
      <c r="Q1004" s="197"/>
      <c r="R1004" s="197"/>
      <c r="S1004" s="197"/>
      <c r="T1004" s="197"/>
      <c r="U1004" s="197"/>
      <c r="V1004" s="197"/>
      <c r="W1004" s="197"/>
      <c r="X1004" s="197"/>
      <c r="Y1004" s="197"/>
      <c r="Z1004" s="197"/>
      <c r="AA1004" s="197"/>
      <c r="AB1004" s="197"/>
      <c r="AC1004" s="197"/>
      <c r="AD1004" s="208"/>
      <c r="AE1004" s="200"/>
      <c r="AF1004" s="200"/>
    </row>
    <row r="1005" spans="5:32" ht="15.75" x14ac:dyDescent="0.25">
      <c r="E1005" s="261"/>
      <c r="F1005" s="193"/>
      <c r="G1005" s="194"/>
      <c r="H1005" s="195"/>
      <c r="I1005" s="202"/>
      <c r="O1005" s="197"/>
      <c r="P1005" s="197"/>
      <c r="Q1005" s="197"/>
      <c r="R1005" s="197"/>
      <c r="S1005" s="197"/>
      <c r="T1005" s="197"/>
      <c r="U1005" s="197"/>
      <c r="V1005" s="197"/>
      <c r="W1005" s="197"/>
      <c r="X1005" s="197"/>
      <c r="Y1005" s="197"/>
      <c r="Z1005" s="197"/>
      <c r="AA1005" s="197"/>
      <c r="AB1005" s="197"/>
      <c r="AC1005" s="197"/>
      <c r="AD1005" s="208"/>
      <c r="AE1005" s="200"/>
      <c r="AF1005" s="200"/>
    </row>
    <row r="1006" spans="5:32" ht="15.75" x14ac:dyDescent="0.25">
      <c r="E1006" s="261"/>
      <c r="F1006" s="193"/>
      <c r="G1006" s="194"/>
      <c r="H1006" s="195"/>
      <c r="I1006" s="202"/>
      <c r="O1006" s="197"/>
      <c r="P1006" s="197"/>
      <c r="Q1006" s="197"/>
      <c r="R1006" s="197"/>
      <c r="S1006" s="197"/>
      <c r="T1006" s="197"/>
      <c r="U1006" s="197"/>
      <c r="V1006" s="197"/>
      <c r="W1006" s="197"/>
      <c r="X1006" s="197"/>
      <c r="Y1006" s="197"/>
      <c r="Z1006" s="197"/>
      <c r="AA1006" s="197"/>
      <c r="AB1006" s="197"/>
      <c r="AC1006" s="197"/>
      <c r="AD1006" s="208"/>
      <c r="AE1006" s="200"/>
      <c r="AF1006" s="200"/>
    </row>
    <row r="1007" spans="5:32" ht="15.75" x14ac:dyDescent="0.25">
      <c r="E1007" s="261"/>
      <c r="F1007" s="193"/>
      <c r="G1007" s="194"/>
      <c r="H1007" s="195"/>
      <c r="I1007" s="202"/>
      <c r="O1007" s="197"/>
      <c r="P1007" s="197"/>
      <c r="Q1007" s="197"/>
      <c r="R1007" s="197"/>
      <c r="S1007" s="197"/>
      <c r="T1007" s="197"/>
      <c r="U1007" s="197"/>
      <c r="V1007" s="197"/>
      <c r="W1007" s="197"/>
      <c r="X1007" s="197"/>
      <c r="Y1007" s="197"/>
      <c r="Z1007" s="197"/>
      <c r="AA1007" s="197"/>
      <c r="AB1007" s="197"/>
      <c r="AC1007" s="197"/>
      <c r="AD1007" s="208"/>
      <c r="AE1007" s="200"/>
      <c r="AF1007" s="200"/>
    </row>
    <row r="1008" spans="5:32" ht="15.75" x14ac:dyDescent="0.25">
      <c r="E1008" s="261"/>
      <c r="F1008" s="193"/>
      <c r="G1008" s="194"/>
      <c r="H1008" s="195"/>
      <c r="I1008" s="202"/>
      <c r="O1008" s="197"/>
      <c r="P1008" s="197"/>
      <c r="Q1008" s="197"/>
      <c r="R1008" s="197"/>
      <c r="S1008" s="197"/>
      <c r="T1008" s="197"/>
      <c r="U1008" s="197"/>
      <c r="V1008" s="197"/>
      <c r="W1008" s="197"/>
      <c r="X1008" s="197"/>
      <c r="Y1008" s="197"/>
      <c r="Z1008" s="197"/>
      <c r="AA1008" s="197"/>
      <c r="AB1008" s="197"/>
      <c r="AC1008" s="197"/>
      <c r="AD1008" s="208"/>
      <c r="AE1008" s="200"/>
      <c r="AF1008" s="200"/>
    </row>
    <row r="1009" spans="5:32" ht="15.75" x14ac:dyDescent="0.25">
      <c r="E1009" s="261"/>
      <c r="F1009" s="193"/>
      <c r="G1009" s="194"/>
      <c r="H1009" s="195"/>
      <c r="I1009" s="202"/>
      <c r="O1009" s="197"/>
      <c r="P1009" s="197"/>
      <c r="Q1009" s="197"/>
      <c r="R1009" s="197"/>
      <c r="S1009" s="197"/>
      <c r="T1009" s="197"/>
      <c r="U1009" s="197"/>
      <c r="V1009" s="197"/>
      <c r="W1009" s="197"/>
      <c r="X1009" s="197"/>
      <c r="Y1009" s="197"/>
      <c r="Z1009" s="197"/>
      <c r="AA1009" s="197"/>
      <c r="AB1009" s="197"/>
      <c r="AC1009" s="197"/>
      <c r="AD1009" s="208"/>
      <c r="AE1009" s="200"/>
      <c r="AF1009" s="200"/>
    </row>
    <row r="1010" spans="5:32" ht="15.75" x14ac:dyDescent="0.25">
      <c r="E1010" s="261"/>
      <c r="F1010" s="193"/>
      <c r="G1010" s="194"/>
      <c r="H1010" s="195"/>
      <c r="I1010" s="202"/>
      <c r="O1010" s="197"/>
      <c r="P1010" s="197"/>
      <c r="Q1010" s="197"/>
      <c r="R1010" s="197"/>
      <c r="S1010" s="197"/>
      <c r="T1010" s="197"/>
      <c r="U1010" s="197"/>
      <c r="V1010" s="197"/>
      <c r="W1010" s="197"/>
      <c r="X1010" s="197"/>
      <c r="Y1010" s="197"/>
      <c r="Z1010" s="197"/>
      <c r="AA1010" s="197"/>
      <c r="AB1010" s="197"/>
      <c r="AC1010" s="197"/>
      <c r="AD1010" s="208"/>
      <c r="AE1010" s="200"/>
      <c r="AF1010" s="200"/>
    </row>
    <row r="1011" spans="5:32" ht="15.75" x14ac:dyDescent="0.25">
      <c r="E1011" s="261"/>
      <c r="F1011" s="193"/>
      <c r="G1011" s="194"/>
      <c r="H1011" s="195"/>
      <c r="I1011" s="202"/>
      <c r="O1011" s="197"/>
      <c r="P1011" s="197"/>
      <c r="Q1011" s="197"/>
      <c r="R1011" s="197"/>
      <c r="S1011" s="197"/>
      <c r="T1011" s="197"/>
      <c r="U1011" s="197"/>
      <c r="V1011" s="197"/>
      <c r="W1011" s="197"/>
      <c r="X1011" s="197"/>
      <c r="Y1011" s="197"/>
      <c r="Z1011" s="197"/>
      <c r="AA1011" s="197"/>
      <c r="AB1011" s="197"/>
      <c r="AC1011" s="197"/>
      <c r="AD1011" s="208"/>
      <c r="AE1011" s="200"/>
      <c r="AF1011" s="200"/>
    </row>
    <row r="1012" spans="5:32" ht="15.75" x14ac:dyDescent="0.25">
      <c r="E1012" s="261"/>
      <c r="F1012" s="193"/>
      <c r="G1012" s="194"/>
      <c r="H1012" s="195"/>
      <c r="I1012" s="202"/>
      <c r="O1012" s="197"/>
      <c r="P1012" s="197"/>
      <c r="Q1012" s="197"/>
      <c r="R1012" s="197"/>
      <c r="S1012" s="197"/>
      <c r="T1012" s="197"/>
      <c r="U1012" s="197"/>
      <c r="V1012" s="197"/>
      <c r="W1012" s="197"/>
      <c r="X1012" s="197"/>
      <c r="Y1012" s="197"/>
      <c r="Z1012" s="197"/>
      <c r="AA1012" s="197"/>
      <c r="AB1012" s="197"/>
      <c r="AC1012" s="197"/>
      <c r="AD1012" s="208"/>
      <c r="AE1012" s="200"/>
      <c r="AF1012" s="200"/>
    </row>
    <row r="1013" spans="5:32" ht="15.75" x14ac:dyDescent="0.25">
      <c r="E1013" s="261"/>
      <c r="F1013" s="193"/>
      <c r="G1013" s="194"/>
      <c r="H1013" s="195"/>
      <c r="I1013" s="202"/>
      <c r="O1013" s="197"/>
      <c r="P1013" s="197"/>
      <c r="Q1013" s="197"/>
      <c r="R1013" s="197"/>
      <c r="S1013" s="197"/>
      <c r="T1013" s="197"/>
      <c r="U1013" s="197"/>
      <c r="V1013" s="197"/>
      <c r="W1013" s="197"/>
      <c r="X1013" s="197"/>
      <c r="Y1013" s="197"/>
      <c r="Z1013" s="197"/>
      <c r="AA1013" s="197"/>
      <c r="AB1013" s="197"/>
      <c r="AC1013" s="197"/>
      <c r="AD1013" s="208"/>
      <c r="AE1013" s="200"/>
      <c r="AF1013" s="200"/>
    </row>
    <row r="1014" spans="5:32" ht="15.75" x14ac:dyDescent="0.25">
      <c r="E1014" s="261"/>
      <c r="F1014" s="193"/>
      <c r="G1014" s="194"/>
      <c r="H1014" s="195"/>
      <c r="I1014" s="202"/>
      <c r="O1014" s="197"/>
      <c r="P1014" s="197"/>
      <c r="Q1014" s="197"/>
      <c r="R1014" s="197"/>
      <c r="S1014" s="197"/>
      <c r="T1014" s="197"/>
      <c r="U1014" s="197"/>
      <c r="V1014" s="197"/>
      <c r="W1014" s="197"/>
      <c r="X1014" s="197"/>
      <c r="Y1014" s="197"/>
      <c r="Z1014" s="197"/>
      <c r="AA1014" s="197"/>
      <c r="AB1014" s="197"/>
      <c r="AC1014" s="197"/>
      <c r="AD1014" s="208"/>
      <c r="AE1014" s="200"/>
      <c r="AF1014" s="200"/>
    </row>
    <row r="1015" spans="5:32" ht="15.75" x14ac:dyDescent="0.25">
      <c r="E1015" s="261"/>
      <c r="F1015" s="193"/>
      <c r="G1015" s="194"/>
      <c r="H1015" s="195"/>
      <c r="I1015" s="202"/>
      <c r="O1015" s="197"/>
      <c r="P1015" s="197"/>
      <c r="Q1015" s="197"/>
      <c r="R1015" s="197"/>
      <c r="S1015" s="197"/>
      <c r="T1015" s="197"/>
      <c r="U1015" s="197"/>
      <c r="V1015" s="197"/>
      <c r="W1015" s="197"/>
      <c r="X1015" s="197"/>
      <c r="Y1015" s="197"/>
      <c r="Z1015" s="197"/>
      <c r="AA1015" s="197"/>
      <c r="AB1015" s="197"/>
      <c r="AC1015" s="197"/>
      <c r="AD1015" s="208"/>
      <c r="AE1015" s="200"/>
      <c r="AF1015" s="200"/>
    </row>
    <row r="1016" spans="5:32" ht="15.75" x14ac:dyDescent="0.25">
      <c r="E1016" s="261"/>
      <c r="F1016" s="193"/>
      <c r="G1016" s="194"/>
      <c r="H1016" s="195"/>
      <c r="I1016" s="202"/>
      <c r="O1016" s="197"/>
      <c r="P1016" s="197"/>
      <c r="Q1016" s="197"/>
      <c r="R1016" s="197"/>
      <c r="S1016" s="197"/>
      <c r="T1016" s="197"/>
      <c r="U1016" s="197"/>
      <c r="V1016" s="197"/>
      <c r="W1016" s="197"/>
      <c r="X1016" s="197"/>
      <c r="Y1016" s="197"/>
      <c r="Z1016" s="197"/>
      <c r="AA1016" s="197"/>
      <c r="AB1016" s="197"/>
      <c r="AC1016" s="197"/>
      <c r="AD1016" s="208"/>
      <c r="AE1016" s="200"/>
      <c r="AF1016" s="200"/>
    </row>
    <row r="1017" spans="5:32" ht="15.75" x14ac:dyDescent="0.25">
      <c r="E1017" s="261"/>
      <c r="F1017" s="193"/>
      <c r="G1017" s="194"/>
      <c r="H1017" s="195"/>
      <c r="I1017" s="202"/>
      <c r="O1017" s="197"/>
      <c r="P1017" s="197"/>
      <c r="Q1017" s="197"/>
      <c r="R1017" s="197"/>
      <c r="S1017" s="197"/>
      <c r="T1017" s="197"/>
      <c r="U1017" s="197"/>
      <c r="V1017" s="197"/>
      <c r="W1017" s="197"/>
      <c r="X1017" s="197"/>
      <c r="Y1017" s="197"/>
      <c r="Z1017" s="197"/>
      <c r="AA1017" s="197"/>
      <c r="AB1017" s="197"/>
      <c r="AC1017" s="197"/>
      <c r="AD1017" s="208"/>
      <c r="AE1017" s="200"/>
      <c r="AF1017" s="200"/>
    </row>
    <row r="1018" spans="5:32" ht="15.75" x14ac:dyDescent="0.25">
      <c r="E1018" s="261"/>
      <c r="F1018" s="193"/>
      <c r="G1018" s="194"/>
      <c r="H1018" s="195"/>
      <c r="I1018" s="202"/>
      <c r="O1018" s="197"/>
      <c r="P1018" s="197"/>
      <c r="Q1018" s="197"/>
      <c r="R1018" s="197"/>
      <c r="S1018" s="197"/>
      <c r="T1018" s="197"/>
      <c r="U1018" s="197"/>
      <c r="V1018" s="197"/>
      <c r="W1018" s="197"/>
      <c r="X1018" s="197"/>
      <c r="Y1018" s="197"/>
      <c r="Z1018" s="197"/>
      <c r="AA1018" s="197"/>
      <c r="AB1018" s="197"/>
      <c r="AC1018" s="197"/>
      <c r="AD1018" s="208"/>
      <c r="AE1018" s="200"/>
      <c r="AF1018" s="200"/>
    </row>
    <row r="1019" spans="5:32" ht="15.75" x14ac:dyDescent="0.25">
      <c r="E1019" s="261"/>
      <c r="F1019" s="193"/>
      <c r="G1019" s="194"/>
      <c r="H1019" s="195"/>
      <c r="I1019" s="202"/>
      <c r="O1019" s="197"/>
      <c r="P1019" s="197"/>
      <c r="Q1019" s="197"/>
      <c r="R1019" s="197"/>
      <c r="S1019" s="197"/>
      <c r="T1019" s="197"/>
      <c r="U1019" s="197"/>
      <c r="V1019" s="197"/>
      <c r="W1019" s="197"/>
      <c r="X1019" s="197"/>
      <c r="Y1019" s="197"/>
      <c r="Z1019" s="197"/>
      <c r="AA1019" s="197"/>
      <c r="AB1019" s="197"/>
      <c r="AC1019" s="197"/>
      <c r="AD1019" s="208"/>
      <c r="AE1019" s="200"/>
      <c r="AF1019" s="200"/>
    </row>
    <row r="1020" spans="5:32" ht="15.75" x14ac:dyDescent="0.25">
      <c r="E1020" s="261"/>
      <c r="F1020" s="193"/>
      <c r="G1020" s="194"/>
      <c r="H1020" s="195"/>
      <c r="I1020" s="202"/>
      <c r="O1020" s="197"/>
      <c r="P1020" s="197"/>
      <c r="Q1020" s="197"/>
      <c r="R1020" s="197"/>
      <c r="S1020" s="197"/>
      <c r="T1020" s="197"/>
      <c r="U1020" s="197"/>
      <c r="V1020" s="197"/>
      <c r="W1020" s="197"/>
      <c r="X1020" s="197"/>
      <c r="Y1020" s="197"/>
      <c r="Z1020" s="197"/>
      <c r="AA1020" s="197"/>
      <c r="AB1020" s="197"/>
      <c r="AC1020" s="197"/>
      <c r="AD1020" s="208"/>
      <c r="AE1020" s="200"/>
      <c r="AF1020" s="200"/>
    </row>
    <row r="1021" spans="5:32" ht="15.75" x14ac:dyDescent="0.25">
      <c r="E1021" s="261"/>
      <c r="F1021" s="193"/>
      <c r="G1021" s="194"/>
      <c r="H1021" s="195"/>
      <c r="I1021" s="202"/>
      <c r="O1021" s="197"/>
      <c r="P1021" s="197"/>
      <c r="Q1021" s="197"/>
      <c r="R1021" s="197"/>
      <c r="S1021" s="197"/>
      <c r="T1021" s="197"/>
      <c r="U1021" s="197"/>
      <c r="V1021" s="197"/>
      <c r="W1021" s="197"/>
      <c r="X1021" s="197"/>
      <c r="Y1021" s="197"/>
      <c r="Z1021" s="197"/>
      <c r="AA1021" s="197"/>
      <c r="AB1021" s="197"/>
      <c r="AC1021" s="197"/>
      <c r="AD1021" s="208"/>
      <c r="AE1021" s="200"/>
      <c r="AF1021" s="200"/>
    </row>
    <row r="1022" spans="5:32" ht="15.75" x14ac:dyDescent="0.25">
      <c r="E1022" s="261"/>
      <c r="F1022" s="193"/>
      <c r="G1022" s="194"/>
      <c r="H1022" s="195"/>
      <c r="I1022" s="202"/>
      <c r="O1022" s="197"/>
      <c r="P1022" s="197"/>
      <c r="Q1022" s="197"/>
      <c r="R1022" s="197"/>
      <c r="S1022" s="197"/>
      <c r="T1022" s="197"/>
      <c r="U1022" s="197"/>
      <c r="V1022" s="197"/>
      <c r="W1022" s="197"/>
      <c r="X1022" s="197"/>
      <c r="Y1022" s="197"/>
      <c r="Z1022" s="197"/>
      <c r="AA1022" s="197"/>
      <c r="AB1022" s="197"/>
      <c r="AC1022" s="197"/>
      <c r="AD1022" s="208"/>
      <c r="AE1022" s="200"/>
      <c r="AF1022" s="200"/>
    </row>
    <row r="1023" spans="5:32" ht="15.75" x14ac:dyDescent="0.25">
      <c r="E1023" s="261"/>
      <c r="F1023" s="193"/>
      <c r="G1023" s="194"/>
      <c r="H1023" s="195"/>
      <c r="I1023" s="202"/>
      <c r="O1023" s="197"/>
      <c r="P1023" s="197"/>
      <c r="Q1023" s="197"/>
      <c r="R1023" s="197"/>
      <c r="S1023" s="197"/>
      <c r="T1023" s="197"/>
      <c r="U1023" s="197"/>
      <c r="V1023" s="197"/>
      <c r="W1023" s="197"/>
      <c r="X1023" s="197"/>
      <c r="Y1023" s="197"/>
      <c r="Z1023" s="197"/>
      <c r="AA1023" s="197"/>
      <c r="AB1023" s="197"/>
      <c r="AC1023" s="197"/>
      <c r="AD1023" s="208"/>
      <c r="AE1023" s="200"/>
      <c r="AF1023" s="200"/>
    </row>
    <row r="1024" spans="5:32" ht="15.75" x14ac:dyDescent="0.25">
      <c r="E1024" s="261"/>
      <c r="F1024" s="193"/>
      <c r="G1024" s="194"/>
      <c r="H1024" s="195"/>
      <c r="I1024" s="202"/>
      <c r="O1024" s="197"/>
      <c r="P1024" s="197"/>
      <c r="Q1024" s="197"/>
      <c r="R1024" s="197"/>
      <c r="S1024" s="197"/>
      <c r="T1024" s="197"/>
      <c r="U1024" s="197"/>
      <c r="V1024" s="197"/>
      <c r="W1024" s="197"/>
      <c r="X1024" s="197"/>
      <c r="Y1024" s="197"/>
      <c r="Z1024" s="197"/>
      <c r="AA1024" s="197"/>
      <c r="AB1024" s="197"/>
      <c r="AC1024" s="197"/>
      <c r="AD1024" s="208"/>
      <c r="AE1024" s="200"/>
      <c r="AF1024" s="200"/>
    </row>
    <row r="1025" spans="5:32" ht="15.75" x14ac:dyDescent="0.25">
      <c r="E1025" s="261"/>
      <c r="F1025" s="193"/>
      <c r="G1025" s="194"/>
      <c r="H1025" s="195"/>
      <c r="I1025" s="202"/>
      <c r="O1025" s="197"/>
      <c r="P1025" s="197"/>
      <c r="Q1025" s="197"/>
      <c r="R1025" s="197"/>
      <c r="S1025" s="197"/>
      <c r="T1025" s="197"/>
      <c r="U1025" s="197"/>
      <c r="V1025" s="197"/>
      <c r="W1025" s="197"/>
      <c r="X1025" s="197"/>
      <c r="Y1025" s="197"/>
      <c r="Z1025" s="197"/>
      <c r="AA1025" s="197"/>
      <c r="AB1025" s="197"/>
      <c r="AC1025" s="197"/>
      <c r="AD1025" s="208"/>
      <c r="AE1025" s="200"/>
      <c r="AF1025" s="200"/>
    </row>
    <row r="1026" spans="5:32" ht="15.75" x14ac:dyDescent="0.25">
      <c r="E1026" s="261"/>
      <c r="F1026" s="193"/>
      <c r="G1026" s="194"/>
      <c r="H1026" s="195"/>
      <c r="I1026" s="202"/>
      <c r="O1026" s="197"/>
      <c r="P1026" s="197"/>
      <c r="Q1026" s="197"/>
      <c r="R1026" s="197"/>
      <c r="S1026" s="197"/>
      <c r="T1026" s="197"/>
      <c r="U1026" s="197"/>
      <c r="V1026" s="197"/>
      <c r="W1026" s="197"/>
      <c r="X1026" s="197"/>
      <c r="Y1026" s="197"/>
      <c r="Z1026" s="197"/>
      <c r="AA1026" s="197"/>
      <c r="AB1026" s="197"/>
      <c r="AC1026" s="197"/>
      <c r="AD1026" s="208"/>
      <c r="AE1026" s="200"/>
      <c r="AF1026" s="200"/>
    </row>
    <row r="1027" spans="5:32" ht="15.75" x14ac:dyDescent="0.25">
      <c r="E1027" s="261"/>
      <c r="F1027" s="193"/>
      <c r="G1027" s="194"/>
      <c r="H1027" s="195"/>
      <c r="I1027" s="202"/>
      <c r="O1027" s="197"/>
      <c r="P1027" s="197"/>
      <c r="Q1027" s="197"/>
      <c r="R1027" s="197"/>
      <c r="S1027" s="197"/>
      <c r="T1027" s="197"/>
      <c r="U1027" s="197"/>
      <c r="V1027" s="197"/>
      <c r="W1027" s="197"/>
      <c r="X1027" s="197"/>
      <c r="Y1027" s="197"/>
      <c r="Z1027" s="197"/>
      <c r="AA1027" s="197"/>
      <c r="AB1027" s="197"/>
      <c r="AC1027" s="197"/>
      <c r="AD1027" s="208"/>
      <c r="AE1027" s="200"/>
      <c r="AF1027" s="200"/>
    </row>
    <row r="1028" spans="5:32" ht="15.75" x14ac:dyDescent="0.25">
      <c r="E1028" s="261"/>
      <c r="F1028" s="193"/>
      <c r="G1028" s="194"/>
      <c r="H1028" s="195"/>
      <c r="I1028" s="202"/>
      <c r="O1028" s="197"/>
      <c r="P1028" s="197"/>
      <c r="Q1028" s="197"/>
      <c r="R1028" s="197"/>
      <c r="S1028" s="197"/>
      <c r="T1028" s="197"/>
      <c r="U1028" s="197"/>
      <c r="V1028" s="197"/>
      <c r="W1028" s="197"/>
      <c r="X1028" s="197"/>
      <c r="Y1028" s="197"/>
      <c r="Z1028" s="197"/>
      <c r="AA1028" s="197"/>
      <c r="AB1028" s="197"/>
      <c r="AC1028" s="197"/>
      <c r="AD1028" s="208"/>
      <c r="AE1028" s="200"/>
      <c r="AF1028" s="200"/>
    </row>
    <row r="1029" spans="5:32" ht="15.75" x14ac:dyDescent="0.25">
      <c r="E1029" s="261"/>
      <c r="F1029" s="193"/>
      <c r="G1029" s="194"/>
      <c r="H1029" s="195"/>
      <c r="I1029" s="202"/>
      <c r="O1029" s="197"/>
      <c r="P1029" s="197"/>
      <c r="Q1029" s="197"/>
      <c r="R1029" s="197"/>
      <c r="S1029" s="197"/>
      <c r="T1029" s="197"/>
      <c r="U1029" s="197"/>
      <c r="V1029" s="197"/>
      <c r="W1029" s="197"/>
      <c r="X1029" s="197"/>
      <c r="Y1029" s="197"/>
      <c r="Z1029" s="197"/>
      <c r="AA1029" s="197"/>
      <c r="AB1029" s="197"/>
      <c r="AC1029" s="197"/>
      <c r="AD1029" s="208"/>
      <c r="AE1029" s="200"/>
      <c r="AF1029" s="200"/>
    </row>
    <row r="1030" spans="5:32" ht="15.75" x14ac:dyDescent="0.25">
      <c r="E1030" s="261"/>
      <c r="F1030" s="193"/>
      <c r="G1030" s="194"/>
      <c r="H1030" s="195"/>
      <c r="I1030" s="202"/>
      <c r="O1030" s="197"/>
      <c r="P1030" s="197"/>
      <c r="Q1030" s="197"/>
      <c r="R1030" s="197"/>
      <c r="S1030" s="197"/>
      <c r="T1030" s="197"/>
      <c r="U1030" s="197"/>
      <c r="V1030" s="197"/>
      <c r="W1030" s="197"/>
      <c r="X1030" s="197"/>
      <c r="Y1030" s="197"/>
      <c r="Z1030" s="197"/>
      <c r="AA1030" s="197"/>
      <c r="AB1030" s="197"/>
      <c r="AC1030" s="197"/>
      <c r="AD1030" s="208"/>
      <c r="AE1030" s="200"/>
      <c r="AF1030" s="200"/>
    </row>
    <row r="1031" spans="5:32" ht="15.75" x14ac:dyDescent="0.25">
      <c r="E1031" s="261"/>
      <c r="F1031" s="193"/>
      <c r="G1031" s="194"/>
      <c r="H1031" s="195"/>
      <c r="I1031" s="202"/>
      <c r="O1031" s="197"/>
      <c r="P1031" s="197"/>
      <c r="Q1031" s="197"/>
      <c r="R1031" s="197"/>
      <c r="S1031" s="197"/>
      <c r="T1031" s="197"/>
      <c r="U1031" s="197"/>
      <c r="V1031" s="197"/>
      <c r="W1031" s="197"/>
      <c r="X1031" s="197"/>
      <c r="Y1031" s="197"/>
      <c r="Z1031" s="197"/>
      <c r="AA1031" s="197"/>
      <c r="AB1031" s="197"/>
      <c r="AC1031" s="197"/>
      <c r="AD1031" s="208"/>
      <c r="AE1031" s="200"/>
      <c r="AF1031" s="200"/>
    </row>
    <row r="1032" spans="5:32" ht="15.75" x14ac:dyDescent="0.25">
      <c r="E1032" s="261"/>
      <c r="F1032" s="193"/>
      <c r="G1032" s="194"/>
      <c r="H1032" s="195"/>
      <c r="I1032" s="202"/>
      <c r="O1032" s="197"/>
      <c r="P1032" s="197"/>
      <c r="Q1032" s="197"/>
      <c r="R1032" s="197"/>
      <c r="S1032" s="197"/>
      <c r="T1032" s="197"/>
      <c r="U1032" s="197"/>
      <c r="V1032" s="197"/>
      <c r="W1032" s="197"/>
      <c r="X1032" s="197"/>
      <c r="Y1032" s="197"/>
      <c r="Z1032" s="197"/>
      <c r="AA1032" s="197"/>
      <c r="AB1032" s="197"/>
      <c r="AC1032" s="197"/>
      <c r="AD1032" s="208"/>
      <c r="AE1032" s="200"/>
      <c r="AF1032" s="200"/>
    </row>
    <row r="1033" spans="5:32" ht="15.75" x14ac:dyDescent="0.25">
      <c r="E1033" s="261"/>
      <c r="F1033" s="193"/>
      <c r="G1033" s="194"/>
      <c r="H1033" s="195"/>
      <c r="I1033" s="202"/>
      <c r="O1033" s="197"/>
      <c r="P1033" s="197"/>
      <c r="Q1033" s="197"/>
      <c r="R1033" s="197"/>
      <c r="S1033" s="197"/>
      <c r="T1033" s="197"/>
      <c r="U1033" s="197"/>
      <c r="V1033" s="197"/>
      <c r="W1033" s="197"/>
      <c r="X1033" s="197"/>
      <c r="Y1033" s="197"/>
      <c r="Z1033" s="197"/>
      <c r="AA1033" s="197"/>
      <c r="AB1033" s="197"/>
      <c r="AC1033" s="197"/>
      <c r="AD1033" s="208"/>
      <c r="AE1033" s="200"/>
      <c r="AF1033" s="200"/>
    </row>
    <row r="1034" spans="5:32" ht="15.75" x14ac:dyDescent="0.25">
      <c r="E1034" s="261"/>
      <c r="F1034" s="193"/>
      <c r="G1034" s="194"/>
      <c r="H1034" s="195"/>
      <c r="I1034" s="202"/>
      <c r="O1034" s="197"/>
      <c r="P1034" s="197"/>
      <c r="Q1034" s="197"/>
      <c r="R1034" s="197"/>
      <c r="S1034" s="197"/>
      <c r="T1034" s="197"/>
      <c r="U1034" s="197"/>
      <c r="V1034" s="197"/>
      <c r="W1034" s="197"/>
      <c r="X1034" s="197"/>
      <c r="Y1034" s="197"/>
      <c r="Z1034" s="197"/>
      <c r="AA1034" s="197"/>
      <c r="AB1034" s="197"/>
      <c r="AC1034" s="197"/>
      <c r="AD1034" s="208"/>
      <c r="AE1034" s="200"/>
      <c r="AF1034" s="200"/>
    </row>
    <row r="1035" spans="5:32" ht="15.75" x14ac:dyDescent="0.25">
      <c r="E1035" s="261"/>
      <c r="F1035" s="193"/>
      <c r="G1035" s="194"/>
      <c r="H1035" s="195"/>
      <c r="I1035" s="202"/>
      <c r="O1035" s="197"/>
      <c r="P1035" s="197"/>
      <c r="Q1035" s="197"/>
      <c r="R1035" s="197"/>
      <c r="S1035" s="197"/>
      <c r="T1035" s="197"/>
      <c r="U1035" s="197"/>
      <c r="V1035" s="197"/>
      <c r="W1035" s="197"/>
      <c r="X1035" s="197"/>
      <c r="Y1035" s="197"/>
      <c r="Z1035" s="197"/>
      <c r="AA1035" s="197"/>
      <c r="AB1035" s="197"/>
      <c r="AC1035" s="197"/>
      <c r="AD1035" s="208"/>
      <c r="AE1035" s="200"/>
      <c r="AF1035" s="200"/>
    </row>
    <row r="1036" spans="5:32" ht="15.75" hidden="1" x14ac:dyDescent="0.25">
      <c r="E1036" s="261"/>
      <c r="F1036" s="193"/>
      <c r="G1036" s="194"/>
      <c r="H1036" s="195"/>
      <c r="I1036" s="202"/>
      <c r="O1036" s="197"/>
      <c r="P1036" s="197"/>
      <c r="Q1036" s="197"/>
      <c r="R1036" s="197"/>
      <c r="S1036" s="197"/>
      <c r="T1036" s="197"/>
      <c r="U1036" s="197"/>
      <c r="V1036" s="197"/>
      <c r="W1036" s="197"/>
      <c r="X1036" s="197"/>
      <c r="Y1036" s="197"/>
      <c r="Z1036" s="197"/>
      <c r="AA1036" s="197"/>
      <c r="AB1036" s="197"/>
      <c r="AC1036" s="197"/>
      <c r="AD1036" s="208"/>
      <c r="AE1036" s="200"/>
      <c r="AF1036" s="200"/>
    </row>
    <row r="1037" spans="5:32" ht="15.75" hidden="1" x14ac:dyDescent="0.25">
      <c r="E1037" s="261"/>
      <c r="F1037" s="193"/>
      <c r="G1037" s="194"/>
      <c r="H1037" s="195"/>
      <c r="I1037" s="202"/>
      <c r="O1037" s="197"/>
      <c r="P1037" s="197"/>
      <c r="Q1037" s="197"/>
      <c r="R1037" s="197"/>
      <c r="S1037" s="197"/>
      <c r="T1037" s="197"/>
      <c r="U1037" s="197"/>
      <c r="V1037" s="197"/>
      <c r="W1037" s="197"/>
      <c r="X1037" s="197"/>
      <c r="Y1037" s="197"/>
      <c r="Z1037" s="197"/>
      <c r="AA1037" s="197"/>
      <c r="AB1037" s="197"/>
      <c r="AC1037" s="197"/>
      <c r="AD1037" s="208"/>
      <c r="AE1037" s="200"/>
      <c r="AF1037" s="200"/>
    </row>
    <row r="1038" spans="5:32" ht="15.75" hidden="1" x14ac:dyDescent="0.25">
      <c r="E1038" s="261"/>
      <c r="F1038" s="193"/>
      <c r="G1038" s="194"/>
      <c r="H1038" s="195"/>
      <c r="I1038" s="202"/>
      <c r="O1038" s="197"/>
      <c r="P1038" s="197"/>
      <c r="Q1038" s="197"/>
      <c r="R1038" s="197"/>
      <c r="S1038" s="197"/>
      <c r="T1038" s="197"/>
      <c r="U1038" s="197"/>
      <c r="V1038" s="197"/>
      <c r="W1038" s="197"/>
      <c r="X1038" s="197"/>
      <c r="Y1038" s="197"/>
      <c r="Z1038" s="197"/>
      <c r="AA1038" s="197"/>
      <c r="AB1038" s="197"/>
      <c r="AC1038" s="197"/>
      <c r="AD1038" s="208"/>
      <c r="AE1038" s="200"/>
      <c r="AF1038" s="200"/>
    </row>
    <row r="1039" spans="5:32" ht="15.75" hidden="1" x14ac:dyDescent="0.25">
      <c r="E1039" s="261"/>
      <c r="F1039" s="193"/>
      <c r="G1039" s="194"/>
      <c r="H1039" s="195"/>
      <c r="I1039" s="202"/>
      <c r="O1039" s="197"/>
      <c r="P1039" s="197"/>
      <c r="Q1039" s="197"/>
      <c r="R1039" s="197"/>
      <c r="S1039" s="197"/>
      <c r="T1039" s="197"/>
      <c r="U1039" s="197"/>
      <c r="V1039" s="197"/>
      <c r="W1039" s="197"/>
      <c r="X1039" s="197"/>
      <c r="Y1039" s="197"/>
      <c r="Z1039" s="197"/>
      <c r="AA1039" s="197"/>
      <c r="AB1039" s="197"/>
      <c r="AC1039" s="197"/>
      <c r="AD1039" s="208"/>
      <c r="AE1039" s="200"/>
      <c r="AF1039" s="200"/>
    </row>
    <row r="1040" spans="5:32" ht="15.75" hidden="1" x14ac:dyDescent="0.25">
      <c r="E1040" s="261"/>
      <c r="F1040" s="193"/>
      <c r="G1040" s="194"/>
      <c r="H1040" s="195"/>
      <c r="I1040" s="202"/>
      <c r="O1040" s="197"/>
      <c r="P1040" s="197"/>
      <c r="Q1040" s="197"/>
      <c r="R1040" s="197"/>
      <c r="S1040" s="197"/>
      <c r="T1040" s="197"/>
      <c r="U1040" s="197"/>
      <c r="V1040" s="197"/>
      <c r="W1040" s="197"/>
      <c r="X1040" s="197"/>
      <c r="Y1040" s="197"/>
      <c r="Z1040" s="197"/>
      <c r="AA1040" s="197"/>
      <c r="AB1040" s="197"/>
      <c r="AC1040" s="197"/>
      <c r="AD1040" s="208"/>
      <c r="AE1040" s="200"/>
      <c r="AF1040" s="200"/>
    </row>
    <row r="1041" spans="5:32" ht="15.75" hidden="1" x14ac:dyDescent="0.25">
      <c r="E1041" s="261"/>
      <c r="F1041" s="193"/>
      <c r="G1041" s="194"/>
      <c r="H1041" s="195"/>
      <c r="I1041" s="202"/>
      <c r="O1041" s="197"/>
      <c r="P1041" s="197"/>
      <c r="Q1041" s="197"/>
      <c r="R1041" s="197"/>
      <c r="S1041" s="197"/>
      <c r="T1041" s="197"/>
      <c r="U1041" s="197"/>
      <c r="V1041" s="197"/>
      <c r="W1041" s="197"/>
      <c r="X1041" s="197"/>
      <c r="Y1041" s="197"/>
      <c r="Z1041" s="197"/>
      <c r="AA1041" s="197"/>
      <c r="AB1041" s="197"/>
      <c r="AC1041" s="197"/>
      <c r="AD1041" s="208"/>
      <c r="AE1041" s="200"/>
      <c r="AF1041" s="200"/>
    </row>
    <row r="1042" spans="5:32" ht="15.75" hidden="1" x14ac:dyDescent="0.25">
      <c r="E1042" s="261"/>
      <c r="F1042" s="193"/>
      <c r="G1042" s="194"/>
      <c r="H1042" s="195"/>
      <c r="I1042" s="202"/>
      <c r="O1042" s="197"/>
      <c r="P1042" s="197"/>
      <c r="Q1042" s="197"/>
      <c r="R1042" s="197"/>
      <c r="S1042" s="197"/>
      <c r="T1042" s="197"/>
      <c r="U1042" s="197"/>
      <c r="V1042" s="197"/>
      <c r="W1042" s="197"/>
      <c r="X1042" s="197"/>
      <c r="Y1042" s="197"/>
      <c r="Z1042" s="197"/>
      <c r="AA1042" s="197"/>
      <c r="AB1042" s="197"/>
      <c r="AC1042" s="197"/>
      <c r="AD1042" s="208"/>
      <c r="AE1042" s="200"/>
      <c r="AF1042" s="200"/>
    </row>
    <row r="1043" spans="5:32" ht="15.75" hidden="1" x14ac:dyDescent="0.25">
      <c r="E1043" s="261"/>
      <c r="F1043" s="193"/>
      <c r="G1043" s="194"/>
      <c r="H1043" s="195"/>
      <c r="I1043" s="202"/>
      <c r="O1043" s="197"/>
      <c r="P1043" s="197"/>
      <c r="Q1043" s="197"/>
      <c r="R1043" s="197"/>
      <c r="S1043" s="197"/>
      <c r="T1043" s="197"/>
      <c r="U1043" s="197"/>
      <c r="V1043" s="197"/>
      <c r="W1043" s="197"/>
      <c r="X1043" s="197"/>
      <c r="Y1043" s="197"/>
      <c r="Z1043" s="197"/>
      <c r="AA1043" s="197"/>
      <c r="AB1043" s="197"/>
      <c r="AC1043" s="197"/>
      <c r="AD1043" s="208"/>
      <c r="AE1043" s="200"/>
      <c r="AF1043" s="200"/>
    </row>
    <row r="1044" spans="5:32" ht="15.75" hidden="1" x14ac:dyDescent="0.25">
      <c r="E1044" s="261"/>
      <c r="F1044" s="193"/>
      <c r="G1044" s="194"/>
      <c r="H1044" s="195"/>
      <c r="I1044" s="202"/>
      <c r="O1044" s="197"/>
      <c r="P1044" s="197"/>
      <c r="Q1044" s="197"/>
      <c r="R1044" s="197"/>
      <c r="S1044" s="197"/>
      <c r="T1044" s="197"/>
      <c r="U1044" s="197"/>
      <c r="V1044" s="197"/>
      <c r="W1044" s="197"/>
      <c r="X1044" s="197"/>
      <c r="Y1044" s="197"/>
      <c r="Z1044" s="197"/>
      <c r="AA1044" s="197"/>
      <c r="AB1044" s="197"/>
      <c r="AC1044" s="197"/>
      <c r="AD1044" s="208"/>
      <c r="AE1044" s="200"/>
      <c r="AF1044" s="200"/>
    </row>
    <row r="1045" spans="5:32" ht="15.75" hidden="1" x14ac:dyDescent="0.25">
      <c r="E1045" s="261"/>
      <c r="F1045" s="193"/>
      <c r="G1045" s="194"/>
      <c r="H1045" s="195"/>
      <c r="I1045" s="202"/>
      <c r="O1045" s="197"/>
      <c r="P1045" s="197"/>
      <c r="Q1045" s="197"/>
      <c r="R1045" s="197"/>
      <c r="S1045" s="197"/>
      <c r="T1045" s="197"/>
      <c r="U1045" s="197"/>
      <c r="V1045" s="197"/>
      <c r="W1045" s="197"/>
      <c r="X1045" s="197"/>
      <c r="Y1045" s="197"/>
      <c r="Z1045" s="197"/>
      <c r="AA1045" s="197"/>
      <c r="AB1045" s="197"/>
      <c r="AC1045" s="197"/>
      <c r="AD1045" s="208"/>
      <c r="AE1045" s="200"/>
      <c r="AF1045" s="200"/>
    </row>
    <row r="1046" spans="5:32" ht="15.75" hidden="1" x14ac:dyDescent="0.25">
      <c r="E1046" s="261"/>
      <c r="F1046" s="193"/>
      <c r="G1046" s="194"/>
      <c r="H1046" s="195"/>
      <c r="I1046" s="202"/>
      <c r="O1046" s="197"/>
      <c r="P1046" s="197"/>
      <c r="Q1046" s="197"/>
      <c r="R1046" s="197"/>
      <c r="S1046" s="197"/>
      <c r="T1046" s="197"/>
      <c r="U1046" s="197"/>
      <c r="V1046" s="197"/>
      <c r="W1046" s="197"/>
      <c r="X1046" s="197"/>
      <c r="Y1046" s="197"/>
      <c r="Z1046" s="197"/>
      <c r="AA1046" s="197"/>
      <c r="AB1046" s="197"/>
      <c r="AC1046" s="197"/>
      <c r="AD1046" s="208"/>
      <c r="AE1046" s="200"/>
      <c r="AF1046" s="200"/>
    </row>
    <row r="1047" spans="5:32" ht="15.75" hidden="1" x14ac:dyDescent="0.25">
      <c r="E1047" s="261"/>
      <c r="F1047" s="193"/>
      <c r="G1047" s="194"/>
      <c r="H1047" s="195"/>
      <c r="I1047" s="202"/>
      <c r="O1047" s="197"/>
      <c r="P1047" s="197"/>
      <c r="Q1047" s="197"/>
      <c r="R1047" s="197"/>
      <c r="S1047" s="197"/>
      <c r="T1047" s="197"/>
      <c r="U1047" s="197"/>
      <c r="V1047" s="197"/>
      <c r="W1047" s="197"/>
      <c r="X1047" s="197"/>
      <c r="Y1047" s="197"/>
      <c r="Z1047" s="197"/>
      <c r="AA1047" s="197"/>
      <c r="AB1047" s="197"/>
      <c r="AC1047" s="197"/>
      <c r="AD1047" s="208"/>
      <c r="AE1047" s="200"/>
      <c r="AF1047" s="200"/>
    </row>
    <row r="1048" spans="5:32" ht="15.75" hidden="1" x14ac:dyDescent="0.25">
      <c r="E1048" s="261"/>
      <c r="F1048" s="193"/>
      <c r="G1048" s="194"/>
      <c r="H1048" s="195"/>
      <c r="I1048" s="202"/>
      <c r="O1048" s="197"/>
      <c r="P1048" s="197"/>
      <c r="Q1048" s="197"/>
      <c r="R1048" s="197"/>
      <c r="S1048" s="197"/>
      <c r="T1048" s="197"/>
      <c r="U1048" s="197"/>
      <c r="V1048" s="197"/>
      <c r="W1048" s="197"/>
      <c r="X1048" s="197"/>
      <c r="Y1048" s="197"/>
      <c r="Z1048" s="197"/>
      <c r="AA1048" s="197"/>
      <c r="AB1048" s="197"/>
      <c r="AC1048" s="197"/>
      <c r="AD1048" s="208"/>
      <c r="AE1048" s="200"/>
      <c r="AF1048" s="200"/>
    </row>
    <row r="1049" spans="5:32" ht="15.75" hidden="1" x14ac:dyDescent="0.25">
      <c r="E1049" s="261"/>
      <c r="F1049" s="193"/>
      <c r="G1049" s="194"/>
      <c r="H1049" s="195"/>
      <c r="I1049" s="202"/>
      <c r="O1049" s="197"/>
      <c r="P1049" s="197"/>
      <c r="Q1049" s="197"/>
      <c r="R1049" s="197"/>
      <c r="S1049" s="197"/>
      <c r="T1049" s="197"/>
      <c r="U1049" s="197"/>
      <c r="V1049" s="197"/>
      <c r="W1049" s="197"/>
      <c r="X1049" s="197"/>
      <c r="Y1049" s="197"/>
      <c r="Z1049" s="197"/>
      <c r="AA1049" s="197"/>
      <c r="AB1049" s="197"/>
      <c r="AC1049" s="197"/>
      <c r="AD1049" s="208"/>
      <c r="AE1049" s="200"/>
      <c r="AF1049" s="200"/>
    </row>
    <row r="1050" spans="5:32" ht="15.75" hidden="1" x14ac:dyDescent="0.25">
      <c r="E1050" s="261"/>
      <c r="F1050" s="193"/>
      <c r="G1050" s="194"/>
      <c r="H1050" s="195"/>
      <c r="I1050" s="202"/>
      <c r="O1050" s="197"/>
      <c r="P1050" s="197"/>
      <c r="Q1050" s="197"/>
      <c r="R1050" s="197"/>
      <c r="S1050" s="197"/>
      <c r="T1050" s="197"/>
      <c r="U1050" s="197"/>
      <c r="V1050" s="197"/>
      <c r="W1050" s="197"/>
      <c r="X1050" s="197"/>
      <c r="Y1050" s="197"/>
      <c r="Z1050" s="197"/>
      <c r="AA1050" s="197"/>
      <c r="AB1050" s="197"/>
      <c r="AC1050" s="197"/>
      <c r="AD1050" s="208"/>
      <c r="AE1050" s="200"/>
      <c r="AF1050" s="200"/>
    </row>
    <row r="1051" spans="5:32" ht="15.75" hidden="1" x14ac:dyDescent="0.25">
      <c r="E1051" s="261"/>
      <c r="F1051" s="193"/>
      <c r="G1051" s="194"/>
      <c r="H1051" s="195"/>
      <c r="I1051" s="202"/>
      <c r="O1051" s="197"/>
      <c r="P1051" s="197"/>
      <c r="Q1051" s="197"/>
      <c r="R1051" s="197"/>
      <c r="S1051" s="197"/>
      <c r="T1051" s="197"/>
      <c r="U1051" s="197"/>
      <c r="V1051" s="197"/>
      <c r="W1051" s="197"/>
      <c r="X1051" s="197"/>
      <c r="Y1051" s="197"/>
      <c r="Z1051" s="197"/>
      <c r="AA1051" s="197"/>
      <c r="AB1051" s="197"/>
      <c r="AC1051" s="197"/>
      <c r="AD1051" s="208"/>
      <c r="AE1051" s="200"/>
      <c r="AF1051" s="200"/>
    </row>
    <row r="1052" spans="5:32" ht="15.75" hidden="1" x14ac:dyDescent="0.25">
      <c r="E1052" s="262"/>
      <c r="F1052" s="193"/>
      <c r="G1052" s="194"/>
      <c r="H1052" s="195"/>
      <c r="I1052" s="206"/>
      <c r="O1052" s="197"/>
      <c r="P1052" s="207"/>
      <c r="Q1052" s="207"/>
      <c r="R1052" s="197"/>
      <c r="S1052" s="197"/>
      <c r="T1052" s="197"/>
      <c r="U1052" s="197"/>
      <c r="V1052" s="197"/>
      <c r="W1052" s="197"/>
      <c r="X1052" s="197"/>
      <c r="Y1052" s="197"/>
      <c r="Z1052" s="197"/>
      <c r="AA1052" s="197"/>
      <c r="AB1052" s="197"/>
      <c r="AC1052" s="197"/>
      <c r="AD1052" s="208"/>
      <c r="AE1052" s="200"/>
      <c r="AF1052" s="200"/>
    </row>
    <row r="1053" spans="5:32" ht="15.75" hidden="1" x14ac:dyDescent="0.25">
      <c r="E1053" s="262"/>
      <c r="F1053" s="193"/>
      <c r="G1053" s="194"/>
      <c r="H1053" s="195"/>
      <c r="I1053" s="206"/>
      <c r="O1053" s="197"/>
      <c r="P1053" s="207"/>
      <c r="Q1053" s="207"/>
      <c r="R1053" s="197"/>
      <c r="S1053" s="197"/>
      <c r="T1053" s="197"/>
      <c r="U1053" s="197"/>
      <c r="V1053" s="197"/>
      <c r="W1053" s="197"/>
      <c r="X1053" s="197"/>
      <c r="Y1053" s="197"/>
      <c r="Z1053" s="197"/>
      <c r="AA1053" s="197"/>
      <c r="AB1053" s="197"/>
      <c r="AC1053" s="197"/>
      <c r="AD1053" s="208"/>
      <c r="AE1053" s="200"/>
      <c r="AF1053" s="200"/>
    </row>
    <row r="1054" spans="5:32" ht="15.75" hidden="1" x14ac:dyDescent="0.25">
      <c r="E1054" s="262"/>
      <c r="F1054" s="193"/>
      <c r="G1054" s="194"/>
      <c r="H1054" s="195"/>
      <c r="I1054" s="206"/>
      <c r="O1054" s="197"/>
      <c r="P1054" s="207"/>
      <c r="Q1054" s="207"/>
      <c r="R1054" s="197"/>
      <c r="S1054" s="197"/>
      <c r="T1054" s="197"/>
      <c r="U1054" s="197"/>
      <c r="V1054" s="197"/>
      <c r="W1054" s="197"/>
      <c r="X1054" s="197"/>
      <c r="Y1054" s="197"/>
      <c r="Z1054" s="197"/>
      <c r="AA1054" s="197"/>
      <c r="AB1054" s="197"/>
      <c r="AC1054" s="197"/>
      <c r="AD1054" s="208"/>
      <c r="AE1054" s="200"/>
      <c r="AF1054" s="200"/>
    </row>
    <row r="1055" spans="5:32" ht="15.75" hidden="1" x14ac:dyDescent="0.25">
      <c r="E1055" s="262"/>
      <c r="F1055" s="193"/>
      <c r="G1055" s="194"/>
      <c r="H1055" s="195"/>
      <c r="I1055" s="206"/>
      <c r="O1055" s="197"/>
      <c r="P1055" s="207"/>
      <c r="Q1055" s="207"/>
      <c r="R1055" s="197"/>
      <c r="S1055" s="197"/>
      <c r="T1055" s="197"/>
      <c r="U1055" s="197"/>
      <c r="V1055" s="197"/>
      <c r="W1055" s="197"/>
      <c r="X1055" s="197"/>
      <c r="Y1055" s="197"/>
      <c r="Z1055" s="197"/>
      <c r="AA1055" s="197"/>
      <c r="AB1055" s="197"/>
      <c r="AC1055" s="197"/>
      <c r="AD1055" s="208"/>
      <c r="AE1055" s="200"/>
      <c r="AF1055" s="200"/>
    </row>
    <row r="1056" spans="5:32" hidden="1" x14ac:dyDescent="0.25"/>
    <row r="1057" spans="12:14" hidden="1" x14ac:dyDescent="0.25"/>
    <row r="1058" spans="12:14" hidden="1" x14ac:dyDescent="0.25"/>
    <row r="1059" spans="12:14" hidden="1" x14ac:dyDescent="0.25">
      <c r="L1059"/>
      <c r="N1059"/>
    </row>
    <row r="1060" spans="12:14" hidden="1" x14ac:dyDescent="0.25"/>
    <row r="1061" spans="12:14" hidden="1" x14ac:dyDescent="0.25"/>
    <row r="1062" spans="12:14" hidden="1" x14ac:dyDescent="0.25"/>
    <row r="1063" spans="12:14" hidden="1" x14ac:dyDescent="0.25"/>
    <row r="1064" spans="12:14" hidden="1" x14ac:dyDescent="0.25"/>
    <row r="1065" spans="12:14" hidden="1" x14ac:dyDescent="0.25"/>
    <row r="1066" spans="12:14" hidden="1" x14ac:dyDescent="0.25"/>
    <row r="1067" spans="12:14" hidden="1" x14ac:dyDescent="0.25"/>
    <row r="1068" spans="12:14" hidden="1" x14ac:dyDescent="0.25"/>
    <row r="1069" spans="12:14" hidden="1" x14ac:dyDescent="0.25"/>
    <row r="1070" spans="12:14" hidden="1" x14ac:dyDescent="0.25"/>
    <row r="1071" spans="12:14" hidden="1" x14ac:dyDescent="0.25"/>
    <row r="1072" spans="12:14"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116" spans="1:4" x14ac:dyDescent="0.25">
      <c r="A1116" s="195"/>
      <c r="B1116" s="195"/>
      <c r="C1116" s="195"/>
      <c r="D1116" s="195"/>
    </row>
    <row r="1144" spans="8:8" x14ac:dyDescent="0.25">
      <c r="H1144" s="213"/>
    </row>
    <row r="1145" spans="8:8" x14ac:dyDescent="0.25">
      <c r="H1145" s="213"/>
    </row>
    <row r="1146" spans="8:8" x14ac:dyDescent="0.25">
      <c r="H1146" s="213"/>
    </row>
    <row r="1147" spans="8:8" x14ac:dyDescent="0.25">
      <c r="H1147" s="213"/>
    </row>
    <row r="1148" spans="8:8" x14ac:dyDescent="0.25">
      <c r="H1148" s="213"/>
    </row>
    <row r="1149" spans="8:8" x14ac:dyDescent="0.25">
      <c r="H1149" s="213"/>
    </row>
    <row r="1150" spans="8:8" x14ac:dyDescent="0.25">
      <c r="H1150" s="213"/>
    </row>
    <row r="1151" spans="8:8" x14ac:dyDescent="0.25">
      <c r="H1151" s="213"/>
    </row>
    <row r="1152" spans="8:8" x14ac:dyDescent="0.25">
      <c r="H1152" s="213"/>
    </row>
    <row r="1153" spans="8:8" x14ac:dyDescent="0.25">
      <c r="H1153" s="213"/>
    </row>
    <row r="1154" spans="8:8" x14ac:dyDescent="0.25">
      <c r="H1154" s="213"/>
    </row>
    <row r="1155" spans="8:8" x14ac:dyDescent="0.25">
      <c r="H1155" s="213"/>
    </row>
    <row r="1156" spans="8:8" x14ac:dyDescent="0.25">
      <c r="H1156" s="213"/>
    </row>
    <row r="1157" spans="8:8" x14ac:dyDescent="0.25">
      <c r="H1157" s="213"/>
    </row>
    <row r="1158" spans="8:8" x14ac:dyDescent="0.25">
      <c r="H1158" s="213"/>
    </row>
    <row r="1159" spans="8:8" x14ac:dyDescent="0.25">
      <c r="H1159" s="213"/>
    </row>
    <row r="1160" spans="8:8" x14ac:dyDescent="0.25">
      <c r="H1160" s="213"/>
    </row>
    <row r="1161" spans="8:8" x14ac:dyDescent="0.25">
      <c r="H1161" s="213"/>
    </row>
    <row r="1162" spans="8:8" x14ac:dyDescent="0.25">
      <c r="H1162" s="213"/>
    </row>
    <row r="1163" spans="8:8" x14ac:dyDescent="0.25">
      <c r="H1163" s="213"/>
    </row>
    <row r="1164" spans="8:8" x14ac:dyDescent="0.25">
      <c r="H1164" s="213"/>
    </row>
    <row r="1165" spans="8:8" x14ac:dyDescent="0.25">
      <c r="H1165" s="213"/>
    </row>
    <row r="1166" spans="8:8" x14ac:dyDescent="0.25">
      <c r="H1166" s="213"/>
    </row>
    <row r="1167" spans="8:8" x14ac:dyDescent="0.25">
      <c r="H1167" s="213"/>
    </row>
    <row r="1168" spans="8:8" x14ac:dyDescent="0.25">
      <c r="H1168" s="213"/>
    </row>
    <row r="1169" spans="8:8" x14ac:dyDescent="0.25">
      <c r="H1169" s="213"/>
    </row>
    <row r="1170" spans="8:8" x14ac:dyDescent="0.25">
      <c r="H1170" s="213"/>
    </row>
    <row r="1171" spans="8:8" x14ac:dyDescent="0.25">
      <c r="H1171" s="213"/>
    </row>
    <row r="1172" spans="8:8" x14ac:dyDescent="0.25">
      <c r="H1172" s="213"/>
    </row>
    <row r="1173" spans="8:8" x14ac:dyDescent="0.25">
      <c r="H1173" s="216"/>
    </row>
    <row r="1174" spans="8:8" x14ac:dyDescent="0.25">
      <c r="H1174" s="213"/>
    </row>
    <row r="1175" spans="8:8" x14ac:dyDescent="0.25">
      <c r="H1175" s="213"/>
    </row>
    <row r="1176" spans="8:8" x14ac:dyDescent="0.25">
      <c r="H1176" s="213"/>
    </row>
    <row r="1177" spans="8:8" x14ac:dyDescent="0.25">
      <c r="H1177" s="213"/>
    </row>
    <row r="1178" spans="8:8" x14ac:dyDescent="0.25">
      <c r="H1178" s="213"/>
    </row>
    <row r="1179" spans="8:8" x14ac:dyDescent="0.25">
      <c r="H1179" s="213"/>
    </row>
    <row r="1180" spans="8:8" x14ac:dyDescent="0.25">
      <c r="H1180" s="213"/>
    </row>
    <row r="1181" spans="8:8" x14ac:dyDescent="0.25">
      <c r="H1181" s="213"/>
    </row>
    <row r="1182" spans="8:8" x14ac:dyDescent="0.25">
      <c r="H1182" s="213"/>
    </row>
    <row r="1183" spans="8:8" x14ac:dyDescent="0.25">
      <c r="H1183" s="213"/>
    </row>
    <row r="1184" spans="8:8" x14ac:dyDescent="0.25">
      <c r="H1184" s="213"/>
    </row>
    <row r="1185" spans="8:8" x14ac:dyDescent="0.25">
      <c r="H1185" s="213"/>
    </row>
    <row r="1186" spans="8:8" x14ac:dyDescent="0.25">
      <c r="H1186" s="213"/>
    </row>
    <row r="1187" spans="8:8" x14ac:dyDescent="0.25">
      <c r="H1187" s="213"/>
    </row>
    <row r="1188" spans="8:8" x14ac:dyDescent="0.25">
      <c r="H1188" s="213"/>
    </row>
    <row r="1189" spans="8:8" x14ac:dyDescent="0.25">
      <c r="H1189" s="213"/>
    </row>
    <row r="1190" spans="8:8" x14ac:dyDescent="0.25">
      <c r="H1190" s="213"/>
    </row>
    <row r="1191" spans="8:8" x14ac:dyDescent="0.25">
      <c r="H1191" s="213"/>
    </row>
    <row r="1192" spans="8:8" x14ac:dyDescent="0.25">
      <c r="H1192" s="213"/>
    </row>
    <row r="1193" spans="8:8" x14ac:dyDescent="0.25">
      <c r="H1193" s="213"/>
    </row>
    <row r="1194" spans="8:8" x14ac:dyDescent="0.25">
      <c r="H1194" s="213"/>
    </row>
    <row r="1195" spans="8:8" x14ac:dyDescent="0.25">
      <c r="H1195" s="213"/>
    </row>
    <row r="1196" spans="8:8" x14ac:dyDescent="0.25">
      <c r="H1196" s="213"/>
    </row>
    <row r="1197" spans="8:8" x14ac:dyDescent="0.25">
      <c r="H1197" s="213"/>
    </row>
    <row r="1198" spans="8:8" x14ac:dyDescent="0.25">
      <c r="H1198" s="213"/>
    </row>
    <row r="1199" spans="8:8" x14ac:dyDescent="0.25">
      <c r="H1199" s="213"/>
    </row>
    <row r="1200" spans="8:8" x14ac:dyDescent="0.25">
      <c r="H1200" s="213"/>
    </row>
    <row r="1201" spans="8:8" x14ac:dyDescent="0.25">
      <c r="H1201" s="213"/>
    </row>
    <row r="1202" spans="8:8" x14ac:dyDescent="0.25">
      <c r="H1202" s="213"/>
    </row>
    <row r="1203" spans="8:8" x14ac:dyDescent="0.25">
      <c r="H1203" s="213"/>
    </row>
    <row r="1204" spans="8:8" x14ac:dyDescent="0.25">
      <c r="H1204" s="213"/>
    </row>
    <row r="1205" spans="8:8" x14ac:dyDescent="0.25">
      <c r="H1205" s="217"/>
    </row>
    <row r="1206" spans="8:8" x14ac:dyDescent="0.25">
      <c r="H1206" s="217"/>
    </row>
    <row r="1207" spans="8:8" x14ac:dyDescent="0.25">
      <c r="H1207" s="217"/>
    </row>
    <row r="1208" spans="8:8" x14ac:dyDescent="0.25">
      <c r="H1208" s="217"/>
    </row>
    <row r="1209" spans="8:8" x14ac:dyDescent="0.25">
      <c r="H1209" s="217"/>
    </row>
    <row r="1210" spans="8:8" x14ac:dyDescent="0.25">
      <c r="H1210" s="217"/>
    </row>
    <row r="1211" spans="8:8" x14ac:dyDescent="0.25">
      <c r="H1211" s="217"/>
    </row>
    <row r="1212" spans="8:8" x14ac:dyDescent="0.25">
      <c r="H1212" s="217"/>
    </row>
    <row r="1213" spans="8:8" x14ac:dyDescent="0.25">
      <c r="H1213" s="217"/>
    </row>
    <row r="1214" spans="8:8" x14ac:dyDescent="0.25">
      <c r="H1214" s="217"/>
    </row>
    <row r="1215" spans="8:8" x14ac:dyDescent="0.25">
      <c r="H1215" s="217"/>
    </row>
    <row r="1216" spans="8:8" x14ac:dyDescent="0.25">
      <c r="H1216" s="217"/>
    </row>
    <row r="1217" spans="8:8" x14ac:dyDescent="0.25">
      <c r="H1217" s="217"/>
    </row>
    <row r="1218" spans="8:8" x14ac:dyDescent="0.25">
      <c r="H1218" s="217"/>
    </row>
    <row r="1219" spans="8:8" x14ac:dyDescent="0.25">
      <c r="H1219" s="217"/>
    </row>
    <row r="1220" spans="8:8" x14ac:dyDescent="0.25">
      <c r="H1220" s="217"/>
    </row>
    <row r="1221" spans="8:8" x14ac:dyDescent="0.25">
      <c r="H1221" s="217"/>
    </row>
    <row r="1222" spans="8:8" x14ac:dyDescent="0.25">
      <c r="H1222" s="217"/>
    </row>
    <row r="1223" spans="8:8" x14ac:dyDescent="0.25">
      <c r="H1223" s="217"/>
    </row>
    <row r="1224" spans="8:8" x14ac:dyDescent="0.25">
      <c r="H1224" s="217"/>
    </row>
    <row r="1225" spans="8:8" x14ac:dyDescent="0.25">
      <c r="H1225" s="217"/>
    </row>
    <row r="1226" spans="8:8" x14ac:dyDescent="0.25">
      <c r="H1226" s="217"/>
    </row>
    <row r="1227" spans="8:8" x14ac:dyDescent="0.25">
      <c r="H1227" s="217"/>
    </row>
    <row r="1228" spans="8:8" x14ac:dyDescent="0.25">
      <c r="H1228" s="217"/>
    </row>
    <row r="1229" spans="8:8" x14ac:dyDescent="0.25">
      <c r="H1229" s="217"/>
    </row>
    <row r="1230" spans="8:8" x14ac:dyDescent="0.25">
      <c r="H1230" s="217"/>
    </row>
    <row r="1231" spans="8:8" x14ac:dyDescent="0.25">
      <c r="H1231" s="217"/>
    </row>
    <row r="1232" spans="8:8" x14ac:dyDescent="0.25">
      <c r="H1232" s="217"/>
    </row>
    <row r="1233" spans="8:8" x14ac:dyDescent="0.25">
      <c r="H1233" s="217"/>
    </row>
    <row r="1234" spans="8:8" x14ac:dyDescent="0.25">
      <c r="H1234" s="217"/>
    </row>
    <row r="1235" spans="8:8" x14ac:dyDescent="0.25">
      <c r="H1235" s="217"/>
    </row>
    <row r="1236" spans="8:8" x14ac:dyDescent="0.25">
      <c r="H1236" s="217"/>
    </row>
    <row r="1237" spans="8:8" x14ac:dyDescent="0.25">
      <c r="H1237" s="217"/>
    </row>
    <row r="1238" spans="8:8" x14ac:dyDescent="0.25">
      <c r="H1238" s="217"/>
    </row>
    <row r="1239" spans="8:8" x14ac:dyDescent="0.25">
      <c r="H1239" s="217"/>
    </row>
    <row r="1240" spans="8:8" x14ac:dyDescent="0.25">
      <c r="H1240" s="217"/>
    </row>
    <row r="1241" spans="8:8" x14ac:dyDescent="0.25">
      <c r="H1241" s="217"/>
    </row>
    <row r="1242" spans="8:8" x14ac:dyDescent="0.25">
      <c r="H1242" s="217"/>
    </row>
    <row r="1243" spans="8:8" x14ac:dyDescent="0.25">
      <c r="H1243" s="217"/>
    </row>
    <row r="1244" spans="8:8" x14ac:dyDescent="0.25">
      <c r="H1244" s="217"/>
    </row>
    <row r="1245" spans="8:8" x14ac:dyDescent="0.25">
      <c r="H1245" s="217"/>
    </row>
    <row r="1246" spans="8:8" x14ac:dyDescent="0.25">
      <c r="H1246" s="217"/>
    </row>
    <row r="1247" spans="8:8" x14ac:dyDescent="0.25">
      <c r="H1247" s="217"/>
    </row>
    <row r="1248" spans="8:8" x14ac:dyDescent="0.25">
      <c r="H1248" s="217"/>
    </row>
    <row r="1249" spans="8:8" x14ac:dyDescent="0.25">
      <c r="H1249" s="217"/>
    </row>
    <row r="1250" spans="8:8" x14ac:dyDescent="0.25">
      <c r="H1250" s="217"/>
    </row>
    <row r="1251" spans="8:8" x14ac:dyDescent="0.25">
      <c r="H1251" s="217"/>
    </row>
    <row r="1252" spans="8:8" x14ac:dyDescent="0.25">
      <c r="H1252" s="217"/>
    </row>
    <row r="1253" spans="8:8" x14ac:dyDescent="0.25">
      <c r="H1253" s="217"/>
    </row>
    <row r="1254" spans="8:8" x14ac:dyDescent="0.25">
      <c r="H1254" s="217"/>
    </row>
    <row r="1255" spans="8:8" x14ac:dyDescent="0.25">
      <c r="H1255" s="217"/>
    </row>
    <row r="1256" spans="8:8" x14ac:dyDescent="0.25">
      <c r="H1256" s="217"/>
    </row>
    <row r="1257" spans="8:8" x14ac:dyDescent="0.25">
      <c r="H1257" s="217"/>
    </row>
    <row r="1258" spans="8:8" x14ac:dyDescent="0.25">
      <c r="H1258" s="217"/>
    </row>
    <row r="1259" spans="8:8" x14ac:dyDescent="0.25">
      <c r="H1259" s="217"/>
    </row>
    <row r="1260" spans="8:8" x14ac:dyDescent="0.25">
      <c r="H1260" s="217"/>
    </row>
    <row r="1261" spans="8:8" x14ac:dyDescent="0.25">
      <c r="H1261" s="217"/>
    </row>
    <row r="1262" spans="8:8" x14ac:dyDescent="0.25">
      <c r="H1262" s="217"/>
    </row>
    <row r="1263" spans="8:8" x14ac:dyDescent="0.25">
      <c r="H1263" s="217"/>
    </row>
    <row r="1264" spans="8:8" x14ac:dyDescent="0.25">
      <c r="H1264" s="217"/>
    </row>
    <row r="1265" spans="8:8" x14ac:dyDescent="0.25">
      <c r="H1265" s="217"/>
    </row>
    <row r="1266" spans="8:8" x14ac:dyDescent="0.25">
      <c r="H1266" s="217"/>
    </row>
    <row r="1267" spans="8:8" x14ac:dyDescent="0.25">
      <c r="H1267" s="217"/>
    </row>
    <row r="1268" spans="8:8" x14ac:dyDescent="0.25">
      <c r="H1268" s="217"/>
    </row>
    <row r="1269" spans="8:8" x14ac:dyDescent="0.25">
      <c r="H1269" s="217"/>
    </row>
    <row r="1270" spans="8:8" x14ac:dyDescent="0.25">
      <c r="H1270" s="217"/>
    </row>
    <row r="1271" spans="8:8" x14ac:dyDescent="0.25">
      <c r="H1271" s="217"/>
    </row>
    <row r="1272" spans="8:8" x14ac:dyDescent="0.25">
      <c r="H1272" s="217"/>
    </row>
    <row r="1273" spans="8:8" x14ac:dyDescent="0.25">
      <c r="H1273" s="217"/>
    </row>
    <row r="1274" spans="8:8" x14ac:dyDescent="0.25">
      <c r="H1274" s="217"/>
    </row>
    <row r="1275" spans="8:8" x14ac:dyDescent="0.25">
      <c r="H1275" s="217"/>
    </row>
    <row r="1276" spans="8:8" x14ac:dyDescent="0.25">
      <c r="H1276" s="217"/>
    </row>
    <row r="1277" spans="8:8" x14ac:dyDescent="0.25">
      <c r="H1277" s="217"/>
    </row>
    <row r="1278" spans="8:8" x14ac:dyDescent="0.25">
      <c r="H1278" s="217"/>
    </row>
    <row r="1279" spans="8:8" x14ac:dyDescent="0.25">
      <c r="H1279" s="217"/>
    </row>
    <row r="1280" spans="8:8" x14ac:dyDescent="0.25">
      <c r="H1280" s="217"/>
    </row>
    <row r="1281" spans="8:8" x14ac:dyDescent="0.25">
      <c r="H1281" s="217"/>
    </row>
    <row r="1282" spans="8:8" x14ac:dyDescent="0.25">
      <c r="H1282" s="217"/>
    </row>
    <row r="1283" spans="8:8" x14ac:dyDescent="0.25">
      <c r="H1283" s="217"/>
    </row>
    <row r="1284" spans="8:8" x14ac:dyDescent="0.25">
      <c r="H1284" s="217"/>
    </row>
    <row r="1285" spans="8:8" x14ac:dyDescent="0.25">
      <c r="H1285" s="217"/>
    </row>
    <row r="1286" spans="8:8" x14ac:dyDescent="0.25">
      <c r="H1286" s="217"/>
    </row>
    <row r="1287" spans="8:8" x14ac:dyDescent="0.25">
      <c r="H1287" s="217"/>
    </row>
    <row r="1288" spans="8:8" x14ac:dyDescent="0.25">
      <c r="H1288" s="217"/>
    </row>
    <row r="1289" spans="8:8" x14ac:dyDescent="0.25">
      <c r="H1289" s="217"/>
    </row>
    <row r="1290" spans="8:8" x14ac:dyDescent="0.25">
      <c r="H1290" s="217"/>
    </row>
    <row r="1291" spans="8:8" x14ac:dyDescent="0.25">
      <c r="H1291" s="217"/>
    </row>
    <row r="1292" spans="8:8" x14ac:dyDescent="0.25">
      <c r="H1292" s="217"/>
    </row>
    <row r="1293" spans="8:8" x14ac:dyDescent="0.25">
      <c r="H1293" s="217"/>
    </row>
    <row r="1294" spans="8:8" x14ac:dyDescent="0.25">
      <c r="H1294" s="217"/>
    </row>
    <row r="1295" spans="8:8" x14ac:dyDescent="0.25">
      <c r="H1295" s="217"/>
    </row>
    <row r="1296" spans="8:8" x14ac:dyDescent="0.25">
      <c r="H1296" s="217"/>
    </row>
    <row r="1297" spans="8:8" x14ac:dyDescent="0.25">
      <c r="H1297" s="217"/>
    </row>
    <row r="1298" spans="8:8" x14ac:dyDescent="0.25">
      <c r="H1298" s="217"/>
    </row>
    <row r="1299" spans="8:8" x14ac:dyDescent="0.25">
      <c r="H1299" s="217"/>
    </row>
    <row r="1300" spans="8:8" x14ac:dyDescent="0.25">
      <c r="H1300" s="217"/>
    </row>
    <row r="1301" spans="8:8" x14ac:dyDescent="0.25">
      <c r="H1301" s="217"/>
    </row>
    <row r="1302" spans="8:8" x14ac:dyDescent="0.25">
      <c r="H1302" s="217"/>
    </row>
    <row r="1303" spans="8:8" x14ac:dyDescent="0.25">
      <c r="H1303" s="217"/>
    </row>
    <row r="1304" spans="8:8" x14ac:dyDescent="0.25">
      <c r="H1304" s="217"/>
    </row>
    <row r="1305" spans="8:8" x14ac:dyDescent="0.25">
      <c r="H1305" s="217"/>
    </row>
    <row r="1306" spans="8:8" x14ac:dyDescent="0.25">
      <c r="H1306" s="217"/>
    </row>
    <row r="1307" spans="8:8" x14ac:dyDescent="0.25">
      <c r="H1307" s="217"/>
    </row>
    <row r="1308" spans="8:8" x14ac:dyDescent="0.25">
      <c r="H1308" s="217"/>
    </row>
    <row r="1309" spans="8:8" x14ac:dyDescent="0.25">
      <c r="H1309" s="217"/>
    </row>
    <row r="1310" spans="8:8" x14ac:dyDescent="0.25">
      <c r="H1310" s="217"/>
    </row>
    <row r="1311" spans="8:8" x14ac:dyDescent="0.25">
      <c r="H1311" s="217"/>
    </row>
    <row r="1312" spans="8:8" x14ac:dyDescent="0.25">
      <c r="H1312" s="217"/>
    </row>
    <row r="1313" spans="8:8" x14ac:dyDescent="0.25">
      <c r="H1313" s="217"/>
    </row>
    <row r="1314" spans="8:8" x14ac:dyDescent="0.25">
      <c r="H1314" s="217"/>
    </row>
    <row r="1315" spans="8:8" x14ac:dyDescent="0.25">
      <c r="H1315" s="217"/>
    </row>
    <row r="1316" spans="8:8" x14ac:dyDescent="0.25">
      <c r="H1316" s="217"/>
    </row>
    <row r="1317" spans="8:8" x14ac:dyDescent="0.25">
      <c r="H1317" s="217"/>
    </row>
    <row r="1318" spans="8:8" x14ac:dyDescent="0.25">
      <c r="H1318" s="217"/>
    </row>
    <row r="1319" spans="8:8" x14ac:dyDescent="0.25">
      <c r="H1319" s="217"/>
    </row>
    <row r="1320" spans="8:8" x14ac:dyDescent="0.25">
      <c r="H1320" s="217"/>
    </row>
    <row r="1321" spans="8:8" x14ac:dyDescent="0.25">
      <c r="H1321" s="217"/>
    </row>
    <row r="1322" spans="8:8" x14ac:dyDescent="0.25">
      <c r="H1322" s="217"/>
    </row>
    <row r="1323" spans="8:8" x14ac:dyDescent="0.25">
      <c r="H1323" s="217"/>
    </row>
    <row r="1324" spans="8:8" x14ac:dyDescent="0.25">
      <c r="H1324" s="217"/>
    </row>
    <row r="1325" spans="8:8" x14ac:dyDescent="0.25">
      <c r="H1325" s="217"/>
    </row>
    <row r="1326" spans="8:8" x14ac:dyDescent="0.25">
      <c r="H1326" s="217"/>
    </row>
    <row r="1327" spans="8:8" x14ac:dyDescent="0.25">
      <c r="H1327" s="217"/>
    </row>
    <row r="1328" spans="8:8" x14ac:dyDescent="0.25">
      <c r="H1328" s="217"/>
    </row>
    <row r="1329" spans="8:8" x14ac:dyDescent="0.25">
      <c r="H1329" s="217"/>
    </row>
    <row r="1330" spans="8:8" x14ac:dyDescent="0.25">
      <c r="H1330" s="217"/>
    </row>
    <row r="1331" spans="8:8" x14ac:dyDescent="0.25">
      <c r="H1331" s="217"/>
    </row>
    <row r="1332" spans="8:8" x14ac:dyDescent="0.25">
      <c r="H1332" s="217"/>
    </row>
    <row r="1333" spans="8:8" x14ac:dyDescent="0.25">
      <c r="H1333" s="217"/>
    </row>
    <row r="1334" spans="8:8" x14ac:dyDescent="0.25">
      <c r="H1334" s="217"/>
    </row>
    <row r="1335" spans="8:8" x14ac:dyDescent="0.25">
      <c r="H1335" s="217"/>
    </row>
    <row r="1336" spans="8:8" x14ac:dyDescent="0.25">
      <c r="H1336" s="217"/>
    </row>
    <row r="1337" spans="8:8" x14ac:dyDescent="0.25">
      <c r="H1337" s="217"/>
    </row>
    <row r="1338" spans="8:8" x14ac:dyDescent="0.25">
      <c r="H1338" s="217"/>
    </row>
    <row r="1339" spans="8:8" x14ac:dyDescent="0.25">
      <c r="H1339" s="217"/>
    </row>
    <row r="1340" spans="8:8" x14ac:dyDescent="0.25">
      <c r="H1340" s="217"/>
    </row>
    <row r="1341" spans="8:8" x14ac:dyDescent="0.25">
      <c r="H1341" s="217"/>
    </row>
    <row r="1342" spans="8:8" x14ac:dyDescent="0.25">
      <c r="H1342" s="217"/>
    </row>
    <row r="1343" spans="8:8" x14ac:dyDescent="0.25">
      <c r="H1343" s="217"/>
    </row>
    <row r="1344" spans="8:8" x14ac:dyDescent="0.25">
      <c r="H1344" s="217"/>
    </row>
    <row r="1345" spans="8:8" x14ac:dyDescent="0.25">
      <c r="H1345" s="217"/>
    </row>
    <row r="1346" spans="8:8" x14ac:dyDescent="0.25">
      <c r="H1346" s="217"/>
    </row>
    <row r="1347" spans="8:8" x14ac:dyDescent="0.25">
      <c r="H1347" s="217"/>
    </row>
    <row r="1348" spans="8:8" x14ac:dyDescent="0.25">
      <c r="H1348" s="217"/>
    </row>
    <row r="1349" spans="8:8" x14ac:dyDescent="0.25">
      <c r="H1349" s="217"/>
    </row>
    <row r="1350" spans="8:8" x14ac:dyDescent="0.25">
      <c r="H1350" s="217"/>
    </row>
    <row r="1351" spans="8:8" x14ac:dyDescent="0.25">
      <c r="H1351" s="217"/>
    </row>
    <row r="1352" spans="8:8" x14ac:dyDescent="0.25">
      <c r="H1352" s="217"/>
    </row>
    <row r="1353" spans="8:8" x14ac:dyDescent="0.25">
      <c r="H1353" s="217"/>
    </row>
    <row r="1354" spans="8:8" x14ac:dyDescent="0.25">
      <c r="H1354" s="217"/>
    </row>
    <row r="1355" spans="8:8" x14ac:dyDescent="0.25">
      <c r="H1355" s="217"/>
    </row>
    <row r="1356" spans="8:8" x14ac:dyDescent="0.25">
      <c r="H1356" s="217"/>
    </row>
    <row r="1357" spans="8:8" x14ac:dyDescent="0.25">
      <c r="H1357" s="217"/>
    </row>
    <row r="1358" spans="8:8" x14ac:dyDescent="0.25">
      <c r="H1358" s="217"/>
    </row>
    <row r="1359" spans="8:8" x14ac:dyDescent="0.25">
      <c r="H1359" s="217"/>
    </row>
    <row r="1360" spans="8:8" x14ac:dyDescent="0.25">
      <c r="H1360" s="217"/>
    </row>
    <row r="1361" spans="8:8" x14ac:dyDescent="0.25">
      <c r="H1361" s="217"/>
    </row>
    <row r="1362" spans="8:8" x14ac:dyDescent="0.25">
      <c r="H1362" s="217"/>
    </row>
    <row r="1363" spans="8:8" x14ac:dyDescent="0.25">
      <c r="H1363" s="217"/>
    </row>
    <row r="1364" spans="8:8" x14ac:dyDescent="0.25">
      <c r="H1364" s="217"/>
    </row>
    <row r="1365" spans="8:8" x14ac:dyDescent="0.25">
      <c r="H1365" s="217"/>
    </row>
    <row r="1366" spans="8:8" x14ac:dyDescent="0.25">
      <c r="H1366" s="217"/>
    </row>
    <row r="1367" spans="8:8" x14ac:dyDescent="0.25">
      <c r="H1367" s="217"/>
    </row>
    <row r="1368" spans="8:8" x14ac:dyDescent="0.25">
      <c r="H1368" s="217"/>
    </row>
    <row r="1369" spans="8:8" x14ac:dyDescent="0.25">
      <c r="H1369" s="217"/>
    </row>
    <row r="1370" spans="8:8" x14ac:dyDescent="0.25">
      <c r="H1370" s="217"/>
    </row>
    <row r="1371" spans="8:8" x14ac:dyDescent="0.25">
      <c r="H1371" s="217"/>
    </row>
    <row r="1372" spans="8:8" x14ac:dyDescent="0.25">
      <c r="H1372" s="217"/>
    </row>
    <row r="1373" spans="8:8" x14ac:dyDescent="0.25">
      <c r="H1373" s="217"/>
    </row>
    <row r="1374" spans="8:8" x14ac:dyDescent="0.25">
      <c r="H1374" s="217"/>
    </row>
    <row r="1375" spans="8:8" x14ac:dyDescent="0.25">
      <c r="H1375" s="217"/>
    </row>
    <row r="1376" spans="8:8" x14ac:dyDescent="0.25">
      <c r="H1376" s="217"/>
    </row>
    <row r="1377" spans="8:8" x14ac:dyDescent="0.25">
      <c r="H1377" s="217"/>
    </row>
    <row r="1378" spans="8:8" x14ac:dyDescent="0.25">
      <c r="H1378" s="217"/>
    </row>
    <row r="1379" spans="8:8" x14ac:dyDescent="0.25">
      <c r="H1379" s="217"/>
    </row>
    <row r="1380" spans="8:8" x14ac:dyDescent="0.25">
      <c r="H1380" s="217"/>
    </row>
    <row r="1381" spans="8:8" x14ac:dyDescent="0.25">
      <c r="H1381" s="217"/>
    </row>
    <row r="1382" spans="8:8" x14ac:dyDescent="0.25">
      <c r="H1382" s="217"/>
    </row>
    <row r="1383" spans="8:8" x14ac:dyDescent="0.25">
      <c r="H1383" s="217"/>
    </row>
    <row r="1384" spans="8:8" x14ac:dyDescent="0.25">
      <c r="H1384" s="217"/>
    </row>
    <row r="1385" spans="8:8" x14ac:dyDescent="0.25">
      <c r="H1385" s="217"/>
    </row>
    <row r="1386" spans="8:8" x14ac:dyDescent="0.25">
      <c r="H1386" s="217"/>
    </row>
    <row r="1387" spans="8:8" x14ac:dyDescent="0.25">
      <c r="H1387" s="217"/>
    </row>
    <row r="1388" spans="8:8" x14ac:dyDescent="0.25">
      <c r="H1388" s="217"/>
    </row>
    <row r="1389" spans="8:8" x14ac:dyDescent="0.25">
      <c r="H1389" s="217"/>
    </row>
    <row r="1390" spans="8:8" x14ac:dyDescent="0.25">
      <c r="H1390" s="217"/>
    </row>
    <row r="1391" spans="8:8" x14ac:dyDescent="0.25">
      <c r="H1391" s="217"/>
    </row>
    <row r="1392" spans="8:8" x14ac:dyDescent="0.25">
      <c r="H1392" s="217"/>
    </row>
    <row r="1393" spans="8:8" x14ac:dyDescent="0.25">
      <c r="H1393" s="217"/>
    </row>
    <row r="1394" spans="8:8" x14ac:dyDescent="0.25">
      <c r="H1394" s="217"/>
    </row>
    <row r="1395" spans="8:8" x14ac:dyDescent="0.25">
      <c r="H1395" s="217"/>
    </row>
    <row r="1396" spans="8:8" x14ac:dyDescent="0.25">
      <c r="H1396" s="217"/>
    </row>
    <row r="1397" spans="8:8" x14ac:dyDescent="0.25">
      <c r="H1397" s="217"/>
    </row>
    <row r="1398" spans="8:8" x14ac:dyDescent="0.25">
      <c r="H1398" s="217"/>
    </row>
    <row r="1399" spans="8:8" x14ac:dyDescent="0.25">
      <c r="H1399" s="217"/>
    </row>
    <row r="1400" spans="8:8" x14ac:dyDescent="0.25">
      <c r="H1400" s="217"/>
    </row>
    <row r="1401" spans="8:8" x14ac:dyDescent="0.25">
      <c r="H1401" s="217"/>
    </row>
    <row r="1402" spans="8:8" x14ac:dyDescent="0.25">
      <c r="H1402" s="217"/>
    </row>
    <row r="1403" spans="8:8" x14ac:dyDescent="0.25">
      <c r="H1403" s="217"/>
    </row>
    <row r="1404" spans="8:8" x14ac:dyDescent="0.25">
      <c r="H1404" s="217"/>
    </row>
    <row r="1405" spans="8:8" x14ac:dyDescent="0.25">
      <c r="H1405" s="217"/>
    </row>
    <row r="1406" spans="8:8" x14ac:dyDescent="0.25">
      <c r="H1406" s="217"/>
    </row>
    <row r="1407" spans="8:8" x14ac:dyDescent="0.25">
      <c r="H1407" s="217"/>
    </row>
    <row r="1408" spans="8:8" x14ac:dyDescent="0.25">
      <c r="H1408" s="217"/>
    </row>
    <row r="1409" spans="8:8" x14ac:dyDescent="0.25">
      <c r="H1409" s="217"/>
    </row>
    <row r="1410" spans="8:8" x14ac:dyDescent="0.25">
      <c r="H1410" s="217"/>
    </row>
    <row r="1411" spans="8:8" x14ac:dyDescent="0.25">
      <c r="H1411" s="217"/>
    </row>
    <row r="1412" spans="8:8" x14ac:dyDescent="0.25">
      <c r="H1412" s="217"/>
    </row>
    <row r="1413" spans="8:8" x14ac:dyDescent="0.25">
      <c r="H1413" s="217"/>
    </row>
    <row r="1414" spans="8:8" x14ac:dyDescent="0.25">
      <c r="H1414" s="217"/>
    </row>
    <row r="1415" spans="8:8" x14ac:dyDescent="0.25">
      <c r="H1415" s="217"/>
    </row>
    <row r="1416" spans="8:8" x14ac:dyDescent="0.25">
      <c r="H1416" s="217"/>
    </row>
    <row r="1417" spans="8:8" x14ac:dyDescent="0.25">
      <c r="H1417" s="217"/>
    </row>
    <row r="1418" spans="8:8" x14ac:dyDescent="0.25">
      <c r="H1418" s="217"/>
    </row>
    <row r="1419" spans="8:8" x14ac:dyDescent="0.25">
      <c r="H1419" s="217"/>
    </row>
    <row r="1420" spans="8:8" x14ac:dyDescent="0.25">
      <c r="H1420" s="217"/>
    </row>
    <row r="1421" spans="8:8" x14ac:dyDescent="0.25">
      <c r="H1421" s="217"/>
    </row>
    <row r="1422" spans="8:8" x14ac:dyDescent="0.25">
      <c r="H1422" s="217"/>
    </row>
    <row r="1423" spans="8:8" x14ac:dyDescent="0.25">
      <c r="H1423" s="217"/>
    </row>
    <row r="1424" spans="8:8" x14ac:dyDescent="0.25">
      <c r="H1424" s="217"/>
    </row>
    <row r="1425" spans="8:8" x14ac:dyDescent="0.25">
      <c r="H1425" s="217"/>
    </row>
    <row r="1426" spans="8:8" x14ac:dyDescent="0.25">
      <c r="H1426" s="217"/>
    </row>
    <row r="1427" spans="8:8" x14ac:dyDescent="0.25">
      <c r="H1427" s="217"/>
    </row>
    <row r="1428" spans="8:8" x14ac:dyDescent="0.25">
      <c r="H1428" s="217"/>
    </row>
    <row r="1429" spans="8:8" x14ac:dyDescent="0.25">
      <c r="H1429" s="217"/>
    </row>
    <row r="1430" spans="8:8" x14ac:dyDescent="0.25">
      <c r="H1430" s="217"/>
    </row>
    <row r="1431" spans="8:8" x14ac:dyDescent="0.25">
      <c r="H1431" s="217"/>
    </row>
    <row r="1432" spans="8:8" x14ac:dyDescent="0.25">
      <c r="H1432" s="217"/>
    </row>
    <row r="1433" spans="8:8" x14ac:dyDescent="0.25">
      <c r="H1433" s="217"/>
    </row>
    <row r="1434" spans="8:8" x14ac:dyDescent="0.25">
      <c r="H1434" s="217"/>
    </row>
    <row r="1435" spans="8:8" x14ac:dyDescent="0.25">
      <c r="H1435" s="217"/>
    </row>
    <row r="1436" spans="8:8" x14ac:dyDescent="0.25">
      <c r="H1436" s="217"/>
    </row>
    <row r="1437" spans="8:8" x14ac:dyDescent="0.25">
      <c r="H1437" s="217"/>
    </row>
    <row r="1438" spans="8:8" x14ac:dyDescent="0.25">
      <c r="H1438" s="217"/>
    </row>
    <row r="1439" spans="8:8" x14ac:dyDescent="0.25">
      <c r="H1439" s="217"/>
    </row>
    <row r="1440" spans="8:8" x14ac:dyDescent="0.25">
      <c r="H1440" s="217"/>
    </row>
    <row r="1441" spans="8:8" x14ac:dyDescent="0.25">
      <c r="H1441" s="217"/>
    </row>
    <row r="1442" spans="8:8" x14ac:dyDescent="0.25">
      <c r="H1442" s="217"/>
    </row>
    <row r="1443" spans="8:8" x14ac:dyDescent="0.25">
      <c r="H1443" s="217"/>
    </row>
    <row r="1444" spans="8:8" x14ac:dyDescent="0.25">
      <c r="H1444" s="217"/>
    </row>
    <row r="1445" spans="8:8" x14ac:dyDescent="0.25">
      <c r="H1445" s="217"/>
    </row>
    <row r="1446" spans="8:8" x14ac:dyDescent="0.25">
      <c r="H1446" s="217"/>
    </row>
    <row r="1447" spans="8:8" x14ac:dyDescent="0.25">
      <c r="H1447" s="217"/>
    </row>
    <row r="1448" spans="8:8" x14ac:dyDescent="0.25">
      <c r="H1448" s="217"/>
    </row>
    <row r="1449" spans="8:8" x14ac:dyDescent="0.25">
      <c r="H1449" s="217"/>
    </row>
    <row r="1450" spans="8:8" x14ac:dyDescent="0.25">
      <c r="H1450" s="217"/>
    </row>
    <row r="1451" spans="8:8" x14ac:dyDescent="0.25">
      <c r="H1451" s="217"/>
    </row>
    <row r="1452" spans="8:8" x14ac:dyDescent="0.25">
      <c r="H1452" s="217"/>
    </row>
    <row r="1453" spans="8:8" x14ac:dyDescent="0.25">
      <c r="H1453" s="217"/>
    </row>
    <row r="1454" spans="8:8" x14ac:dyDescent="0.25">
      <c r="H1454" s="217"/>
    </row>
    <row r="1455" spans="8:8" x14ac:dyDescent="0.25">
      <c r="H1455" s="217"/>
    </row>
    <row r="1456" spans="8:8" x14ac:dyDescent="0.25">
      <c r="H1456" s="217"/>
    </row>
    <row r="1457" spans="8:8" x14ac:dyDescent="0.25">
      <c r="H1457" s="217"/>
    </row>
    <row r="1458" spans="8:8" x14ac:dyDescent="0.25">
      <c r="H1458" s="217"/>
    </row>
    <row r="1459" spans="8:8" x14ac:dyDescent="0.25">
      <c r="H1459" s="217"/>
    </row>
    <row r="1460" spans="8:8" x14ac:dyDescent="0.25">
      <c r="H1460" s="217"/>
    </row>
    <row r="1461" spans="8:8" x14ac:dyDescent="0.25">
      <c r="H1461" s="217"/>
    </row>
    <row r="1462" spans="8:8" x14ac:dyDescent="0.25">
      <c r="H1462" s="217"/>
    </row>
    <row r="1463" spans="8:8" x14ac:dyDescent="0.25">
      <c r="H1463" s="217"/>
    </row>
    <row r="1464" spans="8:8" x14ac:dyDescent="0.25">
      <c r="H1464" s="217"/>
    </row>
    <row r="1465" spans="8:8" x14ac:dyDescent="0.25">
      <c r="H1465" s="217"/>
    </row>
    <row r="1466" spans="8:8" x14ac:dyDescent="0.25">
      <c r="H1466" s="217"/>
    </row>
    <row r="1467" spans="8:8" x14ac:dyDescent="0.25">
      <c r="H1467" s="217"/>
    </row>
    <row r="1468" spans="8:8" x14ac:dyDescent="0.25">
      <c r="H1468" s="217"/>
    </row>
    <row r="1469" spans="8:8" x14ac:dyDescent="0.25">
      <c r="H1469" s="217"/>
    </row>
    <row r="1470" spans="8:8" x14ac:dyDescent="0.25">
      <c r="H1470" s="217"/>
    </row>
    <row r="1471" spans="8:8" x14ac:dyDescent="0.25">
      <c r="H1471" s="217"/>
    </row>
    <row r="1472" spans="8:8" x14ac:dyDescent="0.25">
      <c r="H1472" s="217"/>
    </row>
    <row r="1473" spans="8:8" x14ac:dyDescent="0.25">
      <c r="H1473" s="217"/>
    </row>
    <row r="1474" spans="8:8" x14ac:dyDescent="0.25">
      <c r="H1474" s="217"/>
    </row>
    <row r="1475" spans="8:8" x14ac:dyDescent="0.25">
      <c r="H1475" s="217"/>
    </row>
    <row r="1476" spans="8:8" x14ac:dyDescent="0.25">
      <c r="H1476" s="217"/>
    </row>
    <row r="1477" spans="8:8" x14ac:dyDescent="0.25">
      <c r="H1477" s="217"/>
    </row>
    <row r="1478" spans="8:8" x14ac:dyDescent="0.25">
      <c r="H1478" s="217"/>
    </row>
    <row r="1479" spans="8:8" x14ac:dyDescent="0.25">
      <c r="H1479" s="217"/>
    </row>
    <row r="1480" spans="8:8" x14ac:dyDescent="0.25">
      <c r="H1480" s="217"/>
    </row>
    <row r="1481" spans="8:8" x14ac:dyDescent="0.25">
      <c r="H1481" s="217"/>
    </row>
    <row r="1482" spans="8:8" x14ac:dyDescent="0.25">
      <c r="H1482" s="217"/>
    </row>
    <row r="1483" spans="8:8" x14ac:dyDescent="0.25">
      <c r="H1483" s="217"/>
    </row>
    <row r="1484" spans="8:8" x14ac:dyDescent="0.25">
      <c r="H1484" s="217"/>
    </row>
    <row r="1485" spans="8:8" x14ac:dyDescent="0.25">
      <c r="H1485" s="217"/>
    </row>
    <row r="1486" spans="8:8" x14ac:dyDescent="0.25">
      <c r="H1486" s="217"/>
    </row>
    <row r="1487" spans="8:8" x14ac:dyDescent="0.25">
      <c r="H1487" s="217"/>
    </row>
    <row r="1488" spans="8:8" x14ac:dyDescent="0.25">
      <c r="H1488" s="217"/>
    </row>
    <row r="1489" spans="8:8" x14ac:dyDescent="0.25">
      <c r="H1489" s="217"/>
    </row>
    <row r="1490" spans="8:8" x14ac:dyDescent="0.25">
      <c r="H1490" s="217"/>
    </row>
    <row r="1491" spans="8:8" x14ac:dyDescent="0.25">
      <c r="H1491" s="217"/>
    </row>
    <row r="1492" spans="8:8" x14ac:dyDescent="0.25">
      <c r="H1492" s="217"/>
    </row>
    <row r="1493" spans="8:8" x14ac:dyDescent="0.25">
      <c r="H1493" s="217"/>
    </row>
    <row r="1494" spans="8:8" x14ac:dyDescent="0.25">
      <c r="H1494" s="217"/>
    </row>
    <row r="1495" spans="8:8" x14ac:dyDescent="0.25">
      <c r="H1495" s="217"/>
    </row>
    <row r="1496" spans="8:8" x14ac:dyDescent="0.25">
      <c r="H1496" s="217"/>
    </row>
    <row r="1497" spans="8:8" x14ac:dyDescent="0.25">
      <c r="H1497" s="217"/>
    </row>
    <row r="1498" spans="8:8" x14ac:dyDescent="0.25">
      <c r="H1498" s="217"/>
    </row>
    <row r="1499" spans="8:8" x14ac:dyDescent="0.25">
      <c r="H1499" s="217"/>
    </row>
    <row r="1500" spans="8:8" x14ac:dyDescent="0.25">
      <c r="H1500" s="217"/>
    </row>
    <row r="1501" spans="8:8" x14ac:dyDescent="0.25">
      <c r="H1501" s="217"/>
    </row>
    <row r="1502" spans="8:8" x14ac:dyDescent="0.25">
      <c r="H1502" s="217"/>
    </row>
    <row r="1503" spans="8:8" x14ac:dyDescent="0.25">
      <c r="H1503" s="217"/>
    </row>
    <row r="1504" spans="8:8" x14ac:dyDescent="0.25">
      <c r="H1504" s="217"/>
    </row>
    <row r="1505" spans="8:8" x14ac:dyDescent="0.25">
      <c r="H1505" s="217"/>
    </row>
    <row r="1506" spans="8:8" x14ac:dyDescent="0.25">
      <c r="H1506" s="217"/>
    </row>
    <row r="1507" spans="8:8" x14ac:dyDescent="0.25">
      <c r="H1507" s="217"/>
    </row>
    <row r="1508" spans="8:8" x14ac:dyDescent="0.25">
      <c r="H1508" s="217"/>
    </row>
    <row r="1509" spans="8:8" x14ac:dyDescent="0.25">
      <c r="H1509" s="217"/>
    </row>
    <row r="1510" spans="8:8" x14ac:dyDescent="0.25">
      <c r="H1510" s="217"/>
    </row>
    <row r="1511" spans="8:8" x14ac:dyDescent="0.25">
      <c r="H1511" s="217"/>
    </row>
    <row r="1512" spans="8:8" x14ac:dyDescent="0.25">
      <c r="H1512" s="217"/>
    </row>
    <row r="1513" spans="8:8" x14ac:dyDescent="0.25">
      <c r="H1513" s="217"/>
    </row>
    <row r="1514" spans="8:8" x14ac:dyDescent="0.25">
      <c r="H1514" s="217"/>
    </row>
    <row r="1515" spans="8:8" x14ac:dyDescent="0.25">
      <c r="H1515" s="217"/>
    </row>
    <row r="1516" spans="8:8" x14ac:dyDescent="0.25">
      <c r="H1516" s="217"/>
    </row>
    <row r="1517" spans="8:8" x14ac:dyDescent="0.25">
      <c r="H1517" s="217"/>
    </row>
    <row r="1518" spans="8:8" x14ac:dyDescent="0.25">
      <c r="H1518" s="217"/>
    </row>
    <row r="1519" spans="8:8" x14ac:dyDescent="0.25">
      <c r="H1519" s="217"/>
    </row>
    <row r="1520" spans="8:8" x14ac:dyDescent="0.25">
      <c r="H1520" s="217"/>
    </row>
    <row r="1521" spans="8:8" x14ac:dyDescent="0.25">
      <c r="H1521" s="217"/>
    </row>
    <row r="1522" spans="8:8" x14ac:dyDescent="0.25">
      <c r="H1522" s="217"/>
    </row>
    <row r="1523" spans="8:8" x14ac:dyDescent="0.25">
      <c r="H1523" s="217"/>
    </row>
    <row r="1524" spans="8:8" x14ac:dyDescent="0.25">
      <c r="H1524" s="217"/>
    </row>
    <row r="1525" spans="8:8" x14ac:dyDescent="0.25">
      <c r="H1525" s="217"/>
    </row>
    <row r="1526" spans="8:8" x14ac:dyDescent="0.25">
      <c r="H1526" s="217"/>
    </row>
    <row r="1527" spans="8:8" x14ac:dyDescent="0.25">
      <c r="H1527" s="217"/>
    </row>
    <row r="1528" spans="8:8" x14ac:dyDescent="0.25">
      <c r="H1528" s="217"/>
    </row>
    <row r="1529" spans="8:8" x14ac:dyDescent="0.25">
      <c r="H1529" s="217"/>
    </row>
    <row r="1530" spans="8:8" x14ac:dyDescent="0.25">
      <c r="H1530" s="217"/>
    </row>
    <row r="1531" spans="8:8" x14ac:dyDescent="0.25">
      <c r="H1531" s="217"/>
    </row>
    <row r="1532" spans="8:8" x14ac:dyDescent="0.25">
      <c r="H1532" s="217"/>
    </row>
    <row r="1533" spans="8:8" x14ac:dyDescent="0.25">
      <c r="H1533" s="217"/>
    </row>
    <row r="1534" spans="8:8" x14ac:dyDescent="0.25">
      <c r="H1534" s="217"/>
    </row>
    <row r="1535" spans="8:8" x14ac:dyDescent="0.25">
      <c r="H1535" s="217"/>
    </row>
    <row r="1536" spans="8:8" x14ac:dyDescent="0.25">
      <c r="H1536" s="217"/>
    </row>
    <row r="1537" spans="8:8" x14ac:dyDescent="0.25">
      <c r="H1537" s="217"/>
    </row>
    <row r="1538" spans="8:8" x14ac:dyDescent="0.25">
      <c r="H1538" s="217"/>
    </row>
    <row r="1539" spans="8:8" x14ac:dyDescent="0.25">
      <c r="H1539" s="217"/>
    </row>
    <row r="1540" spans="8:8" x14ac:dyDescent="0.25">
      <c r="H1540" s="217"/>
    </row>
    <row r="1541" spans="8:8" x14ac:dyDescent="0.25">
      <c r="H1541" s="217"/>
    </row>
    <row r="1542" spans="8:8" x14ac:dyDescent="0.25">
      <c r="H1542" s="217"/>
    </row>
    <row r="1543" spans="8:8" x14ac:dyDescent="0.25">
      <c r="H1543" s="217"/>
    </row>
    <row r="1544" spans="8:8" x14ac:dyDescent="0.25">
      <c r="H1544" s="217"/>
    </row>
    <row r="1545" spans="8:8" x14ac:dyDescent="0.25">
      <c r="H1545" s="217"/>
    </row>
    <row r="1546" spans="8:8" x14ac:dyDescent="0.25">
      <c r="H1546" s="217"/>
    </row>
    <row r="1547" spans="8:8" x14ac:dyDescent="0.25">
      <c r="H1547" s="217"/>
    </row>
    <row r="1548" spans="8:8" x14ac:dyDescent="0.25">
      <c r="H1548" s="217"/>
    </row>
    <row r="1549" spans="8:8" x14ac:dyDescent="0.25">
      <c r="H1549" s="217"/>
    </row>
    <row r="1550" spans="8:8" x14ac:dyDescent="0.25">
      <c r="H1550" s="217"/>
    </row>
    <row r="1551" spans="8:8" x14ac:dyDescent="0.25">
      <c r="H1551" s="217"/>
    </row>
    <row r="1552" spans="8:8" x14ac:dyDescent="0.25">
      <c r="H1552" s="217"/>
    </row>
    <row r="1553" spans="8:8" x14ac:dyDescent="0.25">
      <c r="H1553" s="217"/>
    </row>
    <row r="1554" spans="8:8" x14ac:dyDescent="0.25">
      <c r="H1554" s="217"/>
    </row>
    <row r="1555" spans="8:8" x14ac:dyDescent="0.25">
      <c r="H1555" s="217"/>
    </row>
    <row r="1556" spans="8:8" x14ac:dyDescent="0.25">
      <c r="H1556" s="217"/>
    </row>
    <row r="1557" spans="8:8" x14ac:dyDescent="0.25">
      <c r="H1557" s="217"/>
    </row>
    <row r="1558" spans="8:8" x14ac:dyDescent="0.25">
      <c r="H1558" s="217"/>
    </row>
    <row r="1559" spans="8:8" x14ac:dyDescent="0.25">
      <c r="H1559" s="217"/>
    </row>
    <row r="1560" spans="8:8" x14ac:dyDescent="0.25">
      <c r="H1560" s="217"/>
    </row>
    <row r="1561" spans="8:8" x14ac:dyDescent="0.25">
      <c r="H1561" s="217"/>
    </row>
    <row r="1562" spans="8:8" x14ac:dyDescent="0.25">
      <c r="H1562" s="217"/>
    </row>
    <row r="1563" spans="8:8" x14ac:dyDescent="0.25">
      <c r="H1563" s="217"/>
    </row>
    <row r="1564" spans="8:8" x14ac:dyDescent="0.25">
      <c r="H1564" s="217"/>
    </row>
    <row r="1565" spans="8:8" x14ac:dyDescent="0.25">
      <c r="H1565" s="217"/>
    </row>
    <row r="1566" spans="8:8" x14ac:dyDescent="0.25">
      <c r="H1566" s="217"/>
    </row>
    <row r="1567" spans="8:8" x14ac:dyDescent="0.25">
      <c r="H1567" s="217"/>
    </row>
    <row r="1568" spans="8:8" x14ac:dyDescent="0.25">
      <c r="H1568" s="217"/>
    </row>
    <row r="1569" spans="8:8" x14ac:dyDescent="0.25">
      <c r="H1569" s="217"/>
    </row>
    <row r="1570" spans="8:8" x14ac:dyDescent="0.25">
      <c r="H1570" s="217"/>
    </row>
    <row r="1571" spans="8:8" x14ac:dyDescent="0.25">
      <c r="H1571" s="217"/>
    </row>
    <row r="1572" spans="8:8" x14ac:dyDescent="0.25">
      <c r="H1572" s="217"/>
    </row>
    <row r="1573" spans="8:8" x14ac:dyDescent="0.25">
      <c r="H1573" s="217"/>
    </row>
    <row r="1574" spans="8:8" x14ac:dyDescent="0.25">
      <c r="H1574" s="217"/>
    </row>
    <row r="1575" spans="8:8" x14ac:dyDescent="0.25">
      <c r="H1575" s="217"/>
    </row>
    <row r="1576" spans="8:8" x14ac:dyDescent="0.25">
      <c r="H1576" s="217"/>
    </row>
    <row r="1577" spans="8:8" x14ac:dyDescent="0.25">
      <c r="H1577" s="217"/>
    </row>
    <row r="1578" spans="8:8" x14ac:dyDescent="0.25">
      <c r="H1578" s="217"/>
    </row>
    <row r="1579" spans="8:8" x14ac:dyDescent="0.25">
      <c r="H1579" s="217"/>
    </row>
    <row r="1580" spans="8:8" x14ac:dyDescent="0.25">
      <c r="H1580" s="217"/>
    </row>
    <row r="1581" spans="8:8" x14ac:dyDescent="0.25">
      <c r="H1581" s="217"/>
    </row>
    <row r="1582" spans="8:8" x14ac:dyDescent="0.25">
      <c r="H1582" s="217"/>
    </row>
    <row r="1583" spans="8:8" x14ac:dyDescent="0.25">
      <c r="H1583" s="217"/>
    </row>
    <row r="1584" spans="8:8" x14ac:dyDescent="0.25">
      <c r="H1584" s="217"/>
    </row>
    <row r="1585" spans="8:8" x14ac:dyDescent="0.25">
      <c r="H1585" s="217"/>
    </row>
    <row r="1586" spans="8:8" x14ac:dyDescent="0.25">
      <c r="H1586" s="217"/>
    </row>
    <row r="1587" spans="8:8" x14ac:dyDescent="0.25">
      <c r="H1587" s="217"/>
    </row>
    <row r="1588" spans="8:8" x14ac:dyDescent="0.25">
      <c r="H1588" s="217"/>
    </row>
    <row r="1589" spans="8:8" x14ac:dyDescent="0.25">
      <c r="H1589" s="217"/>
    </row>
    <row r="1590" spans="8:8" x14ac:dyDescent="0.25">
      <c r="H1590" s="217"/>
    </row>
    <row r="1591" spans="8:8" x14ac:dyDescent="0.25">
      <c r="H1591" s="217"/>
    </row>
    <row r="1592" spans="8:8" x14ac:dyDescent="0.25">
      <c r="H1592" s="217"/>
    </row>
    <row r="1593" spans="8:8" x14ac:dyDescent="0.25">
      <c r="H1593" s="217"/>
    </row>
    <row r="1594" spans="8:8" x14ac:dyDescent="0.25">
      <c r="H1594" s="217"/>
    </row>
    <row r="1595" spans="8:8" x14ac:dyDescent="0.25">
      <c r="H1595" s="217"/>
    </row>
    <row r="1596" spans="8:8" x14ac:dyDescent="0.25">
      <c r="H1596" s="217"/>
    </row>
    <row r="1597" spans="8:8" x14ac:dyDescent="0.25">
      <c r="H1597" s="217"/>
    </row>
    <row r="1598" spans="8:8" x14ac:dyDescent="0.25">
      <c r="H1598" s="217"/>
    </row>
    <row r="1599" spans="8:8" x14ac:dyDescent="0.25">
      <c r="H1599" s="217"/>
    </row>
    <row r="1600" spans="8:8" x14ac:dyDescent="0.25">
      <c r="H1600" s="217"/>
    </row>
    <row r="1601" spans="8:8" x14ac:dyDescent="0.25">
      <c r="H1601" s="217"/>
    </row>
    <row r="1602" spans="8:8" x14ac:dyDescent="0.25">
      <c r="H1602" s="217"/>
    </row>
    <row r="1603" spans="8:8" x14ac:dyDescent="0.25">
      <c r="H1603" s="217"/>
    </row>
    <row r="1604" spans="8:8" x14ac:dyDescent="0.25">
      <c r="H1604" s="217"/>
    </row>
    <row r="1605" spans="8:8" x14ac:dyDescent="0.25">
      <c r="H1605" s="217"/>
    </row>
    <row r="1606" spans="8:8" x14ac:dyDescent="0.25">
      <c r="H1606" s="217"/>
    </row>
    <row r="1607" spans="8:8" x14ac:dyDescent="0.25">
      <c r="H1607" s="217"/>
    </row>
    <row r="1608" spans="8:8" x14ac:dyDescent="0.25">
      <c r="H1608" s="217"/>
    </row>
    <row r="1609" spans="8:8" x14ac:dyDescent="0.25">
      <c r="H1609" s="217"/>
    </row>
    <row r="1610" spans="8:8" x14ac:dyDescent="0.25">
      <c r="H1610" s="217"/>
    </row>
    <row r="1611" spans="8:8" x14ac:dyDescent="0.25">
      <c r="H1611" s="217"/>
    </row>
    <row r="1612" spans="8:8" x14ac:dyDescent="0.25">
      <c r="H1612" s="217"/>
    </row>
    <row r="1613" spans="8:8" x14ac:dyDescent="0.25">
      <c r="H1613" s="217"/>
    </row>
    <row r="1614" spans="8:8" x14ac:dyDescent="0.25">
      <c r="H1614" s="217"/>
    </row>
    <row r="1615" spans="8:8" x14ac:dyDescent="0.25">
      <c r="H1615" s="217"/>
    </row>
    <row r="1616" spans="8:8" x14ac:dyDescent="0.25">
      <c r="H1616" s="217"/>
    </row>
    <row r="1617" spans="8:8" x14ac:dyDescent="0.25">
      <c r="H1617" s="217"/>
    </row>
    <row r="1618" spans="8:8" x14ac:dyDescent="0.25">
      <c r="H1618" s="217"/>
    </row>
    <row r="1619" spans="8:8" x14ac:dyDescent="0.25">
      <c r="H1619" s="217"/>
    </row>
    <row r="1620" spans="8:8" x14ac:dyDescent="0.25">
      <c r="H1620" s="217"/>
    </row>
    <row r="1621" spans="8:8" x14ac:dyDescent="0.25">
      <c r="H1621" s="217"/>
    </row>
    <row r="1622" spans="8:8" x14ac:dyDescent="0.25">
      <c r="H1622" s="263"/>
    </row>
    <row r="1623" spans="8:8" x14ac:dyDescent="0.25">
      <c r="H1623" s="217"/>
    </row>
    <row r="1624" spans="8:8" x14ac:dyDescent="0.25">
      <c r="H1624" s="217"/>
    </row>
    <row r="1625" spans="8:8" x14ac:dyDescent="0.25">
      <c r="H1625" s="217"/>
    </row>
    <row r="1626" spans="8:8" x14ac:dyDescent="0.25">
      <c r="H1626" s="217"/>
    </row>
    <row r="1627" spans="8:8" x14ac:dyDescent="0.25">
      <c r="H1627" s="217"/>
    </row>
    <row r="1628" spans="8:8" x14ac:dyDescent="0.25">
      <c r="H1628" s="264"/>
    </row>
    <row r="1629" spans="8:8" x14ac:dyDescent="0.25">
      <c r="H1629" s="217"/>
    </row>
    <row r="1630" spans="8:8" x14ac:dyDescent="0.25">
      <c r="H1630" s="217"/>
    </row>
    <row r="1631" spans="8:8" x14ac:dyDescent="0.25">
      <c r="H1631" s="217"/>
    </row>
    <row r="1632" spans="8:8" x14ac:dyDescent="0.25">
      <c r="H1632" s="217"/>
    </row>
    <row r="1633" spans="8:8" x14ac:dyDescent="0.25">
      <c r="H1633" s="217"/>
    </row>
    <row r="1634" spans="8:8" x14ac:dyDescent="0.25">
      <c r="H1634" s="217"/>
    </row>
    <row r="1635" spans="8:8" x14ac:dyDescent="0.25">
      <c r="H1635" s="217"/>
    </row>
    <row r="1636" spans="8:8" x14ac:dyDescent="0.25">
      <c r="H1636" s="217"/>
    </row>
    <row r="1637" spans="8:8" x14ac:dyDescent="0.25">
      <c r="H1637" s="217"/>
    </row>
    <row r="1638" spans="8:8" x14ac:dyDescent="0.25">
      <c r="H1638" s="217"/>
    </row>
    <row r="1639" spans="8:8" x14ac:dyDescent="0.25">
      <c r="H1639" s="217"/>
    </row>
    <row r="1640" spans="8:8" x14ac:dyDescent="0.25">
      <c r="H1640" s="217"/>
    </row>
    <row r="1641" spans="8:8" x14ac:dyDescent="0.25">
      <c r="H1641" s="217"/>
    </row>
    <row r="1642" spans="8:8" x14ac:dyDescent="0.25">
      <c r="H1642" s="217"/>
    </row>
    <row r="1643" spans="8:8" x14ac:dyDescent="0.25">
      <c r="H1643" s="217"/>
    </row>
    <row r="1644" spans="8:8" x14ac:dyDescent="0.25">
      <c r="H1644" s="217"/>
    </row>
    <row r="1645" spans="8:8" x14ac:dyDescent="0.25">
      <c r="H1645" s="217"/>
    </row>
    <row r="1646" spans="8:8" x14ac:dyDescent="0.25">
      <c r="H1646" s="217"/>
    </row>
    <row r="1647" spans="8:8" x14ac:dyDescent="0.25">
      <c r="H1647" s="217"/>
    </row>
    <row r="1648" spans="8:8" x14ac:dyDescent="0.25">
      <c r="H1648" s="217"/>
    </row>
    <row r="1649" spans="8:8" x14ac:dyDescent="0.25">
      <c r="H1649" s="217"/>
    </row>
    <row r="1650" spans="8:8" x14ac:dyDescent="0.25">
      <c r="H1650" s="217"/>
    </row>
    <row r="1651" spans="8:8" x14ac:dyDescent="0.25">
      <c r="H1651" s="217"/>
    </row>
    <row r="1652" spans="8:8" x14ac:dyDescent="0.25">
      <c r="H1652" s="217"/>
    </row>
    <row r="1653" spans="8:8" x14ac:dyDescent="0.25">
      <c r="H1653" s="217"/>
    </row>
    <row r="1654" spans="8:8" x14ac:dyDescent="0.25">
      <c r="H1654" s="217"/>
    </row>
    <row r="1655" spans="8:8" x14ac:dyDescent="0.25">
      <c r="H1655" s="217"/>
    </row>
    <row r="1656" spans="8:8" x14ac:dyDescent="0.25">
      <c r="H1656" s="217"/>
    </row>
    <row r="1657" spans="8:8" x14ac:dyDescent="0.25">
      <c r="H1657" s="217"/>
    </row>
    <row r="1658" spans="8:8" x14ac:dyDescent="0.25">
      <c r="H1658" s="217"/>
    </row>
    <row r="1659" spans="8:8" x14ac:dyDescent="0.25">
      <c r="H1659" s="217"/>
    </row>
    <row r="1660" spans="8:8" x14ac:dyDescent="0.25">
      <c r="H1660" s="217"/>
    </row>
    <row r="1661" spans="8:8" x14ac:dyDescent="0.25">
      <c r="H1661" s="217"/>
    </row>
    <row r="1662" spans="8:8" x14ac:dyDescent="0.25">
      <c r="H1662" s="217"/>
    </row>
    <row r="1663" spans="8:8" x14ac:dyDescent="0.25">
      <c r="H1663" s="217"/>
    </row>
    <row r="1664" spans="8:8" x14ac:dyDescent="0.25">
      <c r="H1664" s="217"/>
    </row>
    <row r="1665" spans="8:8" x14ac:dyDescent="0.25">
      <c r="H1665" s="217"/>
    </row>
    <row r="1666" spans="8:8" x14ac:dyDescent="0.25">
      <c r="H1666" s="217"/>
    </row>
    <row r="1667" spans="8:8" x14ac:dyDescent="0.25">
      <c r="H1667" s="217"/>
    </row>
    <row r="1668" spans="8:8" x14ac:dyDescent="0.25">
      <c r="H1668" s="217"/>
    </row>
    <row r="1669" spans="8:8" x14ac:dyDescent="0.25">
      <c r="H1669" s="217"/>
    </row>
    <row r="1670" spans="8:8" x14ac:dyDescent="0.25">
      <c r="H1670" s="217"/>
    </row>
    <row r="1671" spans="8:8" x14ac:dyDescent="0.25">
      <c r="H1671" s="217"/>
    </row>
    <row r="1672" spans="8:8" x14ac:dyDescent="0.25">
      <c r="H1672" s="217"/>
    </row>
    <row r="1673" spans="8:8" x14ac:dyDescent="0.25">
      <c r="H1673" s="217"/>
    </row>
    <row r="1674" spans="8:8" x14ac:dyDescent="0.25">
      <c r="H1674" s="217"/>
    </row>
    <row r="1675" spans="8:8" x14ac:dyDescent="0.25">
      <c r="H1675" s="217"/>
    </row>
    <row r="1676" spans="8:8" x14ac:dyDescent="0.25">
      <c r="H1676" s="217"/>
    </row>
    <row r="1677" spans="8:8" x14ac:dyDescent="0.25">
      <c r="H1677" s="217"/>
    </row>
    <row r="1678" spans="8:8" x14ac:dyDescent="0.25">
      <c r="H1678" s="217"/>
    </row>
    <row r="1679" spans="8:8" x14ac:dyDescent="0.25">
      <c r="H1679" s="217"/>
    </row>
    <row r="1680" spans="8:8" x14ac:dyDescent="0.25">
      <c r="H1680" s="217"/>
    </row>
    <row r="1681" spans="8:8" x14ac:dyDescent="0.25">
      <c r="H1681" s="217"/>
    </row>
    <row r="1682" spans="8:8" x14ac:dyDescent="0.25">
      <c r="H1682" s="217"/>
    </row>
    <row r="1683" spans="8:8" x14ac:dyDescent="0.25">
      <c r="H1683" s="217"/>
    </row>
    <row r="1684" spans="8:8" x14ac:dyDescent="0.25">
      <c r="H1684" s="217"/>
    </row>
    <row r="1685" spans="8:8" x14ac:dyDescent="0.25">
      <c r="H1685" s="217"/>
    </row>
    <row r="1686" spans="8:8" x14ac:dyDescent="0.25">
      <c r="H1686" s="217"/>
    </row>
    <row r="1687" spans="8:8" x14ac:dyDescent="0.25">
      <c r="H1687" s="217"/>
    </row>
    <row r="1688" spans="8:8" x14ac:dyDescent="0.25">
      <c r="H1688" s="217"/>
    </row>
    <row r="1689" spans="8:8" x14ac:dyDescent="0.25">
      <c r="H1689" s="217"/>
    </row>
    <row r="1690" spans="8:8" x14ac:dyDescent="0.25">
      <c r="H1690" s="217"/>
    </row>
    <row r="1691" spans="8:8" x14ac:dyDescent="0.25">
      <c r="H1691" s="217"/>
    </row>
    <row r="1692" spans="8:8" x14ac:dyDescent="0.25">
      <c r="H1692" s="217"/>
    </row>
    <row r="1693" spans="8:8" x14ac:dyDescent="0.25">
      <c r="H1693" s="217"/>
    </row>
    <row r="1694" spans="8:8" x14ac:dyDescent="0.25">
      <c r="H1694" s="217"/>
    </row>
    <row r="1695" spans="8:8" x14ac:dyDescent="0.25">
      <c r="H1695" s="217"/>
    </row>
    <row r="1696" spans="8:8" x14ac:dyDescent="0.25">
      <c r="H1696" s="217"/>
    </row>
    <row r="1697" spans="8:8" x14ac:dyDescent="0.25">
      <c r="H1697" s="217"/>
    </row>
    <row r="1698" spans="8:8" x14ac:dyDescent="0.25">
      <c r="H1698" s="217"/>
    </row>
    <row r="1699" spans="8:8" x14ac:dyDescent="0.25">
      <c r="H1699" s="217"/>
    </row>
    <row r="1700" spans="8:8" x14ac:dyDescent="0.25">
      <c r="H1700" s="217"/>
    </row>
    <row r="1701" spans="8:8" x14ac:dyDescent="0.25">
      <c r="H1701" s="217"/>
    </row>
    <row r="1702" spans="8:8" x14ac:dyDescent="0.25">
      <c r="H1702" s="217"/>
    </row>
    <row r="1703" spans="8:8" x14ac:dyDescent="0.25">
      <c r="H1703" s="217"/>
    </row>
    <row r="1704" spans="8:8" x14ac:dyDescent="0.25">
      <c r="H1704" s="217"/>
    </row>
    <row r="1705" spans="8:8" x14ac:dyDescent="0.25">
      <c r="H1705" s="217"/>
    </row>
    <row r="1706" spans="8:8" x14ac:dyDescent="0.25">
      <c r="H1706" s="217"/>
    </row>
    <row r="1707" spans="8:8" x14ac:dyDescent="0.25">
      <c r="H1707" s="217"/>
    </row>
    <row r="1708" spans="8:8" x14ac:dyDescent="0.25">
      <c r="H1708" s="217"/>
    </row>
    <row r="1709" spans="8:8" x14ac:dyDescent="0.25">
      <c r="H1709" s="217"/>
    </row>
    <row r="1710" spans="8:8" x14ac:dyDescent="0.25">
      <c r="H1710" s="217"/>
    </row>
    <row r="1711" spans="8:8" x14ac:dyDescent="0.25">
      <c r="H1711" s="217"/>
    </row>
    <row r="1712" spans="8:8" x14ac:dyDescent="0.25">
      <c r="H1712" s="217"/>
    </row>
    <row r="1713" spans="8:8" x14ac:dyDescent="0.25">
      <c r="H1713" s="265"/>
    </row>
    <row r="1714" spans="8:8" x14ac:dyDescent="0.25">
      <c r="H1714" s="265"/>
    </row>
    <row r="1715" spans="8:8" x14ac:dyDescent="0.25">
      <c r="H1715" s="265"/>
    </row>
    <row r="1716" spans="8:8" x14ac:dyDescent="0.25">
      <c r="H1716" s="265"/>
    </row>
    <row r="1717" spans="8:8" x14ac:dyDescent="0.25">
      <c r="H1717" s="265"/>
    </row>
    <row r="1718" spans="8:8" x14ac:dyDescent="0.25">
      <c r="H1718" s="265"/>
    </row>
    <row r="1719" spans="8:8" x14ac:dyDescent="0.25">
      <c r="H1719" s="265"/>
    </row>
    <row r="1720" spans="8:8" x14ac:dyDescent="0.25">
      <c r="H1720" s="265"/>
    </row>
    <row r="1721" spans="8:8" x14ac:dyDescent="0.25">
      <c r="H1721" s="265"/>
    </row>
    <row r="1722" spans="8:8" x14ac:dyDescent="0.25">
      <c r="H1722" s="265"/>
    </row>
    <row r="1723" spans="8:8" x14ac:dyDescent="0.25">
      <c r="H1723" s="265"/>
    </row>
    <row r="1724" spans="8:8" x14ac:dyDescent="0.25">
      <c r="H1724" s="265"/>
    </row>
    <row r="1725" spans="8:8" x14ac:dyDescent="0.25">
      <c r="H1725" s="265"/>
    </row>
    <row r="1726" spans="8:8" x14ac:dyDescent="0.25">
      <c r="H1726" s="265"/>
    </row>
    <row r="1727" spans="8:8" x14ac:dyDescent="0.25">
      <c r="H1727" s="265"/>
    </row>
    <row r="1728" spans="8:8" x14ac:dyDescent="0.25">
      <c r="H1728" s="265"/>
    </row>
    <row r="1729" spans="8:8" x14ac:dyDescent="0.25">
      <c r="H1729" s="265"/>
    </row>
    <row r="1730" spans="8:8" x14ac:dyDescent="0.25">
      <c r="H1730" s="265"/>
    </row>
    <row r="1731" spans="8:8" x14ac:dyDescent="0.25">
      <c r="H1731" s="265"/>
    </row>
    <row r="1732" spans="8:8" x14ac:dyDescent="0.25">
      <c r="H1732" s="265"/>
    </row>
    <row r="1733" spans="8:8" x14ac:dyDescent="0.25">
      <c r="H1733" s="265"/>
    </row>
    <row r="1734" spans="8:8" x14ac:dyDescent="0.25">
      <c r="H1734" s="265"/>
    </row>
    <row r="1735" spans="8:8" x14ac:dyDescent="0.25">
      <c r="H1735" s="265"/>
    </row>
    <row r="1736" spans="8:8" x14ac:dyDescent="0.25">
      <c r="H1736" s="265"/>
    </row>
    <row r="1737" spans="8:8" x14ac:dyDescent="0.25">
      <c r="H1737" s="265"/>
    </row>
    <row r="1738" spans="8:8" x14ac:dyDescent="0.25">
      <c r="H1738" s="265"/>
    </row>
    <row r="1739" spans="8:8" x14ac:dyDescent="0.25">
      <c r="H1739" s="265"/>
    </row>
    <row r="1740" spans="8:8" x14ac:dyDescent="0.25">
      <c r="H1740" s="265"/>
    </row>
    <row r="1741" spans="8:8" x14ac:dyDescent="0.25">
      <c r="H1741" s="265"/>
    </row>
    <row r="1742" spans="8:8" x14ac:dyDescent="0.25">
      <c r="H1742" s="265"/>
    </row>
    <row r="1743" spans="8:8" x14ac:dyDescent="0.25">
      <c r="H1743" s="265"/>
    </row>
    <row r="1744" spans="8:8" x14ac:dyDescent="0.25">
      <c r="H1744" s="265"/>
    </row>
    <row r="1745" spans="8:8" x14ac:dyDescent="0.25">
      <c r="H1745" s="265"/>
    </row>
    <row r="1746" spans="8:8" x14ac:dyDescent="0.25">
      <c r="H1746" s="265"/>
    </row>
    <row r="1747" spans="8:8" x14ac:dyDescent="0.25">
      <c r="H1747" s="265"/>
    </row>
    <row r="1748" spans="8:8" x14ac:dyDescent="0.25">
      <c r="H1748" s="265"/>
    </row>
    <row r="1749" spans="8:8" x14ac:dyDescent="0.25">
      <c r="H1749" s="265"/>
    </row>
    <row r="1750" spans="8:8" x14ac:dyDescent="0.25">
      <c r="H1750" s="265"/>
    </row>
    <row r="1751" spans="8:8" x14ac:dyDescent="0.25">
      <c r="H1751" s="265"/>
    </row>
    <row r="1752" spans="8:8" x14ac:dyDescent="0.25">
      <c r="H1752" s="265"/>
    </row>
    <row r="1753" spans="8:8" x14ac:dyDescent="0.25">
      <c r="H1753" s="265"/>
    </row>
    <row r="1754" spans="8:8" x14ac:dyDescent="0.25">
      <c r="H1754" s="265"/>
    </row>
    <row r="1755" spans="8:8" x14ac:dyDescent="0.25">
      <c r="H1755" s="265"/>
    </row>
    <row r="1756" spans="8:8" x14ac:dyDescent="0.25">
      <c r="H1756" s="265"/>
    </row>
    <row r="1757" spans="8:8" x14ac:dyDescent="0.25">
      <c r="H1757" s="265"/>
    </row>
    <row r="1758" spans="8:8" x14ac:dyDescent="0.25">
      <c r="H1758" s="265"/>
    </row>
    <row r="1759" spans="8:8" x14ac:dyDescent="0.25">
      <c r="H1759" s="265"/>
    </row>
    <row r="1760" spans="8:8" x14ac:dyDescent="0.25">
      <c r="H1760" s="265"/>
    </row>
    <row r="1761" spans="8:8" x14ac:dyDescent="0.25">
      <c r="H1761" s="265"/>
    </row>
    <row r="1762" spans="8:8" x14ac:dyDescent="0.25">
      <c r="H1762" s="265"/>
    </row>
    <row r="1763" spans="8:8" x14ac:dyDescent="0.25">
      <c r="H1763" s="265"/>
    </row>
    <row r="1764" spans="8:8" x14ac:dyDescent="0.25">
      <c r="H1764" s="265"/>
    </row>
    <row r="1765" spans="8:8" x14ac:dyDescent="0.25">
      <c r="H1765" s="265"/>
    </row>
    <row r="1766" spans="8:8" x14ac:dyDescent="0.25">
      <c r="H1766" s="265"/>
    </row>
    <row r="1767" spans="8:8" x14ac:dyDescent="0.25">
      <c r="H1767" s="265"/>
    </row>
    <row r="1768" spans="8:8" x14ac:dyDescent="0.25">
      <c r="H1768" s="265"/>
    </row>
    <row r="1769" spans="8:8" x14ac:dyDescent="0.25">
      <c r="H1769" s="265"/>
    </row>
    <row r="1770" spans="8:8" x14ac:dyDescent="0.25">
      <c r="H1770" s="265"/>
    </row>
    <row r="1771" spans="8:8" x14ac:dyDescent="0.25">
      <c r="H1771" s="265"/>
    </row>
    <row r="1772" spans="8:8" x14ac:dyDescent="0.25">
      <c r="H1772" s="265"/>
    </row>
    <row r="1773" spans="8:8" x14ac:dyDescent="0.25">
      <c r="H1773" s="265"/>
    </row>
    <row r="1774" spans="8:8" x14ac:dyDescent="0.25">
      <c r="H1774" s="265"/>
    </row>
    <row r="1775" spans="8:8" x14ac:dyDescent="0.25">
      <c r="H1775" s="265"/>
    </row>
    <row r="1776" spans="8:8" x14ac:dyDescent="0.25">
      <c r="H1776" s="265"/>
    </row>
    <row r="1777" spans="8:8" x14ac:dyDescent="0.25">
      <c r="H1777" s="265"/>
    </row>
    <row r="1778" spans="8:8" x14ac:dyDescent="0.25">
      <c r="H1778" s="213"/>
    </row>
    <row r="1779" spans="8:8" x14ac:dyDescent="0.25">
      <c r="H1779" s="213"/>
    </row>
    <row r="1780" spans="8:8" x14ac:dyDescent="0.25">
      <c r="H1780" s="213"/>
    </row>
    <row r="1781" spans="8:8" x14ac:dyDescent="0.25">
      <c r="H1781" s="213"/>
    </row>
    <row r="1782" spans="8:8" x14ac:dyDescent="0.25">
      <c r="H1782" s="213"/>
    </row>
    <row r="1783" spans="8:8" x14ac:dyDescent="0.25">
      <c r="H1783" s="213"/>
    </row>
    <row r="1784" spans="8:8" x14ac:dyDescent="0.25">
      <c r="H1784" s="265"/>
    </row>
    <row r="1785" spans="8:8" x14ac:dyDescent="0.25">
      <c r="H1785" s="265"/>
    </row>
    <row r="1786" spans="8:8" x14ac:dyDescent="0.25">
      <c r="H1786" s="265"/>
    </row>
    <row r="1787" spans="8:8" x14ac:dyDescent="0.25">
      <c r="H1787" s="265"/>
    </row>
    <row r="1788" spans="8:8" x14ac:dyDescent="0.25">
      <c r="H1788" s="265"/>
    </row>
    <row r="1789" spans="8:8" x14ac:dyDescent="0.25">
      <c r="H1789" s="265"/>
    </row>
    <row r="1790" spans="8:8" x14ac:dyDescent="0.25">
      <c r="H1790" s="265"/>
    </row>
    <row r="1791" spans="8:8" x14ac:dyDescent="0.25">
      <c r="H1791" s="265"/>
    </row>
    <row r="1792" spans="8:8" x14ac:dyDescent="0.25">
      <c r="H1792" s="265"/>
    </row>
    <row r="1793" spans="8:8" x14ac:dyDescent="0.25">
      <c r="H1793" s="265"/>
    </row>
    <row r="1794" spans="8:8" x14ac:dyDescent="0.25">
      <c r="H1794" s="265"/>
    </row>
    <row r="1795" spans="8:8" x14ac:dyDescent="0.25">
      <c r="H1795" s="265"/>
    </row>
    <row r="1796" spans="8:8" x14ac:dyDescent="0.25">
      <c r="H1796" s="265"/>
    </row>
    <row r="1797" spans="8:8" x14ac:dyDescent="0.25">
      <c r="H1797" s="265"/>
    </row>
    <row r="1798" spans="8:8" x14ac:dyDescent="0.25">
      <c r="H1798" s="265"/>
    </row>
    <row r="1799" spans="8:8" x14ac:dyDescent="0.25">
      <c r="H1799" s="265"/>
    </row>
    <row r="1800" spans="8:8" x14ac:dyDescent="0.25">
      <c r="H1800" s="265"/>
    </row>
    <row r="1801" spans="8:8" x14ac:dyDescent="0.25">
      <c r="H1801" s="265"/>
    </row>
    <row r="1802" spans="8:8" x14ac:dyDescent="0.25">
      <c r="H1802" s="265"/>
    </row>
    <row r="1803" spans="8:8" x14ac:dyDescent="0.25">
      <c r="H1803" s="265"/>
    </row>
    <row r="1804" spans="8:8" x14ac:dyDescent="0.25">
      <c r="H1804" s="265"/>
    </row>
    <row r="1805" spans="8:8" x14ac:dyDescent="0.25">
      <c r="H1805" s="265"/>
    </row>
    <row r="1806" spans="8:8" x14ac:dyDescent="0.25">
      <c r="H1806" s="265"/>
    </row>
    <row r="1807" spans="8:8" x14ac:dyDescent="0.25">
      <c r="H1807" s="265"/>
    </row>
    <row r="1808" spans="8:8" x14ac:dyDescent="0.25">
      <c r="H1808" s="265"/>
    </row>
    <row r="1809" spans="8:8" x14ac:dyDescent="0.25">
      <c r="H1809" s="265"/>
    </row>
    <row r="1810" spans="8:8" x14ac:dyDescent="0.25">
      <c r="H1810" s="266"/>
    </row>
    <row r="1811" spans="8:8" x14ac:dyDescent="0.25">
      <c r="H1811" s="265"/>
    </row>
    <row r="1812" spans="8:8" x14ac:dyDescent="0.25">
      <c r="H1812" s="265"/>
    </row>
    <row r="1813" spans="8:8" x14ac:dyDescent="0.25">
      <c r="H1813" s="265"/>
    </row>
    <row r="1814" spans="8:8" x14ac:dyDescent="0.25">
      <c r="H1814" s="266"/>
    </row>
    <row r="1815" spans="8:8" x14ac:dyDescent="0.25">
      <c r="H1815" s="265"/>
    </row>
    <row r="1816" spans="8:8" x14ac:dyDescent="0.25">
      <c r="H1816" s="265"/>
    </row>
    <row r="1817" spans="8:8" x14ac:dyDescent="0.25">
      <c r="H1817" s="265"/>
    </row>
    <row r="1818" spans="8:8" x14ac:dyDescent="0.25">
      <c r="H1818" s="266"/>
    </row>
    <row r="1819" spans="8:8" x14ac:dyDescent="0.25">
      <c r="H1819" s="265"/>
    </row>
    <row r="1820" spans="8:8" x14ac:dyDescent="0.25">
      <c r="H1820" s="265"/>
    </row>
    <row r="1821" spans="8:8" x14ac:dyDescent="0.25">
      <c r="H1821" s="265"/>
    </row>
    <row r="1822" spans="8:8" x14ac:dyDescent="0.25">
      <c r="H1822" s="266"/>
    </row>
    <row r="1823" spans="8:8" x14ac:dyDescent="0.25">
      <c r="H1823" s="265"/>
    </row>
    <row r="1824" spans="8:8" x14ac:dyDescent="0.25">
      <c r="H1824" s="265"/>
    </row>
    <row r="1825" spans="8:8" x14ac:dyDescent="0.25">
      <c r="H1825" s="265"/>
    </row>
    <row r="1826" spans="8:8" x14ac:dyDescent="0.25">
      <c r="H1826" s="265"/>
    </row>
    <row r="1827" spans="8:8" x14ac:dyDescent="0.25">
      <c r="H1827" s="265"/>
    </row>
    <row r="1828" spans="8:8" x14ac:dyDescent="0.25">
      <c r="H1828" s="265"/>
    </row>
    <row r="1829" spans="8:8" x14ac:dyDescent="0.25">
      <c r="H1829" s="265"/>
    </row>
    <row r="1830" spans="8:8" x14ac:dyDescent="0.25">
      <c r="H1830" s="265"/>
    </row>
    <row r="1831" spans="8:8" x14ac:dyDescent="0.25">
      <c r="H1831" s="265"/>
    </row>
    <row r="1832" spans="8:8" x14ac:dyDescent="0.25">
      <c r="H1832" s="265"/>
    </row>
    <row r="1833" spans="8:8" x14ac:dyDescent="0.25">
      <c r="H1833" s="265"/>
    </row>
    <row r="1834" spans="8:8" x14ac:dyDescent="0.25">
      <c r="H1834" s="265"/>
    </row>
    <row r="1835" spans="8:8" x14ac:dyDescent="0.25">
      <c r="H1835" s="265"/>
    </row>
    <row r="1836" spans="8:8" x14ac:dyDescent="0.25">
      <c r="H1836" s="265"/>
    </row>
    <row r="1837" spans="8:8" x14ac:dyDescent="0.25">
      <c r="H1837" s="265"/>
    </row>
    <row r="1838" spans="8:8" x14ac:dyDescent="0.25">
      <c r="H1838" s="265"/>
    </row>
    <row r="1839" spans="8:8" x14ac:dyDescent="0.25">
      <c r="H1839" s="265"/>
    </row>
    <row r="1840" spans="8:8" x14ac:dyDescent="0.25">
      <c r="H1840" s="265"/>
    </row>
    <row r="1841" spans="8:8" x14ac:dyDescent="0.25">
      <c r="H1841" s="267"/>
    </row>
    <row r="1842" spans="8:8" x14ac:dyDescent="0.25">
      <c r="H1842" s="265"/>
    </row>
    <row r="1843" spans="8:8" x14ac:dyDescent="0.25">
      <c r="H1843" s="265"/>
    </row>
    <row r="1844" spans="8:8" x14ac:dyDescent="0.25">
      <c r="H1844" s="265"/>
    </row>
    <row r="1845" spans="8:8" x14ac:dyDescent="0.25">
      <c r="H1845" s="265"/>
    </row>
    <row r="1846" spans="8:8" x14ac:dyDescent="0.25">
      <c r="H1846" s="265"/>
    </row>
    <row r="1847" spans="8:8" x14ac:dyDescent="0.25">
      <c r="H1847" s="265"/>
    </row>
    <row r="1848" spans="8:8" x14ac:dyDescent="0.25">
      <c r="H1848" s="265"/>
    </row>
    <row r="1849" spans="8:8" x14ac:dyDescent="0.25">
      <c r="H1849" s="265"/>
    </row>
    <row r="1850" spans="8:8" x14ac:dyDescent="0.25">
      <c r="H1850" s="265"/>
    </row>
  </sheetData>
  <phoneticPr fontId="13" type="noConversion"/>
  <dataValidations disablePrompts="1" count="1">
    <dataValidation type="textLength" allowBlank="1" showInputMessage="1" showErrorMessage="1" errorTitle="Validacion RNC o Cedula " error="La longitud de Este Campo es la Siguiente:_x000a__x000a_RNC = 9 Posiciones _x000a_Cedula = 11 posiciones" promptTitle="Validacion RNC o Cedula " prompt="La longitud de Este Campo es la Siguiente:_x000a__x000a_RNC = 9 Posiciones _x000a_Cedula = 11 posiciones" sqref="E1146 JA1122 SW1122 ACS1122 AMO1122 AWK1122 BGG1122 BQC1122 BZY1122 CJU1122 CTQ1122 DDM1122 DNI1122 DXE1122 EHA1122 EQW1122 FAS1122 FKO1122 FUK1122 GEG1122 GOC1122 GXY1122 HHU1122 HRQ1122 IBM1122 ILI1122 IVE1122 JFA1122 JOW1122 JYS1122 KIO1122 KSK1122 LCG1122 LMC1122 LVY1122 MFU1122 MPQ1122 MZM1122 NJI1122 NTE1122 ODA1122 OMW1122 OWS1122 PGO1122 PQK1122 QAG1122 QKC1122 QTY1122 RDU1122 RNQ1122 RXM1122 SHI1122 SRE1122 TBA1122 TKW1122 TUS1122 UEO1122 UOK1122 UYG1122 VIC1122 VRY1122 WBU1122 WLQ1122 WVM1122 E66682 JA66658 SW66658 ACS66658 AMO66658 AWK66658 BGG66658 BQC66658 BZY66658 CJU66658 CTQ66658 DDM66658 DNI66658 DXE66658 EHA66658 EQW66658 FAS66658 FKO66658 FUK66658 GEG66658 GOC66658 GXY66658 HHU66658 HRQ66658 IBM66658 ILI66658 IVE66658 JFA66658 JOW66658 JYS66658 KIO66658 KSK66658 LCG66658 LMC66658 LVY66658 MFU66658 MPQ66658 MZM66658 NJI66658 NTE66658 ODA66658 OMW66658 OWS66658 PGO66658 PQK66658 QAG66658 QKC66658 QTY66658 RDU66658 RNQ66658 RXM66658 SHI66658 SRE66658 TBA66658 TKW66658 TUS66658 UEO66658 UOK66658 UYG66658 VIC66658 VRY66658 WBU66658 WLQ66658 WVM66658 E132218 JA132194 SW132194 ACS132194 AMO132194 AWK132194 BGG132194 BQC132194 BZY132194 CJU132194 CTQ132194 DDM132194 DNI132194 DXE132194 EHA132194 EQW132194 FAS132194 FKO132194 FUK132194 GEG132194 GOC132194 GXY132194 HHU132194 HRQ132194 IBM132194 ILI132194 IVE132194 JFA132194 JOW132194 JYS132194 KIO132194 KSK132194 LCG132194 LMC132194 LVY132194 MFU132194 MPQ132194 MZM132194 NJI132194 NTE132194 ODA132194 OMW132194 OWS132194 PGO132194 PQK132194 QAG132194 QKC132194 QTY132194 RDU132194 RNQ132194 RXM132194 SHI132194 SRE132194 TBA132194 TKW132194 TUS132194 UEO132194 UOK132194 UYG132194 VIC132194 VRY132194 WBU132194 WLQ132194 WVM132194 E197754 JA197730 SW197730 ACS197730 AMO197730 AWK197730 BGG197730 BQC197730 BZY197730 CJU197730 CTQ197730 DDM197730 DNI197730 DXE197730 EHA197730 EQW197730 FAS197730 FKO197730 FUK197730 GEG197730 GOC197730 GXY197730 HHU197730 HRQ197730 IBM197730 ILI197730 IVE197730 JFA197730 JOW197730 JYS197730 KIO197730 KSK197730 LCG197730 LMC197730 LVY197730 MFU197730 MPQ197730 MZM197730 NJI197730 NTE197730 ODA197730 OMW197730 OWS197730 PGO197730 PQK197730 QAG197730 QKC197730 QTY197730 RDU197730 RNQ197730 RXM197730 SHI197730 SRE197730 TBA197730 TKW197730 TUS197730 UEO197730 UOK197730 UYG197730 VIC197730 VRY197730 WBU197730 WLQ197730 WVM197730 E263290 JA263266 SW263266 ACS263266 AMO263266 AWK263266 BGG263266 BQC263266 BZY263266 CJU263266 CTQ263266 DDM263266 DNI263266 DXE263266 EHA263266 EQW263266 FAS263266 FKO263266 FUK263266 GEG263266 GOC263266 GXY263266 HHU263266 HRQ263266 IBM263266 ILI263266 IVE263266 JFA263266 JOW263266 JYS263266 KIO263266 KSK263266 LCG263266 LMC263266 LVY263266 MFU263266 MPQ263266 MZM263266 NJI263266 NTE263266 ODA263266 OMW263266 OWS263266 PGO263266 PQK263266 QAG263266 QKC263266 QTY263266 RDU263266 RNQ263266 RXM263266 SHI263266 SRE263266 TBA263266 TKW263266 TUS263266 UEO263266 UOK263266 UYG263266 VIC263266 VRY263266 WBU263266 WLQ263266 WVM263266 E328826 JA328802 SW328802 ACS328802 AMO328802 AWK328802 BGG328802 BQC328802 BZY328802 CJU328802 CTQ328802 DDM328802 DNI328802 DXE328802 EHA328802 EQW328802 FAS328802 FKO328802 FUK328802 GEG328802 GOC328802 GXY328802 HHU328802 HRQ328802 IBM328802 ILI328802 IVE328802 JFA328802 JOW328802 JYS328802 KIO328802 KSK328802 LCG328802 LMC328802 LVY328802 MFU328802 MPQ328802 MZM328802 NJI328802 NTE328802 ODA328802 OMW328802 OWS328802 PGO328802 PQK328802 QAG328802 QKC328802 QTY328802 RDU328802 RNQ328802 RXM328802 SHI328802 SRE328802 TBA328802 TKW328802 TUS328802 UEO328802 UOK328802 UYG328802 VIC328802 VRY328802 WBU328802 WLQ328802 WVM328802 E394362 JA394338 SW394338 ACS394338 AMO394338 AWK394338 BGG394338 BQC394338 BZY394338 CJU394338 CTQ394338 DDM394338 DNI394338 DXE394338 EHA394338 EQW394338 FAS394338 FKO394338 FUK394338 GEG394338 GOC394338 GXY394338 HHU394338 HRQ394338 IBM394338 ILI394338 IVE394338 JFA394338 JOW394338 JYS394338 KIO394338 KSK394338 LCG394338 LMC394338 LVY394338 MFU394338 MPQ394338 MZM394338 NJI394338 NTE394338 ODA394338 OMW394338 OWS394338 PGO394338 PQK394338 QAG394338 QKC394338 QTY394338 RDU394338 RNQ394338 RXM394338 SHI394338 SRE394338 TBA394338 TKW394338 TUS394338 UEO394338 UOK394338 UYG394338 VIC394338 VRY394338 WBU394338 WLQ394338 WVM394338 E459898 JA459874 SW459874 ACS459874 AMO459874 AWK459874 BGG459874 BQC459874 BZY459874 CJU459874 CTQ459874 DDM459874 DNI459874 DXE459874 EHA459874 EQW459874 FAS459874 FKO459874 FUK459874 GEG459874 GOC459874 GXY459874 HHU459874 HRQ459874 IBM459874 ILI459874 IVE459874 JFA459874 JOW459874 JYS459874 KIO459874 KSK459874 LCG459874 LMC459874 LVY459874 MFU459874 MPQ459874 MZM459874 NJI459874 NTE459874 ODA459874 OMW459874 OWS459874 PGO459874 PQK459874 QAG459874 QKC459874 QTY459874 RDU459874 RNQ459874 RXM459874 SHI459874 SRE459874 TBA459874 TKW459874 TUS459874 UEO459874 UOK459874 UYG459874 VIC459874 VRY459874 WBU459874 WLQ459874 WVM459874 E525434 JA525410 SW525410 ACS525410 AMO525410 AWK525410 BGG525410 BQC525410 BZY525410 CJU525410 CTQ525410 DDM525410 DNI525410 DXE525410 EHA525410 EQW525410 FAS525410 FKO525410 FUK525410 GEG525410 GOC525410 GXY525410 HHU525410 HRQ525410 IBM525410 ILI525410 IVE525410 JFA525410 JOW525410 JYS525410 KIO525410 KSK525410 LCG525410 LMC525410 LVY525410 MFU525410 MPQ525410 MZM525410 NJI525410 NTE525410 ODA525410 OMW525410 OWS525410 PGO525410 PQK525410 QAG525410 QKC525410 QTY525410 RDU525410 RNQ525410 RXM525410 SHI525410 SRE525410 TBA525410 TKW525410 TUS525410 UEO525410 UOK525410 UYG525410 VIC525410 VRY525410 WBU525410 WLQ525410 WVM525410 E590970 JA590946 SW590946 ACS590946 AMO590946 AWK590946 BGG590946 BQC590946 BZY590946 CJU590946 CTQ590946 DDM590946 DNI590946 DXE590946 EHA590946 EQW590946 FAS590946 FKO590946 FUK590946 GEG590946 GOC590946 GXY590946 HHU590946 HRQ590946 IBM590946 ILI590946 IVE590946 JFA590946 JOW590946 JYS590946 KIO590946 KSK590946 LCG590946 LMC590946 LVY590946 MFU590946 MPQ590946 MZM590946 NJI590946 NTE590946 ODA590946 OMW590946 OWS590946 PGO590946 PQK590946 QAG590946 QKC590946 QTY590946 RDU590946 RNQ590946 RXM590946 SHI590946 SRE590946 TBA590946 TKW590946 TUS590946 UEO590946 UOK590946 UYG590946 VIC590946 VRY590946 WBU590946 WLQ590946 WVM590946 E656506 JA656482 SW656482 ACS656482 AMO656482 AWK656482 BGG656482 BQC656482 BZY656482 CJU656482 CTQ656482 DDM656482 DNI656482 DXE656482 EHA656482 EQW656482 FAS656482 FKO656482 FUK656482 GEG656482 GOC656482 GXY656482 HHU656482 HRQ656482 IBM656482 ILI656482 IVE656482 JFA656482 JOW656482 JYS656482 KIO656482 KSK656482 LCG656482 LMC656482 LVY656482 MFU656482 MPQ656482 MZM656482 NJI656482 NTE656482 ODA656482 OMW656482 OWS656482 PGO656482 PQK656482 QAG656482 QKC656482 QTY656482 RDU656482 RNQ656482 RXM656482 SHI656482 SRE656482 TBA656482 TKW656482 TUS656482 UEO656482 UOK656482 UYG656482 VIC656482 VRY656482 WBU656482 WLQ656482 WVM656482 E722042 JA722018 SW722018 ACS722018 AMO722018 AWK722018 BGG722018 BQC722018 BZY722018 CJU722018 CTQ722018 DDM722018 DNI722018 DXE722018 EHA722018 EQW722018 FAS722018 FKO722018 FUK722018 GEG722018 GOC722018 GXY722018 HHU722018 HRQ722018 IBM722018 ILI722018 IVE722018 JFA722018 JOW722018 JYS722018 KIO722018 KSK722018 LCG722018 LMC722018 LVY722018 MFU722018 MPQ722018 MZM722018 NJI722018 NTE722018 ODA722018 OMW722018 OWS722018 PGO722018 PQK722018 QAG722018 QKC722018 QTY722018 RDU722018 RNQ722018 RXM722018 SHI722018 SRE722018 TBA722018 TKW722018 TUS722018 UEO722018 UOK722018 UYG722018 VIC722018 VRY722018 WBU722018 WLQ722018 WVM722018 E787578 JA787554 SW787554 ACS787554 AMO787554 AWK787554 BGG787554 BQC787554 BZY787554 CJU787554 CTQ787554 DDM787554 DNI787554 DXE787554 EHA787554 EQW787554 FAS787554 FKO787554 FUK787554 GEG787554 GOC787554 GXY787554 HHU787554 HRQ787554 IBM787554 ILI787554 IVE787554 JFA787554 JOW787554 JYS787554 KIO787554 KSK787554 LCG787554 LMC787554 LVY787554 MFU787554 MPQ787554 MZM787554 NJI787554 NTE787554 ODA787554 OMW787554 OWS787554 PGO787554 PQK787554 QAG787554 QKC787554 QTY787554 RDU787554 RNQ787554 RXM787554 SHI787554 SRE787554 TBA787554 TKW787554 TUS787554 UEO787554 UOK787554 UYG787554 VIC787554 VRY787554 WBU787554 WLQ787554 WVM787554 E853114 JA853090 SW853090 ACS853090 AMO853090 AWK853090 BGG853090 BQC853090 BZY853090 CJU853090 CTQ853090 DDM853090 DNI853090 DXE853090 EHA853090 EQW853090 FAS853090 FKO853090 FUK853090 GEG853090 GOC853090 GXY853090 HHU853090 HRQ853090 IBM853090 ILI853090 IVE853090 JFA853090 JOW853090 JYS853090 KIO853090 KSK853090 LCG853090 LMC853090 LVY853090 MFU853090 MPQ853090 MZM853090 NJI853090 NTE853090 ODA853090 OMW853090 OWS853090 PGO853090 PQK853090 QAG853090 QKC853090 QTY853090 RDU853090 RNQ853090 RXM853090 SHI853090 SRE853090 TBA853090 TKW853090 TUS853090 UEO853090 UOK853090 UYG853090 VIC853090 VRY853090 WBU853090 WLQ853090 WVM853090 E918650 JA918626 SW918626 ACS918626 AMO918626 AWK918626 BGG918626 BQC918626 BZY918626 CJU918626 CTQ918626 DDM918626 DNI918626 DXE918626 EHA918626 EQW918626 FAS918626 FKO918626 FUK918626 GEG918626 GOC918626 GXY918626 HHU918626 HRQ918626 IBM918626 ILI918626 IVE918626 JFA918626 JOW918626 JYS918626 KIO918626 KSK918626 LCG918626 LMC918626 LVY918626 MFU918626 MPQ918626 MZM918626 NJI918626 NTE918626 ODA918626 OMW918626 OWS918626 PGO918626 PQK918626 QAG918626 QKC918626 QTY918626 RDU918626 RNQ918626 RXM918626 SHI918626 SRE918626 TBA918626 TKW918626 TUS918626 UEO918626 UOK918626 UYG918626 VIC918626 VRY918626 WBU918626 WLQ918626 WVM918626 E984186 JA984162 SW984162 ACS984162 AMO984162 AWK984162 BGG984162 BQC984162 BZY984162 CJU984162 CTQ984162 DDM984162 DNI984162 DXE984162 EHA984162 EQW984162 FAS984162 FKO984162 FUK984162 GEG984162 GOC984162 GXY984162 HHU984162 HRQ984162 IBM984162 ILI984162 IVE984162 JFA984162 JOW984162 JYS984162 KIO984162 KSK984162 LCG984162 LMC984162 LVY984162 MFU984162 MPQ984162 MZM984162 NJI984162 NTE984162 ODA984162 OMW984162 OWS984162 PGO984162 PQK984162 QAG984162 QKC984162 QTY984162 RDU984162 RNQ984162 RXM984162 SHI984162 SRE984162 TBA984162 TKW984162 TUS984162 UEO984162 UOK984162 UYG984162 VIC984162 VRY984162 WBU984162 WLQ984162 WVM984162" xr:uid="{D2BE2C19-0CC8-4FC8-B0DC-54800A0B213C}">
      <formula1>9</formula1>
      <formula2>11</formula2>
    </dataValidation>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85516-B906-4254-86CF-BD5EA19C85CE}">
  <sheetPr>
    <tabColor rgb="FF0070C0"/>
  </sheetPr>
  <dimension ref="B1:M33"/>
  <sheetViews>
    <sheetView workbookViewId="0">
      <selection activeCell="L4" sqref="L4"/>
    </sheetView>
  </sheetViews>
  <sheetFormatPr baseColWidth="10" defaultColWidth="11.42578125" defaultRowHeight="15" x14ac:dyDescent="0.25"/>
  <cols>
    <col min="3" max="3" width="11.5703125" customWidth="1"/>
    <col min="4" max="4" width="14.5703125" customWidth="1"/>
    <col min="5" max="5" width="13.42578125" customWidth="1"/>
    <col min="7" max="7" width="16.7109375" bestFit="1" customWidth="1"/>
    <col min="9" max="9" width="16.7109375" bestFit="1" customWidth="1"/>
    <col min="10" max="10" width="15" bestFit="1" customWidth="1"/>
    <col min="12" max="12" width="16.140625" bestFit="1" customWidth="1"/>
    <col min="13" max="13" width="15" bestFit="1" customWidth="1"/>
  </cols>
  <sheetData>
    <row r="1" spans="2:13" x14ac:dyDescent="0.25">
      <c r="B1" s="323" t="s">
        <v>1150</v>
      </c>
      <c r="C1" s="324" t="s">
        <v>1891</v>
      </c>
      <c r="D1" s="324" t="s">
        <v>1892</v>
      </c>
      <c r="E1" s="324" t="s">
        <v>1145</v>
      </c>
      <c r="F1" s="324" t="s">
        <v>1893</v>
      </c>
      <c r="G1" s="325" t="s">
        <v>1894</v>
      </c>
      <c r="I1" s="183" t="s">
        <v>1150</v>
      </c>
      <c r="J1" s="326">
        <v>45778</v>
      </c>
      <c r="L1" s="183" t="s">
        <v>1150</v>
      </c>
      <c r="M1" s="326">
        <v>45778</v>
      </c>
    </row>
    <row r="2" spans="2:13" x14ac:dyDescent="0.25">
      <c r="B2" s="322">
        <v>45778</v>
      </c>
      <c r="C2" t="s">
        <v>1895</v>
      </c>
      <c r="D2" t="s">
        <v>1770</v>
      </c>
      <c r="E2" t="s">
        <v>1896</v>
      </c>
      <c r="F2" s="184">
        <v>23500</v>
      </c>
      <c r="G2" t="s">
        <v>1897</v>
      </c>
    </row>
    <row r="3" spans="2:13" x14ac:dyDescent="0.25">
      <c r="B3" s="322">
        <v>45778</v>
      </c>
      <c r="C3" t="s">
        <v>1895</v>
      </c>
      <c r="D3" t="s">
        <v>1898</v>
      </c>
      <c r="E3" t="s">
        <v>1166</v>
      </c>
      <c r="F3" s="184">
        <v>6000</v>
      </c>
      <c r="G3" t="s">
        <v>1897</v>
      </c>
      <c r="I3" s="183" t="s">
        <v>1899</v>
      </c>
      <c r="J3" t="s">
        <v>1900</v>
      </c>
      <c r="L3" s="183" t="s">
        <v>1901</v>
      </c>
      <c r="M3" t="s">
        <v>1900</v>
      </c>
    </row>
    <row r="4" spans="2:13" x14ac:dyDescent="0.25">
      <c r="B4" s="322">
        <v>45778</v>
      </c>
      <c r="C4" t="s">
        <v>1902</v>
      </c>
      <c r="D4" t="s">
        <v>1903</v>
      </c>
      <c r="E4" t="s">
        <v>1904</v>
      </c>
      <c r="F4" s="184">
        <v>40000</v>
      </c>
      <c r="G4" t="s">
        <v>1897</v>
      </c>
      <c r="I4" s="148" t="s">
        <v>1897</v>
      </c>
      <c r="J4" s="184">
        <v>168036.18</v>
      </c>
      <c r="L4" s="148" t="s">
        <v>1905</v>
      </c>
      <c r="M4" s="184">
        <v>226349.41999999998</v>
      </c>
    </row>
    <row r="5" spans="2:13" x14ac:dyDescent="0.25">
      <c r="B5" s="322">
        <v>45778</v>
      </c>
      <c r="C5" t="s">
        <v>1906</v>
      </c>
      <c r="D5" t="s">
        <v>1907</v>
      </c>
      <c r="E5" t="s">
        <v>1908</v>
      </c>
      <c r="F5" s="184">
        <v>14450</v>
      </c>
      <c r="G5" t="s">
        <v>1909</v>
      </c>
      <c r="I5" s="148" t="s">
        <v>1909</v>
      </c>
      <c r="J5" s="184">
        <v>142562.70000000001</v>
      </c>
      <c r="L5" s="148" t="s">
        <v>1910</v>
      </c>
      <c r="M5" s="184">
        <v>93000</v>
      </c>
    </row>
    <row r="6" spans="2:13" x14ac:dyDescent="0.25">
      <c r="B6" s="322">
        <v>45778</v>
      </c>
      <c r="C6" t="s">
        <v>1906</v>
      </c>
      <c r="D6" t="s">
        <v>1907</v>
      </c>
      <c r="E6" t="s">
        <v>1911</v>
      </c>
      <c r="F6" s="184">
        <v>15208.33</v>
      </c>
      <c r="G6" t="s">
        <v>1909</v>
      </c>
      <c r="I6" s="148" t="s">
        <v>1912</v>
      </c>
      <c r="J6" s="184">
        <v>310598.88</v>
      </c>
      <c r="L6" s="148" t="s">
        <v>1912</v>
      </c>
      <c r="M6" s="184">
        <v>319349.42</v>
      </c>
    </row>
    <row r="7" spans="2:13" x14ac:dyDescent="0.25">
      <c r="B7" s="322">
        <v>45778</v>
      </c>
      <c r="C7" t="s">
        <v>1906</v>
      </c>
      <c r="D7" t="s">
        <v>1907</v>
      </c>
      <c r="E7" t="s">
        <v>1913</v>
      </c>
      <c r="F7" s="184">
        <v>25404.27</v>
      </c>
      <c r="G7" t="s">
        <v>1909</v>
      </c>
    </row>
    <row r="8" spans="2:13" x14ac:dyDescent="0.25">
      <c r="B8" s="322">
        <v>45778</v>
      </c>
      <c r="C8" t="s">
        <v>1906</v>
      </c>
      <c r="D8" t="s">
        <v>1907</v>
      </c>
      <c r="E8" t="s">
        <v>1914</v>
      </c>
      <c r="F8" s="184">
        <v>23443.75</v>
      </c>
      <c r="G8" t="s">
        <v>1909</v>
      </c>
    </row>
    <row r="9" spans="2:13" x14ac:dyDescent="0.25">
      <c r="B9" s="322">
        <v>45778</v>
      </c>
      <c r="C9" t="s">
        <v>1906</v>
      </c>
      <c r="D9" t="s">
        <v>1907</v>
      </c>
      <c r="E9" t="s">
        <v>1911</v>
      </c>
      <c r="F9" s="184">
        <v>15208.33</v>
      </c>
      <c r="G9" t="s">
        <v>1909</v>
      </c>
    </row>
    <row r="10" spans="2:13" x14ac:dyDescent="0.25">
      <c r="B10" s="322">
        <v>45778</v>
      </c>
      <c r="C10" t="s">
        <v>1915</v>
      </c>
      <c r="D10" t="s">
        <v>1916</v>
      </c>
      <c r="E10" t="s">
        <v>1787</v>
      </c>
      <c r="F10" s="184">
        <v>5000</v>
      </c>
      <c r="G10" t="s">
        <v>1897</v>
      </c>
    </row>
    <row r="11" spans="2:13" x14ac:dyDescent="0.25">
      <c r="B11" s="322">
        <v>45778</v>
      </c>
      <c r="C11" t="s">
        <v>1915</v>
      </c>
      <c r="D11" t="s">
        <v>1917</v>
      </c>
      <c r="E11" t="s">
        <v>1918</v>
      </c>
      <c r="F11" s="184">
        <v>4000</v>
      </c>
      <c r="G11" t="s">
        <v>1897</v>
      </c>
    </row>
    <row r="12" spans="2:13" x14ac:dyDescent="0.25">
      <c r="B12" s="322">
        <v>45778</v>
      </c>
      <c r="C12" t="s">
        <v>1901</v>
      </c>
      <c r="D12" t="s">
        <v>1919</v>
      </c>
      <c r="E12" t="s">
        <v>1920</v>
      </c>
      <c r="F12" s="184">
        <v>64778.86</v>
      </c>
      <c r="G12" t="s">
        <v>1905</v>
      </c>
    </row>
    <row r="13" spans="2:13" x14ac:dyDescent="0.25">
      <c r="B13" s="322">
        <v>45778</v>
      </c>
      <c r="C13" t="s">
        <v>1901</v>
      </c>
      <c r="D13" t="s">
        <v>1919</v>
      </c>
      <c r="E13" t="s">
        <v>1920</v>
      </c>
      <c r="F13" s="184">
        <v>62609.62</v>
      </c>
      <c r="G13" t="s">
        <v>1905</v>
      </c>
    </row>
    <row r="14" spans="2:13" x14ac:dyDescent="0.25">
      <c r="B14" s="322">
        <v>45778</v>
      </c>
      <c r="C14" t="s">
        <v>1915</v>
      </c>
      <c r="D14" t="s">
        <v>1734</v>
      </c>
      <c r="E14" t="s">
        <v>1896</v>
      </c>
      <c r="F14" s="184">
        <v>48386.54</v>
      </c>
      <c r="G14" t="s">
        <v>1897</v>
      </c>
    </row>
    <row r="15" spans="2:13" x14ac:dyDescent="0.25">
      <c r="B15" s="322">
        <v>45778</v>
      </c>
      <c r="C15" t="s">
        <v>1901</v>
      </c>
      <c r="D15" t="s">
        <v>1919</v>
      </c>
      <c r="E15" t="s">
        <v>1920</v>
      </c>
      <c r="F15" s="184">
        <v>88960.94</v>
      </c>
      <c r="G15" t="s">
        <v>1905</v>
      </c>
    </row>
    <row r="16" spans="2:13" x14ac:dyDescent="0.25">
      <c r="B16" s="322">
        <v>45778</v>
      </c>
      <c r="C16" t="s">
        <v>1744</v>
      </c>
      <c r="D16" t="s">
        <v>1921</v>
      </c>
      <c r="E16" t="s">
        <v>1922</v>
      </c>
      <c r="F16" s="184">
        <v>2276.4</v>
      </c>
      <c r="G16" t="s">
        <v>1897</v>
      </c>
    </row>
    <row r="17" spans="2:7" x14ac:dyDescent="0.25">
      <c r="B17" s="322">
        <v>45778</v>
      </c>
      <c r="C17" t="s">
        <v>1923</v>
      </c>
      <c r="D17" t="s">
        <v>1924</v>
      </c>
      <c r="E17" t="s">
        <v>1925</v>
      </c>
      <c r="F17" s="184">
        <v>2000</v>
      </c>
      <c r="G17" t="s">
        <v>1897</v>
      </c>
    </row>
    <row r="18" spans="2:7" x14ac:dyDescent="0.25">
      <c r="B18" s="322">
        <v>45778</v>
      </c>
      <c r="C18" t="s">
        <v>1895</v>
      </c>
      <c r="D18" t="s">
        <v>1767</v>
      </c>
      <c r="E18" t="s">
        <v>1926</v>
      </c>
      <c r="F18" s="184">
        <v>8800</v>
      </c>
      <c r="G18" t="s">
        <v>1897</v>
      </c>
    </row>
    <row r="19" spans="2:7" x14ac:dyDescent="0.25">
      <c r="B19" s="322">
        <v>45778</v>
      </c>
      <c r="C19" t="s">
        <v>1744</v>
      </c>
      <c r="D19" t="s">
        <v>1790</v>
      </c>
      <c r="E19" t="s">
        <v>1927</v>
      </c>
      <c r="F19">
        <v>1390</v>
      </c>
      <c r="G19" t="s">
        <v>1897</v>
      </c>
    </row>
    <row r="20" spans="2:7" x14ac:dyDescent="0.25">
      <c r="B20" s="322">
        <v>45778</v>
      </c>
      <c r="C20" t="s">
        <v>1744</v>
      </c>
      <c r="D20" t="s">
        <v>1921</v>
      </c>
      <c r="E20" t="s">
        <v>1928</v>
      </c>
      <c r="F20" s="184">
        <v>2041.62</v>
      </c>
      <c r="G20" t="s">
        <v>1897</v>
      </c>
    </row>
    <row r="21" spans="2:7" x14ac:dyDescent="0.25">
      <c r="B21" s="322">
        <v>45778</v>
      </c>
      <c r="C21" t="s">
        <v>1744</v>
      </c>
      <c r="D21" t="s">
        <v>1929</v>
      </c>
      <c r="E21" t="s">
        <v>1930</v>
      </c>
      <c r="F21" s="184">
        <v>950</v>
      </c>
      <c r="G21" t="s">
        <v>1897</v>
      </c>
    </row>
    <row r="22" spans="2:7" x14ac:dyDescent="0.25">
      <c r="B22" s="322">
        <v>45778</v>
      </c>
      <c r="C22" t="s">
        <v>1744</v>
      </c>
      <c r="D22" t="s">
        <v>1921</v>
      </c>
      <c r="E22" t="s">
        <v>1928</v>
      </c>
      <c r="F22" s="184">
        <v>2041.62</v>
      </c>
      <c r="G22" t="s">
        <v>1897</v>
      </c>
    </row>
    <row r="23" spans="2:7" x14ac:dyDescent="0.25">
      <c r="B23" s="322">
        <v>45778</v>
      </c>
      <c r="C23" t="s">
        <v>1744</v>
      </c>
      <c r="D23" t="s">
        <v>1929</v>
      </c>
      <c r="E23" t="s">
        <v>1930</v>
      </c>
      <c r="F23" s="184">
        <v>950</v>
      </c>
      <c r="G23" t="s">
        <v>1897</v>
      </c>
    </row>
    <row r="24" spans="2:7" x14ac:dyDescent="0.25">
      <c r="B24" s="322">
        <v>45778</v>
      </c>
      <c r="C24" t="s">
        <v>1744</v>
      </c>
      <c r="D24" t="s">
        <v>1929</v>
      </c>
      <c r="E24" t="s">
        <v>1931</v>
      </c>
      <c r="F24" s="184">
        <v>1600</v>
      </c>
      <c r="G24" t="s">
        <v>1897</v>
      </c>
    </row>
    <row r="25" spans="2:7" x14ac:dyDescent="0.25">
      <c r="B25" s="322">
        <v>45778</v>
      </c>
      <c r="C25" t="s">
        <v>1932</v>
      </c>
      <c r="D25" t="s">
        <v>1933</v>
      </c>
      <c r="E25" t="s">
        <v>1934</v>
      </c>
      <c r="F25" s="184">
        <v>4300</v>
      </c>
      <c r="G25" t="s">
        <v>1897</v>
      </c>
    </row>
    <row r="26" spans="2:7" x14ac:dyDescent="0.25">
      <c r="B26" s="322">
        <v>45778</v>
      </c>
      <c r="C26" t="s">
        <v>1932</v>
      </c>
      <c r="D26" t="s">
        <v>1924</v>
      </c>
      <c r="E26" t="s">
        <v>1935</v>
      </c>
      <c r="F26" s="184">
        <v>800</v>
      </c>
      <c r="G26" t="s">
        <v>1897</v>
      </c>
    </row>
    <row r="27" spans="2:7" x14ac:dyDescent="0.25">
      <c r="B27" s="322">
        <v>45778</v>
      </c>
      <c r="C27" t="s">
        <v>1744</v>
      </c>
      <c r="D27" t="s">
        <v>1921</v>
      </c>
      <c r="E27" t="s">
        <v>1936</v>
      </c>
      <c r="F27" s="184">
        <v>500</v>
      </c>
      <c r="G27" t="s">
        <v>1897</v>
      </c>
    </row>
    <row r="28" spans="2:7" x14ac:dyDescent="0.25">
      <c r="B28" s="322">
        <v>45778</v>
      </c>
      <c r="C28" t="s">
        <v>1932</v>
      </c>
      <c r="D28" t="s">
        <v>1715</v>
      </c>
      <c r="E28" t="s">
        <v>1937</v>
      </c>
      <c r="F28" s="184">
        <v>12000</v>
      </c>
      <c r="G28" t="s">
        <v>1897</v>
      </c>
    </row>
    <row r="29" spans="2:7" x14ac:dyDescent="0.25">
      <c r="B29" s="322">
        <v>45778</v>
      </c>
      <c r="C29" t="s">
        <v>1938</v>
      </c>
      <c r="D29" t="s">
        <v>1915</v>
      </c>
      <c r="E29" t="s">
        <v>1939</v>
      </c>
      <c r="F29" s="184">
        <v>1500</v>
      </c>
      <c r="G29" t="s">
        <v>1897</v>
      </c>
    </row>
    <row r="30" spans="2:7" x14ac:dyDescent="0.25">
      <c r="B30" s="322">
        <v>45778</v>
      </c>
      <c r="C30" t="s">
        <v>1906</v>
      </c>
      <c r="D30" t="s">
        <v>1907</v>
      </c>
      <c r="E30" t="s">
        <v>1913</v>
      </c>
      <c r="F30" s="184">
        <v>25404.27</v>
      </c>
      <c r="G30" t="s">
        <v>1909</v>
      </c>
    </row>
    <row r="31" spans="2:7" x14ac:dyDescent="0.25">
      <c r="B31" s="322">
        <v>45778</v>
      </c>
      <c r="C31" t="s">
        <v>1906</v>
      </c>
      <c r="D31" t="s">
        <v>1907</v>
      </c>
      <c r="E31" t="s">
        <v>1914</v>
      </c>
      <c r="F31" s="184">
        <v>23443.75</v>
      </c>
      <c r="G31" t="s">
        <v>1909</v>
      </c>
    </row>
    <row r="32" spans="2:7" x14ac:dyDescent="0.25">
      <c r="B32" s="322">
        <v>45778</v>
      </c>
      <c r="C32" t="s">
        <v>1901</v>
      </c>
      <c r="D32" t="s">
        <v>1940</v>
      </c>
      <c r="E32" t="s">
        <v>1941</v>
      </c>
      <c r="F32" s="184">
        <v>93000</v>
      </c>
      <c r="G32" t="s">
        <v>1910</v>
      </c>
    </row>
    <row r="33" spans="2:7" x14ac:dyDescent="0.25">
      <c r="B33" s="322">
        <v>45778</v>
      </c>
      <c r="C33" t="s">
        <v>1901</v>
      </c>
      <c r="D33" t="s">
        <v>1940</v>
      </c>
      <c r="E33" t="s">
        <v>2200</v>
      </c>
      <c r="F33" s="184">
        <v>10000</v>
      </c>
      <c r="G33" t="s">
        <v>1905</v>
      </c>
    </row>
  </sheetData>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85CEC-EBDF-4ACC-ABDD-BD509B99F070}">
  <sheetPr>
    <tabColor rgb="FFC00000"/>
  </sheetPr>
  <dimension ref="A1:T74"/>
  <sheetViews>
    <sheetView topLeftCell="A2" workbookViewId="0">
      <selection activeCell="B3" sqref="B3"/>
    </sheetView>
  </sheetViews>
  <sheetFormatPr baseColWidth="10" defaultColWidth="11.42578125" defaultRowHeight="15" x14ac:dyDescent="0.25"/>
  <cols>
    <col min="1" max="1" width="10.7109375" bestFit="1" customWidth="1"/>
    <col min="2" max="2" width="14" bestFit="1" customWidth="1"/>
    <col min="3" max="3" width="16" bestFit="1" customWidth="1"/>
    <col min="4" max="4" width="15.85546875" bestFit="1" customWidth="1"/>
    <col min="5" max="5" width="19.28515625" customWidth="1"/>
    <col min="6" max="7" width="10.85546875" bestFit="1" customWidth="1"/>
    <col min="8" max="8" width="12.7109375" bestFit="1" customWidth="1"/>
    <col min="9" max="9" width="7.28515625" customWidth="1"/>
    <col min="10" max="10" width="29" bestFit="1" customWidth="1"/>
    <col min="11" max="11" width="22.42578125" bestFit="1" customWidth="1"/>
    <col min="12" max="12" width="6.85546875" customWidth="1"/>
    <col min="13" max="13" width="18.5703125" bestFit="1" customWidth="1"/>
    <col min="14" max="14" width="22.42578125" bestFit="1" customWidth="1"/>
    <col min="15" max="15" width="3.28515625" customWidth="1"/>
    <col min="16" max="16" width="20.140625" bestFit="1" customWidth="1"/>
    <col min="17" max="17" width="22.42578125" bestFit="1" customWidth="1"/>
    <col min="18" max="18" width="6.42578125" customWidth="1"/>
    <col min="19" max="19" width="28.140625" bestFit="1" customWidth="1"/>
    <col min="20" max="33" width="22.42578125" bestFit="1" customWidth="1"/>
    <col min="34" max="34" width="12.5703125" bestFit="1" customWidth="1"/>
  </cols>
  <sheetData>
    <row r="1" spans="1:20" ht="30" x14ac:dyDescent="0.25">
      <c r="A1" s="309" t="s">
        <v>1150</v>
      </c>
      <c r="B1" s="309" t="s">
        <v>1891</v>
      </c>
      <c r="C1" s="309" t="s">
        <v>1892</v>
      </c>
      <c r="D1" s="309" t="s">
        <v>1145</v>
      </c>
      <c r="E1" s="309" t="s">
        <v>1893</v>
      </c>
      <c r="F1" s="309" t="s">
        <v>1894</v>
      </c>
      <c r="G1" s="309" t="s">
        <v>1942</v>
      </c>
      <c r="H1" s="309" t="s">
        <v>1943</v>
      </c>
      <c r="J1" s="183" t="s">
        <v>1894</v>
      </c>
      <c r="K1" t="s">
        <v>1944</v>
      </c>
    </row>
    <row r="2" spans="1:20" ht="30" x14ac:dyDescent="0.25">
      <c r="A2" s="310">
        <v>45777</v>
      </c>
      <c r="B2" s="330" t="s">
        <v>2015</v>
      </c>
      <c r="C2" s="330" t="s">
        <v>1973</v>
      </c>
      <c r="D2" s="330" t="s">
        <v>2201</v>
      </c>
      <c r="E2" s="331">
        <v>600</v>
      </c>
      <c r="F2" s="330" t="s">
        <v>1897</v>
      </c>
      <c r="G2" s="330" t="s">
        <v>1953</v>
      </c>
      <c r="H2" s="330" t="s">
        <v>1170</v>
      </c>
      <c r="J2" t="s">
        <v>1947</v>
      </c>
      <c r="M2" s="183" t="s">
        <v>1894</v>
      </c>
      <c r="N2" t="s">
        <v>1905</v>
      </c>
      <c r="P2" s="183" t="s">
        <v>1894</v>
      </c>
      <c r="Q2" t="s">
        <v>1948</v>
      </c>
      <c r="S2" s="183" t="s">
        <v>1894</v>
      </c>
      <c r="T2" t="s">
        <v>384</v>
      </c>
    </row>
    <row r="3" spans="1:20" ht="45" x14ac:dyDescent="0.25">
      <c r="A3" s="310">
        <v>45773</v>
      </c>
      <c r="B3" s="311" t="s">
        <v>1945</v>
      </c>
      <c r="C3" s="311" t="s">
        <v>1946</v>
      </c>
      <c r="D3" s="311" t="s">
        <v>1166</v>
      </c>
      <c r="E3" s="312">
        <v>2000</v>
      </c>
      <c r="F3" s="311" t="s">
        <v>1897</v>
      </c>
      <c r="G3" s="311" t="s">
        <v>1167</v>
      </c>
      <c r="H3" s="311" t="s">
        <v>1168</v>
      </c>
      <c r="J3" s="183" t="s">
        <v>1900</v>
      </c>
      <c r="K3" s="183" t="s">
        <v>1949</v>
      </c>
    </row>
    <row r="4" spans="1:20" ht="45" x14ac:dyDescent="0.25">
      <c r="A4" s="310">
        <v>45773</v>
      </c>
      <c r="B4" s="311" t="s">
        <v>1945</v>
      </c>
      <c r="C4" s="311" t="s">
        <v>1946</v>
      </c>
      <c r="D4" s="311" t="s">
        <v>1166</v>
      </c>
      <c r="E4" s="312">
        <v>2000</v>
      </c>
      <c r="F4" s="311" t="s">
        <v>1897</v>
      </c>
      <c r="G4" s="311" t="s">
        <v>1167</v>
      </c>
      <c r="H4" s="311" t="s">
        <v>1165</v>
      </c>
      <c r="J4" s="183" t="s">
        <v>1954</v>
      </c>
      <c r="K4" t="s">
        <v>1955</v>
      </c>
      <c r="M4" s="183" t="s">
        <v>1900</v>
      </c>
      <c r="N4" s="183" t="s">
        <v>1949</v>
      </c>
      <c r="P4" s="183" t="s">
        <v>1900</v>
      </c>
      <c r="Q4" s="183" t="s">
        <v>1949</v>
      </c>
      <c r="S4" s="183" t="s">
        <v>1956</v>
      </c>
      <c r="T4" s="183" t="s">
        <v>1949</v>
      </c>
    </row>
    <row r="5" spans="1:20" ht="30" x14ac:dyDescent="0.25">
      <c r="A5" s="310">
        <v>45772</v>
      </c>
      <c r="B5" s="311" t="s">
        <v>1950</v>
      </c>
      <c r="C5" s="311" t="s">
        <v>1951</v>
      </c>
      <c r="D5" s="311" t="s">
        <v>1952</v>
      </c>
      <c r="E5" s="312">
        <v>3600</v>
      </c>
      <c r="F5" s="311" t="s">
        <v>1897</v>
      </c>
      <c r="G5" s="311" t="s">
        <v>1953</v>
      </c>
      <c r="H5" s="311" t="s">
        <v>1732</v>
      </c>
      <c r="J5" s="148" t="s">
        <v>1950</v>
      </c>
      <c r="K5" s="318">
        <v>24029.289999999997</v>
      </c>
      <c r="M5" s="183" t="s">
        <v>1957</v>
      </c>
      <c r="N5" t="s">
        <v>1955</v>
      </c>
      <c r="P5" s="183" t="s">
        <v>1958</v>
      </c>
      <c r="Q5" t="s">
        <v>1955</v>
      </c>
      <c r="S5" s="183" t="s">
        <v>384</v>
      </c>
      <c r="T5" t="s">
        <v>1955</v>
      </c>
    </row>
    <row r="6" spans="1:20" ht="45" x14ac:dyDescent="0.25">
      <c r="A6" s="310">
        <v>45773</v>
      </c>
      <c r="B6" s="311" t="s">
        <v>1906</v>
      </c>
      <c r="C6" s="311" t="s">
        <v>1907</v>
      </c>
      <c r="D6" s="311" t="s">
        <v>1908</v>
      </c>
      <c r="E6" s="312">
        <v>14450</v>
      </c>
      <c r="F6" s="311" t="s">
        <v>1909</v>
      </c>
      <c r="G6" s="311" t="s">
        <v>1167</v>
      </c>
      <c r="H6" s="311" t="s">
        <v>1170</v>
      </c>
      <c r="J6" s="148" t="s">
        <v>1906</v>
      </c>
      <c r="K6" s="318">
        <v>78506.350000000006</v>
      </c>
      <c r="M6" s="148" t="s">
        <v>1961</v>
      </c>
      <c r="N6" s="318">
        <v>401.62</v>
      </c>
      <c r="P6" s="148" t="s">
        <v>1962</v>
      </c>
      <c r="Q6" s="184">
        <v>24840</v>
      </c>
      <c r="S6" s="148" t="s">
        <v>1963</v>
      </c>
      <c r="T6" s="184">
        <v>2500000</v>
      </c>
    </row>
    <row r="7" spans="1:20" ht="30" x14ac:dyDescent="0.25">
      <c r="A7" s="310">
        <v>45772</v>
      </c>
      <c r="B7" s="311" t="s">
        <v>1959</v>
      </c>
      <c r="C7" s="311" t="s">
        <v>1960</v>
      </c>
      <c r="D7" s="311" t="s">
        <v>1952</v>
      </c>
      <c r="E7" s="312">
        <v>1150</v>
      </c>
      <c r="F7" s="311" t="s">
        <v>1897</v>
      </c>
      <c r="G7" s="311" t="s">
        <v>1953</v>
      </c>
      <c r="H7" s="311" t="s">
        <v>1732</v>
      </c>
      <c r="J7" s="148" t="s">
        <v>1945</v>
      </c>
      <c r="K7" s="318">
        <v>30275.4</v>
      </c>
      <c r="M7" s="148" t="s">
        <v>1965</v>
      </c>
      <c r="N7" s="318">
        <v>23857.53</v>
      </c>
      <c r="P7" s="148" t="s">
        <v>1966</v>
      </c>
      <c r="Q7" s="184">
        <v>12309.6</v>
      </c>
      <c r="S7" s="148" t="s">
        <v>1967</v>
      </c>
      <c r="T7" s="184">
        <v>3511000</v>
      </c>
    </row>
    <row r="8" spans="1:20" ht="30" x14ac:dyDescent="0.25">
      <c r="A8" s="310">
        <v>45772</v>
      </c>
      <c r="B8" s="311" t="s">
        <v>1959</v>
      </c>
      <c r="C8" s="311" t="s">
        <v>1964</v>
      </c>
      <c r="D8" s="311" t="s">
        <v>1936</v>
      </c>
      <c r="E8" s="312">
        <v>435</v>
      </c>
      <c r="F8" s="311" t="s">
        <v>1897</v>
      </c>
      <c r="G8" s="311" t="s">
        <v>1953</v>
      </c>
      <c r="H8" s="311" t="s">
        <v>1727</v>
      </c>
      <c r="J8" s="148" t="s">
        <v>1923</v>
      </c>
      <c r="K8" s="318">
        <v>1918.2</v>
      </c>
      <c r="M8" s="148" t="s">
        <v>1920</v>
      </c>
      <c r="N8" s="318">
        <v>185349.41999999998</v>
      </c>
      <c r="P8" s="148" t="s">
        <v>1968</v>
      </c>
      <c r="Q8" s="184">
        <v>2336790</v>
      </c>
      <c r="S8" s="148" t="s">
        <v>1969</v>
      </c>
      <c r="T8" s="184">
        <v>772000</v>
      </c>
    </row>
    <row r="9" spans="1:20" ht="30" x14ac:dyDescent="0.25">
      <c r="A9" s="310">
        <v>45771</v>
      </c>
      <c r="B9" s="311" t="s">
        <v>1744</v>
      </c>
      <c r="C9" s="311" t="s">
        <v>1921</v>
      </c>
      <c r="D9" s="311" t="s">
        <v>1922</v>
      </c>
      <c r="E9" s="312">
        <v>2276.4</v>
      </c>
      <c r="F9" s="311" t="s">
        <v>1897</v>
      </c>
      <c r="G9" s="311" t="s">
        <v>1953</v>
      </c>
      <c r="H9" s="311" t="s">
        <v>1170</v>
      </c>
      <c r="J9" s="148" t="s">
        <v>1959</v>
      </c>
      <c r="K9" s="318">
        <v>26915</v>
      </c>
      <c r="M9" s="148" t="s">
        <v>1912</v>
      </c>
      <c r="N9" s="318">
        <v>209608.56999999998</v>
      </c>
      <c r="P9" s="148" t="s">
        <v>1970</v>
      </c>
      <c r="Q9" s="184">
        <v>20277.27</v>
      </c>
      <c r="S9" s="148" t="s">
        <v>1971</v>
      </c>
      <c r="T9" s="184">
        <v>832276.75</v>
      </c>
    </row>
    <row r="10" spans="1:20" ht="45" x14ac:dyDescent="0.25">
      <c r="A10" s="310">
        <v>45771</v>
      </c>
      <c r="B10" s="311" t="s">
        <v>1906</v>
      </c>
      <c r="C10" s="311" t="s">
        <v>1907</v>
      </c>
      <c r="D10" s="311" t="s">
        <v>1911</v>
      </c>
      <c r="E10" s="312">
        <v>15208.33</v>
      </c>
      <c r="F10" s="311" t="s">
        <v>1909</v>
      </c>
      <c r="G10" s="311" t="s">
        <v>1167</v>
      </c>
      <c r="H10" s="311" t="s">
        <v>1170</v>
      </c>
      <c r="J10" s="148" t="s">
        <v>1975</v>
      </c>
      <c r="K10" s="318">
        <v>7285</v>
      </c>
      <c r="P10" s="148" t="s">
        <v>1912</v>
      </c>
      <c r="Q10" s="184">
        <v>2394216.87</v>
      </c>
      <c r="S10" s="148" t="s">
        <v>1912</v>
      </c>
      <c r="T10" s="184">
        <v>7615276.75</v>
      </c>
    </row>
    <row r="11" spans="1:20" ht="30" x14ac:dyDescent="0.25">
      <c r="A11" s="310">
        <v>45771</v>
      </c>
      <c r="B11" s="311" t="s">
        <v>1972</v>
      </c>
      <c r="C11" s="311" t="s">
        <v>1973</v>
      </c>
      <c r="D11" s="311" t="s">
        <v>1974</v>
      </c>
      <c r="E11" s="312">
        <v>1591</v>
      </c>
      <c r="F11" s="311" t="s">
        <v>1897</v>
      </c>
      <c r="G11" s="311" t="s">
        <v>1953</v>
      </c>
      <c r="H11" s="311" t="s">
        <v>1170</v>
      </c>
      <c r="J11" s="148" t="s">
        <v>1744</v>
      </c>
      <c r="K11" s="318">
        <v>9051.0300000000007</v>
      </c>
    </row>
    <row r="12" spans="1:20" ht="30" x14ac:dyDescent="0.25">
      <c r="A12" s="310">
        <v>45771</v>
      </c>
      <c r="B12" s="311" t="s">
        <v>1950</v>
      </c>
      <c r="C12" s="311" t="s">
        <v>1976</v>
      </c>
      <c r="D12" s="311" t="s">
        <v>1936</v>
      </c>
      <c r="E12" s="312">
        <v>4548.3</v>
      </c>
      <c r="F12" s="311" t="s">
        <v>1897</v>
      </c>
      <c r="G12" s="311" t="s">
        <v>1953</v>
      </c>
      <c r="H12" s="311" t="s">
        <v>1727</v>
      </c>
      <c r="J12" s="148" t="s">
        <v>1978</v>
      </c>
      <c r="K12" s="318">
        <v>4903.8099999999995</v>
      </c>
      <c r="M12" s="183" t="s">
        <v>1894</v>
      </c>
      <c r="N12" t="s">
        <v>1897</v>
      </c>
    </row>
    <row r="13" spans="1:20" ht="30" x14ac:dyDescent="0.25">
      <c r="A13" s="310">
        <v>45771</v>
      </c>
      <c r="B13" s="311" t="s">
        <v>1959</v>
      </c>
      <c r="C13" s="311" t="s">
        <v>1977</v>
      </c>
      <c r="D13" s="311" t="s">
        <v>1936</v>
      </c>
      <c r="E13" s="312">
        <v>550</v>
      </c>
      <c r="F13" s="311" t="s">
        <v>1897</v>
      </c>
      <c r="G13" s="311" t="s">
        <v>1953</v>
      </c>
      <c r="H13" s="311" t="s">
        <v>1727</v>
      </c>
      <c r="J13" s="148" t="s">
        <v>1932</v>
      </c>
      <c r="K13" s="318">
        <v>8112</v>
      </c>
    </row>
    <row r="14" spans="1:20" ht="45" x14ac:dyDescent="0.25">
      <c r="A14" s="310">
        <v>45770</v>
      </c>
      <c r="B14" s="311" t="s">
        <v>1901</v>
      </c>
      <c r="C14" s="311" t="s">
        <v>1919</v>
      </c>
      <c r="D14" s="311" t="s">
        <v>1920</v>
      </c>
      <c r="E14" s="312">
        <v>64778.86</v>
      </c>
      <c r="F14" s="311" t="s">
        <v>1905</v>
      </c>
      <c r="G14" s="311" t="s">
        <v>1167</v>
      </c>
      <c r="H14" s="311" t="s">
        <v>1170</v>
      </c>
      <c r="J14" s="148" t="s">
        <v>1972</v>
      </c>
      <c r="K14" s="318">
        <v>57568.65</v>
      </c>
      <c r="M14" s="183" t="s">
        <v>1900</v>
      </c>
      <c r="N14" s="183" t="s">
        <v>1949</v>
      </c>
    </row>
    <row r="15" spans="1:20" ht="30" x14ac:dyDescent="0.25">
      <c r="A15" s="310">
        <v>45770</v>
      </c>
      <c r="B15" s="311" t="s">
        <v>1959</v>
      </c>
      <c r="C15" s="311" t="s">
        <v>1977</v>
      </c>
      <c r="D15" s="311" t="s">
        <v>1979</v>
      </c>
      <c r="E15" s="312">
        <v>630</v>
      </c>
      <c r="F15" s="311" t="s">
        <v>1897</v>
      </c>
      <c r="G15" s="311" t="s">
        <v>1953</v>
      </c>
      <c r="H15" s="311" t="s">
        <v>1727</v>
      </c>
      <c r="J15" s="148" t="s">
        <v>1912</v>
      </c>
      <c r="K15" s="318">
        <v>248564.73</v>
      </c>
      <c r="M15" s="183" t="s">
        <v>1980</v>
      </c>
      <c r="N15" t="s">
        <v>1955</v>
      </c>
    </row>
    <row r="16" spans="1:20" ht="30" x14ac:dyDescent="0.25">
      <c r="A16" s="310">
        <v>45769</v>
      </c>
      <c r="B16" s="311" t="s">
        <v>1959</v>
      </c>
      <c r="C16" s="311" t="s">
        <v>1964</v>
      </c>
      <c r="D16" s="311" t="s">
        <v>1936</v>
      </c>
      <c r="E16" s="312">
        <v>450</v>
      </c>
      <c r="F16" s="311" t="s">
        <v>1897</v>
      </c>
      <c r="G16" s="311" t="s">
        <v>1953</v>
      </c>
      <c r="H16" s="311" t="s">
        <v>1727</v>
      </c>
      <c r="M16" s="148" t="s">
        <v>1981</v>
      </c>
      <c r="N16" s="184">
        <v>7500</v>
      </c>
    </row>
    <row r="17" spans="1:14" ht="30" x14ac:dyDescent="0.25">
      <c r="A17" s="310">
        <v>45769</v>
      </c>
      <c r="B17" s="311" t="s">
        <v>1950</v>
      </c>
      <c r="C17" s="311" t="s">
        <v>1976</v>
      </c>
      <c r="D17" s="311" t="s">
        <v>1936</v>
      </c>
      <c r="E17" s="312">
        <v>395</v>
      </c>
      <c r="F17" s="311" t="s">
        <v>1897</v>
      </c>
      <c r="G17" s="311" t="s">
        <v>1953</v>
      </c>
      <c r="H17" s="311" t="s">
        <v>1727</v>
      </c>
      <c r="M17" s="148" t="s">
        <v>1912</v>
      </c>
      <c r="N17" s="184">
        <v>7500</v>
      </c>
    </row>
    <row r="18" spans="1:14" ht="45" x14ac:dyDescent="0.25">
      <c r="A18" s="310">
        <v>45768</v>
      </c>
      <c r="B18" s="311" t="s">
        <v>1901</v>
      </c>
      <c r="C18" s="311" t="s">
        <v>1919</v>
      </c>
      <c r="D18" s="311" t="s">
        <v>1920</v>
      </c>
      <c r="E18" s="312">
        <v>62609.62</v>
      </c>
      <c r="F18" s="311" t="s">
        <v>1905</v>
      </c>
      <c r="G18" s="311" t="s">
        <v>1167</v>
      </c>
      <c r="H18" s="311" t="s">
        <v>1170</v>
      </c>
    </row>
    <row r="19" spans="1:14" ht="30" x14ac:dyDescent="0.25">
      <c r="A19" s="310">
        <v>45768</v>
      </c>
      <c r="B19" s="311" t="s">
        <v>1950</v>
      </c>
      <c r="C19" s="311" t="s">
        <v>1982</v>
      </c>
      <c r="D19" s="311" t="s">
        <v>1983</v>
      </c>
      <c r="E19" s="312">
        <v>1154</v>
      </c>
      <c r="F19" s="311" t="s">
        <v>1897</v>
      </c>
      <c r="G19" s="311" t="s">
        <v>1953</v>
      </c>
      <c r="H19" s="311" t="s">
        <v>1727</v>
      </c>
    </row>
    <row r="20" spans="1:14" ht="30" x14ac:dyDescent="0.25">
      <c r="A20" s="310">
        <v>45768</v>
      </c>
      <c r="B20" s="311" t="s">
        <v>1972</v>
      </c>
      <c r="C20" s="311" t="s">
        <v>1984</v>
      </c>
      <c r="D20" s="311" t="s">
        <v>1985</v>
      </c>
      <c r="E20" s="312">
        <v>280</v>
      </c>
      <c r="F20" s="311" t="s">
        <v>1897</v>
      </c>
      <c r="G20" s="311" t="s">
        <v>1953</v>
      </c>
      <c r="H20" s="311" t="s">
        <v>1727</v>
      </c>
    </row>
    <row r="21" spans="1:14" ht="45" x14ac:dyDescent="0.25">
      <c r="A21" s="310">
        <v>45768</v>
      </c>
      <c r="B21" s="311" t="s">
        <v>1901</v>
      </c>
      <c r="C21" s="311" t="s">
        <v>1986</v>
      </c>
      <c r="D21" s="311" t="s">
        <v>1961</v>
      </c>
      <c r="E21" s="312">
        <v>401.62</v>
      </c>
      <c r="F21" s="311" t="s">
        <v>1905</v>
      </c>
      <c r="G21" s="311" t="s">
        <v>1167</v>
      </c>
      <c r="H21" s="311" t="s">
        <v>1170</v>
      </c>
    </row>
    <row r="22" spans="1:14" ht="30" x14ac:dyDescent="0.25">
      <c r="A22" s="310">
        <v>45768</v>
      </c>
      <c r="B22" s="311" t="s">
        <v>1972</v>
      </c>
      <c r="C22" s="311" t="s">
        <v>1984</v>
      </c>
      <c r="D22" s="311" t="s">
        <v>1987</v>
      </c>
      <c r="E22" s="312">
        <v>880</v>
      </c>
      <c r="F22" s="311" t="s">
        <v>1897</v>
      </c>
      <c r="G22" s="311" t="s">
        <v>1953</v>
      </c>
      <c r="H22" s="311" t="s">
        <v>1727</v>
      </c>
    </row>
    <row r="23" spans="1:14" ht="30" x14ac:dyDescent="0.25">
      <c r="A23" s="310">
        <v>45767</v>
      </c>
      <c r="B23" s="311" t="s">
        <v>1744</v>
      </c>
      <c r="C23" s="311" t="s">
        <v>1790</v>
      </c>
      <c r="D23" s="311" t="s">
        <v>1927</v>
      </c>
      <c r="E23" s="312">
        <v>1390</v>
      </c>
      <c r="F23" s="311" t="s">
        <v>1897</v>
      </c>
      <c r="G23" s="311" t="s">
        <v>1953</v>
      </c>
      <c r="H23" s="311" t="s">
        <v>1161</v>
      </c>
    </row>
    <row r="24" spans="1:14" ht="30" x14ac:dyDescent="0.25">
      <c r="A24" s="310">
        <v>45767</v>
      </c>
      <c r="B24" s="311" t="s">
        <v>1923</v>
      </c>
      <c r="C24" s="311" t="s">
        <v>1988</v>
      </c>
      <c r="D24" s="311" t="s">
        <v>1793</v>
      </c>
      <c r="E24" s="312">
        <v>1318.2</v>
      </c>
      <c r="F24" s="311" t="s">
        <v>1897</v>
      </c>
      <c r="G24" s="311" t="s">
        <v>1953</v>
      </c>
      <c r="H24" s="311" t="s">
        <v>1170</v>
      </c>
    </row>
    <row r="25" spans="1:14" ht="30" x14ac:dyDescent="0.25">
      <c r="A25" s="310">
        <v>45767</v>
      </c>
      <c r="B25" s="311" t="s">
        <v>1923</v>
      </c>
      <c r="C25" s="311" t="s">
        <v>1988</v>
      </c>
      <c r="D25" s="311" t="s">
        <v>1989</v>
      </c>
      <c r="E25" s="312">
        <v>600</v>
      </c>
      <c r="F25" s="311" t="s">
        <v>1897</v>
      </c>
      <c r="G25" s="311" t="s">
        <v>1953</v>
      </c>
      <c r="H25" s="311" t="s">
        <v>1170</v>
      </c>
    </row>
    <row r="26" spans="1:14" ht="30" x14ac:dyDescent="0.25">
      <c r="A26" s="310">
        <v>45766</v>
      </c>
      <c r="B26" s="311" t="s">
        <v>1945</v>
      </c>
      <c r="C26" s="311" t="s">
        <v>1988</v>
      </c>
      <c r="D26" s="311" t="s">
        <v>1796</v>
      </c>
      <c r="E26" s="312">
        <v>1199.4000000000001</v>
      </c>
      <c r="F26" s="311" t="s">
        <v>1897</v>
      </c>
      <c r="G26" s="311" t="s">
        <v>1953</v>
      </c>
      <c r="H26" s="311" t="s">
        <v>1170</v>
      </c>
      <c r="J26">
        <f>10*60</f>
        <v>600</v>
      </c>
    </row>
    <row r="27" spans="1:14" ht="30" x14ac:dyDescent="0.25">
      <c r="A27" s="310">
        <v>45766</v>
      </c>
      <c r="B27" s="311" t="s">
        <v>1950</v>
      </c>
      <c r="C27" s="311" t="s">
        <v>1951</v>
      </c>
      <c r="D27" s="311" t="s">
        <v>1990</v>
      </c>
      <c r="E27" s="312">
        <v>2050</v>
      </c>
      <c r="F27" s="311" t="s">
        <v>1897</v>
      </c>
      <c r="G27" s="311" t="s">
        <v>1953</v>
      </c>
      <c r="H27" s="311" t="s">
        <v>1170</v>
      </c>
    </row>
    <row r="28" spans="1:14" ht="30" x14ac:dyDescent="0.25">
      <c r="A28" s="310">
        <v>45766</v>
      </c>
      <c r="B28" s="311" t="s">
        <v>1959</v>
      </c>
      <c r="C28" s="311" t="s">
        <v>1991</v>
      </c>
      <c r="D28" s="311" t="s">
        <v>1981</v>
      </c>
      <c r="E28" s="312">
        <v>3000</v>
      </c>
      <c r="F28" s="311" t="s">
        <v>1897</v>
      </c>
      <c r="G28" s="311" t="s">
        <v>1992</v>
      </c>
      <c r="H28" s="311" t="s">
        <v>1727</v>
      </c>
    </row>
    <row r="29" spans="1:14" ht="30" x14ac:dyDescent="0.25">
      <c r="A29" s="310">
        <v>45766</v>
      </c>
      <c r="B29" s="311" t="s">
        <v>1959</v>
      </c>
      <c r="C29" s="311" t="s">
        <v>1991</v>
      </c>
      <c r="D29" s="311" t="s">
        <v>1981</v>
      </c>
      <c r="E29" s="312">
        <v>2000</v>
      </c>
      <c r="F29" s="311" t="s">
        <v>1897</v>
      </c>
      <c r="G29" s="311" t="s">
        <v>1992</v>
      </c>
      <c r="H29" s="311" t="s">
        <v>1727</v>
      </c>
    </row>
    <row r="30" spans="1:14" ht="30" x14ac:dyDescent="0.25">
      <c r="A30" s="310">
        <v>45765</v>
      </c>
      <c r="B30" s="311" t="s">
        <v>1972</v>
      </c>
      <c r="C30" s="311" t="s">
        <v>1973</v>
      </c>
      <c r="D30" s="311" t="s">
        <v>1787</v>
      </c>
      <c r="E30" s="312">
        <v>4932.1099999999997</v>
      </c>
      <c r="F30" s="311" t="s">
        <v>1897</v>
      </c>
      <c r="G30" s="311" t="s">
        <v>1953</v>
      </c>
      <c r="H30" s="311" t="s">
        <v>1170</v>
      </c>
    </row>
    <row r="31" spans="1:14" ht="45" x14ac:dyDescent="0.25">
      <c r="A31" s="310">
        <v>45763</v>
      </c>
      <c r="B31" s="311" t="s">
        <v>1901</v>
      </c>
      <c r="C31" s="311" t="s">
        <v>1919</v>
      </c>
      <c r="D31" s="311" t="s">
        <v>1920</v>
      </c>
      <c r="E31" s="312">
        <v>57960.94</v>
      </c>
      <c r="F31" s="311" t="s">
        <v>1905</v>
      </c>
      <c r="G31" s="311" t="s">
        <v>1167</v>
      </c>
      <c r="H31" s="311" t="s">
        <v>1170</v>
      </c>
    </row>
    <row r="32" spans="1:14" ht="30" x14ac:dyDescent="0.25">
      <c r="A32" s="310">
        <v>45764</v>
      </c>
      <c r="B32" s="311" t="s">
        <v>1950</v>
      </c>
      <c r="C32" s="311" t="s">
        <v>1993</v>
      </c>
      <c r="D32" s="311" t="s">
        <v>1994</v>
      </c>
      <c r="E32" s="312">
        <v>1253.5</v>
      </c>
      <c r="F32" s="311" t="s">
        <v>1897</v>
      </c>
      <c r="G32" s="311" t="s">
        <v>1953</v>
      </c>
      <c r="H32" s="311" t="s">
        <v>1727</v>
      </c>
    </row>
    <row r="33" spans="1:8" ht="30" x14ac:dyDescent="0.25">
      <c r="A33" s="310">
        <v>45763</v>
      </c>
      <c r="B33" s="311" t="s">
        <v>1744</v>
      </c>
      <c r="C33" s="311" t="s">
        <v>1921</v>
      </c>
      <c r="D33" s="311" t="s">
        <v>1928</v>
      </c>
      <c r="E33" s="312">
        <v>2041.62</v>
      </c>
      <c r="F33" s="311" t="s">
        <v>1897</v>
      </c>
      <c r="G33" s="311" t="s">
        <v>1953</v>
      </c>
      <c r="H33" s="311" t="s">
        <v>1170</v>
      </c>
    </row>
    <row r="34" spans="1:8" ht="30" x14ac:dyDescent="0.25">
      <c r="A34" s="310">
        <v>45763</v>
      </c>
      <c r="B34" s="311" t="s">
        <v>1932</v>
      </c>
      <c r="C34" s="311" t="s">
        <v>1995</v>
      </c>
      <c r="D34" s="311" t="s">
        <v>1996</v>
      </c>
      <c r="E34" s="312">
        <v>4662</v>
      </c>
      <c r="F34" s="311" t="s">
        <v>1897</v>
      </c>
      <c r="G34" s="311" t="s">
        <v>1953</v>
      </c>
      <c r="H34" s="311" t="s">
        <v>1170</v>
      </c>
    </row>
    <row r="35" spans="1:8" ht="45" x14ac:dyDescent="0.25">
      <c r="A35" s="310">
        <v>45762</v>
      </c>
      <c r="B35" s="311" t="s">
        <v>1901</v>
      </c>
      <c r="C35" s="311" t="s">
        <v>1997</v>
      </c>
      <c r="D35" s="311" t="s">
        <v>1965</v>
      </c>
      <c r="E35" s="312">
        <v>15710.53</v>
      </c>
      <c r="F35" s="311" t="s">
        <v>1905</v>
      </c>
      <c r="G35" s="311" t="s">
        <v>1167</v>
      </c>
      <c r="H35" s="311" t="s">
        <v>1170</v>
      </c>
    </row>
    <row r="36" spans="1:8" ht="30" x14ac:dyDescent="0.25">
      <c r="A36" s="310">
        <v>45762</v>
      </c>
      <c r="B36" s="311" t="s">
        <v>1744</v>
      </c>
      <c r="C36" s="311" t="s">
        <v>1929</v>
      </c>
      <c r="D36" s="311" t="s">
        <v>1930</v>
      </c>
      <c r="E36" s="312">
        <v>950</v>
      </c>
      <c r="F36" s="311" t="s">
        <v>1897</v>
      </c>
      <c r="G36" s="311" t="s">
        <v>1953</v>
      </c>
      <c r="H36" s="311" t="s">
        <v>1727</v>
      </c>
    </row>
    <row r="37" spans="1:8" ht="45" x14ac:dyDescent="0.25">
      <c r="A37" s="310">
        <v>45762</v>
      </c>
      <c r="B37" s="311" t="s">
        <v>1972</v>
      </c>
      <c r="C37" s="311" t="s">
        <v>1734</v>
      </c>
      <c r="D37" s="311" t="s">
        <v>1927</v>
      </c>
      <c r="E37" s="312">
        <v>48386.54</v>
      </c>
      <c r="F37" s="311" t="s">
        <v>1897</v>
      </c>
      <c r="G37" s="311" t="s">
        <v>1167</v>
      </c>
      <c r="H37" s="311" t="s">
        <v>1170</v>
      </c>
    </row>
    <row r="38" spans="1:8" ht="30" x14ac:dyDescent="0.25">
      <c r="A38" s="310">
        <v>45761</v>
      </c>
      <c r="B38" s="311" t="s">
        <v>1950</v>
      </c>
      <c r="C38" s="311" t="s">
        <v>1982</v>
      </c>
      <c r="D38" s="311" t="s">
        <v>1936</v>
      </c>
      <c r="E38" s="312">
        <v>1144</v>
      </c>
      <c r="F38" s="311" t="s">
        <v>1897</v>
      </c>
      <c r="G38" s="311" t="s">
        <v>1953</v>
      </c>
      <c r="H38" s="311" t="s">
        <v>1727</v>
      </c>
    </row>
    <row r="39" spans="1:8" ht="45" x14ac:dyDescent="0.25">
      <c r="A39" s="310">
        <v>45761</v>
      </c>
      <c r="B39" s="311" t="s">
        <v>1959</v>
      </c>
      <c r="C39" s="311" t="s">
        <v>1986</v>
      </c>
      <c r="D39" s="311" t="s">
        <v>1998</v>
      </c>
      <c r="E39" s="312">
        <v>10000</v>
      </c>
      <c r="F39" s="311" t="s">
        <v>1897</v>
      </c>
      <c r="G39" s="311" t="s">
        <v>1167</v>
      </c>
      <c r="H39" s="311" t="s">
        <v>1170</v>
      </c>
    </row>
    <row r="40" spans="1:8" ht="30" x14ac:dyDescent="0.25">
      <c r="A40" s="310">
        <v>45760</v>
      </c>
      <c r="B40" s="311" t="s">
        <v>1950</v>
      </c>
      <c r="C40" s="311" t="s">
        <v>1999</v>
      </c>
      <c r="D40" s="311" t="s">
        <v>1983</v>
      </c>
      <c r="E40" s="312">
        <v>6035.65</v>
      </c>
      <c r="F40" s="311" t="s">
        <v>1897</v>
      </c>
      <c r="G40" s="311" t="s">
        <v>1953</v>
      </c>
      <c r="H40" s="311" t="s">
        <v>1170</v>
      </c>
    </row>
    <row r="41" spans="1:8" ht="30" x14ac:dyDescent="0.25">
      <c r="A41" s="310">
        <v>45758</v>
      </c>
      <c r="B41" s="311" t="s">
        <v>1950</v>
      </c>
      <c r="C41" s="311" t="s">
        <v>2000</v>
      </c>
      <c r="D41" s="311" t="s">
        <v>1936</v>
      </c>
      <c r="E41" s="312">
        <v>828.85</v>
      </c>
      <c r="F41" s="311" t="s">
        <v>1897</v>
      </c>
      <c r="G41" s="311" t="s">
        <v>1953</v>
      </c>
      <c r="H41" s="311" t="s">
        <v>1727</v>
      </c>
    </row>
    <row r="42" spans="1:8" ht="30" x14ac:dyDescent="0.25">
      <c r="A42" s="310">
        <v>45758</v>
      </c>
      <c r="B42" s="311" t="s">
        <v>1744</v>
      </c>
      <c r="C42" s="311" t="s">
        <v>2001</v>
      </c>
      <c r="D42" s="311" t="s">
        <v>2002</v>
      </c>
      <c r="E42" s="312">
        <v>1000</v>
      </c>
      <c r="F42" s="311" t="s">
        <v>1897</v>
      </c>
      <c r="G42" s="311" t="s">
        <v>1953</v>
      </c>
      <c r="H42" s="311" t="s">
        <v>1161</v>
      </c>
    </row>
    <row r="43" spans="1:8" ht="30" x14ac:dyDescent="0.25">
      <c r="A43" s="310">
        <v>45758</v>
      </c>
      <c r="B43" s="311" t="s">
        <v>1744</v>
      </c>
      <c r="C43" s="311" t="s">
        <v>1921</v>
      </c>
      <c r="D43" s="311" t="s">
        <v>1866</v>
      </c>
      <c r="E43" s="312">
        <v>1005</v>
      </c>
      <c r="F43" s="311" t="s">
        <v>1897</v>
      </c>
      <c r="G43" s="311" t="s">
        <v>1953</v>
      </c>
      <c r="H43" s="311" t="s">
        <v>1727</v>
      </c>
    </row>
    <row r="44" spans="1:8" ht="45" x14ac:dyDescent="0.25">
      <c r="A44" s="310">
        <v>45758</v>
      </c>
      <c r="B44" s="311" t="s">
        <v>1901</v>
      </c>
      <c r="C44" s="311" t="s">
        <v>1997</v>
      </c>
      <c r="D44" s="311" t="s">
        <v>1965</v>
      </c>
      <c r="E44" s="312">
        <v>8147</v>
      </c>
      <c r="F44" s="311" t="s">
        <v>1905</v>
      </c>
      <c r="G44" s="311" t="s">
        <v>1167</v>
      </c>
      <c r="H44" s="311" t="s">
        <v>1170</v>
      </c>
    </row>
    <row r="45" spans="1:8" ht="30" x14ac:dyDescent="0.25">
      <c r="A45" s="310">
        <v>45757</v>
      </c>
      <c r="B45" s="311" t="s">
        <v>1950</v>
      </c>
      <c r="C45" s="311" t="s">
        <v>1951</v>
      </c>
      <c r="D45" s="311" t="s">
        <v>2003</v>
      </c>
      <c r="E45" s="312">
        <v>1089.99</v>
      </c>
      <c r="F45" s="311" t="s">
        <v>1897</v>
      </c>
      <c r="G45" s="311" t="s">
        <v>1953</v>
      </c>
      <c r="H45" s="311" t="s">
        <v>1170</v>
      </c>
    </row>
    <row r="46" spans="1:8" ht="30" x14ac:dyDescent="0.25">
      <c r="A46" s="310">
        <v>45757</v>
      </c>
      <c r="B46" s="311" t="s">
        <v>1972</v>
      </c>
      <c r="C46" s="311" t="s">
        <v>2004</v>
      </c>
      <c r="D46" s="311" t="s">
        <v>2005</v>
      </c>
      <c r="E46" s="312">
        <v>1499</v>
      </c>
      <c r="F46" s="311" t="s">
        <v>1897</v>
      </c>
      <c r="G46" s="311" t="s">
        <v>1953</v>
      </c>
      <c r="H46" s="311" t="s">
        <v>1170</v>
      </c>
    </row>
    <row r="47" spans="1:8" ht="30" x14ac:dyDescent="0.25">
      <c r="A47" s="310">
        <v>45757</v>
      </c>
      <c r="B47" s="311" t="s">
        <v>1978</v>
      </c>
      <c r="C47" s="311" t="s">
        <v>1785</v>
      </c>
      <c r="D47" s="311" t="s">
        <v>2006</v>
      </c>
      <c r="E47" s="312">
        <v>1085.01</v>
      </c>
      <c r="F47" s="311" t="s">
        <v>1897</v>
      </c>
      <c r="G47" s="311" t="s">
        <v>1953</v>
      </c>
      <c r="H47" s="311" t="s">
        <v>1170</v>
      </c>
    </row>
    <row r="48" spans="1:8" ht="30" x14ac:dyDescent="0.25">
      <c r="A48" s="310">
        <v>45757</v>
      </c>
      <c r="B48" s="311" t="s">
        <v>1978</v>
      </c>
      <c r="C48" s="311" t="s">
        <v>1785</v>
      </c>
      <c r="D48" s="311" t="s">
        <v>2007</v>
      </c>
      <c r="E48" s="312">
        <v>3130</v>
      </c>
      <c r="F48" s="311" t="s">
        <v>1897</v>
      </c>
      <c r="G48" s="311" t="s">
        <v>1953</v>
      </c>
      <c r="H48" s="311" t="s">
        <v>1170</v>
      </c>
    </row>
    <row r="49" spans="1:8" ht="45" x14ac:dyDescent="0.25">
      <c r="A49" s="310">
        <v>45757</v>
      </c>
      <c r="B49" s="311" t="s">
        <v>1959</v>
      </c>
      <c r="C49" s="311" t="s">
        <v>2008</v>
      </c>
      <c r="D49" s="311" t="s">
        <v>2009</v>
      </c>
      <c r="E49" s="312">
        <v>6200</v>
      </c>
      <c r="F49" s="311" t="s">
        <v>1897</v>
      </c>
      <c r="G49" s="311" t="s">
        <v>1167</v>
      </c>
      <c r="H49" s="311" t="s">
        <v>1168</v>
      </c>
    </row>
    <row r="50" spans="1:8" ht="30" x14ac:dyDescent="0.25">
      <c r="A50" s="310">
        <v>45757</v>
      </c>
      <c r="B50" s="311" t="s">
        <v>1945</v>
      </c>
      <c r="C50" s="311" t="s">
        <v>1767</v>
      </c>
      <c r="D50" s="311" t="s">
        <v>1926</v>
      </c>
      <c r="E50" s="312">
        <v>2876</v>
      </c>
      <c r="F50" s="311" t="s">
        <v>1897</v>
      </c>
      <c r="G50" s="311" t="s">
        <v>1953</v>
      </c>
      <c r="H50" s="311" t="s">
        <v>1165</v>
      </c>
    </row>
    <row r="51" spans="1:8" ht="30" x14ac:dyDescent="0.25">
      <c r="A51" s="310">
        <v>45756</v>
      </c>
      <c r="B51" s="311" t="s">
        <v>1950</v>
      </c>
      <c r="C51" s="311" t="s">
        <v>1982</v>
      </c>
      <c r="D51" s="311" t="s">
        <v>1936</v>
      </c>
      <c r="E51" s="312">
        <v>1666</v>
      </c>
      <c r="F51" s="311" t="s">
        <v>1897</v>
      </c>
      <c r="G51" s="311" t="s">
        <v>1953</v>
      </c>
      <c r="H51" s="311" t="s">
        <v>1727</v>
      </c>
    </row>
    <row r="52" spans="1:8" ht="30" x14ac:dyDescent="0.25">
      <c r="A52" s="310">
        <v>45755</v>
      </c>
      <c r="B52" s="311" t="s">
        <v>1950</v>
      </c>
      <c r="C52" s="311" t="s">
        <v>1982</v>
      </c>
      <c r="D52" s="311" t="s">
        <v>1936</v>
      </c>
      <c r="E52" s="312">
        <v>264</v>
      </c>
      <c r="F52" s="311" t="s">
        <v>1897</v>
      </c>
      <c r="G52" s="311" t="s">
        <v>1953</v>
      </c>
      <c r="H52" s="311" t="s">
        <v>1161</v>
      </c>
    </row>
    <row r="53" spans="1:8" ht="30" x14ac:dyDescent="0.25">
      <c r="A53" s="310">
        <v>45755</v>
      </c>
      <c r="B53" s="311" t="s">
        <v>1959</v>
      </c>
      <c r="C53" s="311" t="s">
        <v>1991</v>
      </c>
      <c r="D53" s="311" t="s">
        <v>1981</v>
      </c>
      <c r="E53" s="312">
        <v>1000</v>
      </c>
      <c r="F53" s="311" t="s">
        <v>1897</v>
      </c>
      <c r="G53" s="311" t="s">
        <v>1992</v>
      </c>
      <c r="H53" s="311" t="s">
        <v>1727</v>
      </c>
    </row>
    <row r="54" spans="1:8" ht="30" x14ac:dyDescent="0.25">
      <c r="A54" s="310">
        <v>45755</v>
      </c>
      <c r="B54" s="311" t="s">
        <v>1744</v>
      </c>
      <c r="C54" s="311" t="s">
        <v>1921</v>
      </c>
      <c r="D54" s="311" t="s">
        <v>1936</v>
      </c>
      <c r="E54" s="312">
        <v>388.01</v>
      </c>
      <c r="F54" s="311" t="s">
        <v>1897</v>
      </c>
      <c r="G54" s="311" t="s">
        <v>1953</v>
      </c>
      <c r="H54" s="311" t="s">
        <v>1727</v>
      </c>
    </row>
    <row r="55" spans="1:8" ht="30" x14ac:dyDescent="0.25">
      <c r="A55" s="310">
        <v>45755</v>
      </c>
      <c r="B55" s="311" t="s">
        <v>1932</v>
      </c>
      <c r="C55" s="311" t="s">
        <v>1715</v>
      </c>
      <c r="D55" s="311" t="s">
        <v>2010</v>
      </c>
      <c r="E55" s="312">
        <v>3450</v>
      </c>
      <c r="F55" s="311" t="s">
        <v>1897</v>
      </c>
      <c r="G55" s="311" t="s">
        <v>1953</v>
      </c>
      <c r="H55" s="311" t="s">
        <v>1727</v>
      </c>
    </row>
    <row r="56" spans="1:8" ht="30" x14ac:dyDescent="0.25">
      <c r="A56" s="310">
        <v>45755</v>
      </c>
      <c r="B56" s="311" t="s">
        <v>1978</v>
      </c>
      <c r="C56" s="311" t="s">
        <v>1988</v>
      </c>
      <c r="D56" s="311" t="s">
        <v>2011</v>
      </c>
      <c r="E56" s="312">
        <v>179.4</v>
      </c>
      <c r="F56" s="311" t="s">
        <v>1897</v>
      </c>
      <c r="G56" s="311" t="s">
        <v>1953</v>
      </c>
      <c r="H56" s="311" t="s">
        <v>1170</v>
      </c>
    </row>
    <row r="57" spans="1:8" ht="30" x14ac:dyDescent="0.25">
      <c r="A57" s="310">
        <v>45755</v>
      </c>
      <c r="B57" s="311" t="s">
        <v>1978</v>
      </c>
      <c r="C57" s="311" t="s">
        <v>1988</v>
      </c>
      <c r="D57" s="311" t="s">
        <v>2012</v>
      </c>
      <c r="E57" s="312">
        <v>509.4</v>
      </c>
      <c r="F57" s="311" t="s">
        <v>1897</v>
      </c>
      <c r="G57" s="311" t="s">
        <v>1953</v>
      </c>
      <c r="H57" s="311" t="s">
        <v>1170</v>
      </c>
    </row>
    <row r="58" spans="1:8" ht="30" x14ac:dyDescent="0.25">
      <c r="A58" s="310">
        <v>45752</v>
      </c>
      <c r="B58" s="311" t="s">
        <v>1975</v>
      </c>
      <c r="C58" s="311" t="s">
        <v>2013</v>
      </c>
      <c r="D58" s="311" t="s">
        <v>2014</v>
      </c>
      <c r="E58" s="312">
        <v>3000</v>
      </c>
      <c r="F58" s="311" t="s">
        <v>1897</v>
      </c>
      <c r="G58" s="311" t="s">
        <v>1953</v>
      </c>
      <c r="H58" s="311" t="s">
        <v>1161</v>
      </c>
    </row>
    <row r="59" spans="1:8" ht="30" x14ac:dyDescent="0.25">
      <c r="A59" s="310">
        <v>45752</v>
      </c>
      <c r="B59" s="311" t="s">
        <v>1975</v>
      </c>
      <c r="C59" s="311" t="s">
        <v>2013</v>
      </c>
      <c r="D59" s="311" t="s">
        <v>2014</v>
      </c>
      <c r="E59" s="312">
        <v>4285</v>
      </c>
      <c r="F59" s="311" t="s">
        <v>1897</v>
      </c>
      <c r="G59" s="311" t="s">
        <v>1953</v>
      </c>
      <c r="H59" s="311" t="s">
        <v>1161</v>
      </c>
    </row>
    <row r="60" spans="1:8" ht="30" x14ac:dyDescent="0.25">
      <c r="A60" s="310">
        <v>45752</v>
      </c>
      <c r="B60" s="311" t="s">
        <v>1959</v>
      </c>
      <c r="C60" s="311" t="s">
        <v>1991</v>
      </c>
      <c r="D60" s="311" t="s">
        <v>1981</v>
      </c>
      <c r="E60" s="312">
        <v>1500</v>
      </c>
      <c r="F60" s="311" t="s">
        <v>1897</v>
      </c>
      <c r="G60" s="311" t="s">
        <v>1992</v>
      </c>
      <c r="H60" s="311" t="s">
        <v>1727</v>
      </c>
    </row>
    <row r="61" spans="1:8" ht="45" x14ac:dyDescent="0.25">
      <c r="A61" s="310">
        <v>45748</v>
      </c>
      <c r="B61" s="311" t="s">
        <v>1906</v>
      </c>
      <c r="C61" s="311" t="s">
        <v>1907</v>
      </c>
      <c r="D61" s="311" t="s">
        <v>1913</v>
      </c>
      <c r="E61" s="312">
        <v>25404.27</v>
      </c>
      <c r="F61" s="311" t="s">
        <v>1909</v>
      </c>
      <c r="G61" s="311" t="s">
        <v>1167</v>
      </c>
      <c r="H61" s="311" t="s">
        <v>1170</v>
      </c>
    </row>
    <row r="62" spans="1:8" ht="45" x14ac:dyDescent="0.25">
      <c r="A62" s="310">
        <v>45751</v>
      </c>
      <c r="B62" s="311" t="s">
        <v>1906</v>
      </c>
      <c r="C62" s="311" t="s">
        <v>1907</v>
      </c>
      <c r="D62" s="311" t="s">
        <v>1914</v>
      </c>
      <c r="E62" s="312">
        <v>23443.75</v>
      </c>
      <c r="F62" s="311" t="s">
        <v>1909</v>
      </c>
      <c r="G62" s="311" t="s">
        <v>1167</v>
      </c>
      <c r="H62" s="311" t="s">
        <v>1170</v>
      </c>
    </row>
    <row r="63" spans="1:8" ht="45" x14ac:dyDescent="0.25">
      <c r="A63" s="310">
        <v>45748</v>
      </c>
      <c r="B63" s="311" t="s">
        <v>2015</v>
      </c>
      <c r="C63" s="311" t="s">
        <v>2016</v>
      </c>
      <c r="D63" s="311" t="s">
        <v>1962</v>
      </c>
      <c r="E63" s="312">
        <v>24840</v>
      </c>
      <c r="F63" s="311" t="s">
        <v>1948</v>
      </c>
      <c r="G63" s="311" t="s">
        <v>1167</v>
      </c>
      <c r="H63" s="311" t="s">
        <v>1170</v>
      </c>
    </row>
    <row r="64" spans="1:8" ht="45" x14ac:dyDescent="0.25">
      <c r="A64" s="310">
        <v>45748</v>
      </c>
      <c r="B64" s="311" t="s">
        <v>2015</v>
      </c>
      <c r="C64" s="311" t="s">
        <v>2017</v>
      </c>
      <c r="D64" s="311" t="s">
        <v>1968</v>
      </c>
      <c r="E64" s="312">
        <v>2336790</v>
      </c>
      <c r="F64" s="311" t="s">
        <v>1948</v>
      </c>
      <c r="G64" s="311" t="s">
        <v>1167</v>
      </c>
      <c r="H64" s="311" t="s">
        <v>1170</v>
      </c>
    </row>
    <row r="65" spans="1:8" ht="45" x14ac:dyDescent="0.25">
      <c r="A65" s="310">
        <v>45748</v>
      </c>
      <c r="B65" s="311" t="s">
        <v>2015</v>
      </c>
      <c r="C65" s="311" t="s">
        <v>2018</v>
      </c>
      <c r="D65" s="311" t="s">
        <v>1970</v>
      </c>
      <c r="E65" s="312">
        <v>20277.27</v>
      </c>
      <c r="F65" s="311" t="s">
        <v>1948</v>
      </c>
      <c r="G65" s="311" t="s">
        <v>1167</v>
      </c>
      <c r="H65" s="311" t="s">
        <v>1170</v>
      </c>
    </row>
    <row r="66" spans="1:8" ht="45" x14ac:dyDescent="0.25">
      <c r="A66" s="310">
        <v>45748</v>
      </c>
      <c r="B66" s="311" t="s">
        <v>2015</v>
      </c>
      <c r="C66" s="311" t="s">
        <v>2019</v>
      </c>
      <c r="D66" s="311" t="s">
        <v>1966</v>
      </c>
      <c r="E66" s="312">
        <v>12309.6</v>
      </c>
      <c r="F66" s="311" t="s">
        <v>1948</v>
      </c>
      <c r="G66" s="311" t="s">
        <v>1167</v>
      </c>
      <c r="H66" s="311" t="s">
        <v>1170</v>
      </c>
    </row>
    <row r="67" spans="1:8" ht="30" x14ac:dyDescent="0.25">
      <c r="A67" s="310">
        <v>45748</v>
      </c>
      <c r="B67" s="311" t="s">
        <v>1906</v>
      </c>
      <c r="C67" s="311" t="s">
        <v>1735</v>
      </c>
      <c r="D67" s="311" t="s">
        <v>1969</v>
      </c>
      <c r="E67" s="312">
        <v>772000</v>
      </c>
      <c r="F67" s="311" t="s">
        <v>384</v>
      </c>
      <c r="G67" s="311" t="s">
        <v>2020</v>
      </c>
      <c r="H67" s="311" t="s">
        <v>1170</v>
      </c>
    </row>
    <row r="68" spans="1:8" ht="30" x14ac:dyDescent="0.25">
      <c r="A68" s="310">
        <v>45748</v>
      </c>
      <c r="B68" s="311" t="s">
        <v>1906</v>
      </c>
      <c r="C68" s="311" t="s">
        <v>1735</v>
      </c>
      <c r="D68" s="311" t="s">
        <v>1963</v>
      </c>
      <c r="E68" s="312">
        <v>2500000</v>
      </c>
      <c r="F68" s="311" t="s">
        <v>384</v>
      </c>
      <c r="G68" s="311" t="s">
        <v>2020</v>
      </c>
      <c r="H68" s="311" t="s">
        <v>1170</v>
      </c>
    </row>
    <row r="69" spans="1:8" ht="45" x14ac:dyDescent="0.25">
      <c r="A69" s="310">
        <v>45748</v>
      </c>
      <c r="B69" s="311" t="s">
        <v>1906</v>
      </c>
      <c r="C69" s="311" t="s">
        <v>2021</v>
      </c>
      <c r="D69" s="311" t="s">
        <v>1967</v>
      </c>
      <c r="E69" s="312">
        <v>3511000</v>
      </c>
      <c r="F69" s="311" t="s">
        <v>384</v>
      </c>
      <c r="G69" s="311" t="s">
        <v>2020</v>
      </c>
      <c r="H69" s="311" t="s">
        <v>1170</v>
      </c>
    </row>
    <row r="70" spans="1:8" ht="30" x14ac:dyDescent="0.25">
      <c r="A70" s="310">
        <v>45749</v>
      </c>
      <c r="B70" s="311" t="s">
        <v>1945</v>
      </c>
      <c r="C70" s="311" t="s">
        <v>2022</v>
      </c>
      <c r="D70" s="311" t="s">
        <v>1927</v>
      </c>
      <c r="E70" s="319">
        <v>7600</v>
      </c>
      <c r="F70" s="311" t="s">
        <v>1897</v>
      </c>
      <c r="G70" s="311" t="s">
        <v>1953</v>
      </c>
      <c r="H70" s="311" t="s">
        <v>1161</v>
      </c>
    </row>
    <row r="71" spans="1:8" ht="30" x14ac:dyDescent="0.25">
      <c r="A71" s="310">
        <v>45749</v>
      </c>
      <c r="B71" s="311" t="s">
        <v>1945</v>
      </c>
      <c r="C71" s="311" t="s">
        <v>2022</v>
      </c>
      <c r="D71" s="311" t="s">
        <v>1927</v>
      </c>
      <c r="E71" s="320">
        <v>7300</v>
      </c>
      <c r="F71" s="311" t="s">
        <v>1897</v>
      </c>
      <c r="G71" s="311" t="s">
        <v>1953</v>
      </c>
      <c r="H71" s="311" t="s">
        <v>1168</v>
      </c>
    </row>
    <row r="72" spans="1:8" ht="30" x14ac:dyDescent="0.25">
      <c r="A72" s="310">
        <v>45749</v>
      </c>
      <c r="B72" s="311" t="s">
        <v>1945</v>
      </c>
      <c r="C72" s="311" t="s">
        <v>2022</v>
      </c>
      <c r="D72" s="311" t="s">
        <v>1927</v>
      </c>
      <c r="E72" s="319">
        <v>7300</v>
      </c>
      <c r="F72" s="311" t="s">
        <v>1897</v>
      </c>
      <c r="G72" s="311" t="s">
        <v>1953</v>
      </c>
      <c r="H72" s="311" t="s">
        <v>1732</v>
      </c>
    </row>
    <row r="73" spans="1:8" ht="30" x14ac:dyDescent="0.25">
      <c r="A73" s="310">
        <v>45749</v>
      </c>
      <c r="B73" s="311" t="s">
        <v>1945</v>
      </c>
      <c r="C73" s="311" t="s">
        <v>2022</v>
      </c>
      <c r="D73" s="311" t="s">
        <v>1927</v>
      </c>
      <c r="E73" s="321">
        <v>0</v>
      </c>
      <c r="F73" s="311" t="s">
        <v>1897</v>
      </c>
      <c r="G73" s="311" t="s">
        <v>1953</v>
      </c>
      <c r="H73" s="311" t="s">
        <v>1165</v>
      </c>
    </row>
    <row r="74" spans="1:8" ht="30" x14ac:dyDescent="0.25">
      <c r="A74" s="310">
        <v>45748</v>
      </c>
      <c r="B74" s="311" t="s">
        <v>1906</v>
      </c>
      <c r="C74" s="311" t="s">
        <v>2023</v>
      </c>
      <c r="D74" s="311" t="s">
        <v>1971</v>
      </c>
      <c r="E74" s="184">
        <v>832276.75</v>
      </c>
      <c r="F74" s="311" t="s">
        <v>384</v>
      </c>
      <c r="G74" s="311" t="s">
        <v>2020</v>
      </c>
      <c r="H74" s="311" t="s">
        <v>1170</v>
      </c>
    </row>
  </sheetData>
  <conditionalFormatting pivot="1" sqref="K5:K14">
    <cfRule type="colorScale" priority="2">
      <colorScale>
        <cfvo type="min"/>
        <cfvo type="percentile" val="50"/>
        <cfvo type="max"/>
        <color rgb="FFF8696B"/>
        <color rgb="FFFFEB84"/>
        <color rgb="FF63BE7B"/>
      </colorScale>
    </cfRule>
  </conditionalFormatting>
  <conditionalFormatting pivot="1" sqref="N6:N8">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6">
        <x14:dataValidation type="list" allowBlank="1" showInputMessage="1" showErrorMessage="1" xr:uid="{6448B57A-B731-4AED-B9F1-29C6894C7EA9}">
          <x14:formula1>
            <xm:f>'Listas de validacion'!$F$2:$F$7</xm:f>
          </x14:formula1>
          <xm:sqref>H2:H74</xm:sqref>
        </x14:dataValidation>
        <x14:dataValidation type="list" allowBlank="1" showInputMessage="1" showErrorMessage="1" xr:uid="{DDB0A31C-F055-4726-9A14-A267F41990CD}">
          <x14:formula1>
            <xm:f>'Listas de validacion'!$A$2:$A$17</xm:f>
          </x14:formula1>
          <xm:sqref>B2:B74</xm:sqref>
        </x14:dataValidation>
        <x14:dataValidation type="list" allowBlank="1" showInputMessage="1" showErrorMessage="1" xr:uid="{5F859E22-E945-449D-B97A-2FC4BC179D3E}">
          <x14:formula1>
            <xm:f>'Listas de validacion'!$B$2:$B$73</xm:f>
          </x14:formula1>
          <xm:sqref>C2:C74</xm:sqref>
        </x14:dataValidation>
        <x14:dataValidation type="list" allowBlank="1" showInputMessage="1" showErrorMessage="1" xr:uid="{15B0A3F6-D5C7-446F-848B-77B9DA77AE3C}">
          <x14:formula1>
            <xm:f>'Listas de validacion'!$D$2:$D$6</xm:f>
          </x14:formula1>
          <xm:sqref>F2:F74</xm:sqref>
        </x14:dataValidation>
        <x14:dataValidation type="list" allowBlank="1" showInputMessage="1" showErrorMessage="1" xr:uid="{C4DD307D-A4C4-4E9A-B281-3BE38F764639}">
          <x14:formula1>
            <xm:f>'Listas de validacion'!$E$2:$E$7</xm:f>
          </x14:formula1>
          <xm:sqref>G2:G74</xm:sqref>
        </x14:dataValidation>
        <x14:dataValidation type="list" allowBlank="1" showInputMessage="1" showErrorMessage="1" xr:uid="{DEB03BE3-1D88-4CFD-977E-337AA9F4A695}">
          <x14:formula1>
            <xm:f>'Listas de validacion'!$C$2:$C$93</xm:f>
          </x14:formula1>
          <xm:sqref>D2:D74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254B-2E68-40B3-881E-31522EBA794F}">
  <dimension ref="A1:O24"/>
  <sheetViews>
    <sheetView workbookViewId="0">
      <selection activeCell="K3" activeCellId="1" sqref="I3:I6 K3:K6"/>
    </sheetView>
  </sheetViews>
  <sheetFormatPr baseColWidth="10" defaultColWidth="11.42578125" defaultRowHeight="15" x14ac:dyDescent="0.25"/>
  <cols>
    <col min="1" max="1" width="18" customWidth="1"/>
    <col min="2" max="2" width="7.28515625" customWidth="1"/>
    <col min="4" max="4" width="12.7109375" customWidth="1"/>
    <col min="6" max="6" width="12.7109375" customWidth="1"/>
    <col min="7" max="7" width="13.7109375" customWidth="1"/>
  </cols>
  <sheetData>
    <row r="1" spans="1:15" x14ac:dyDescent="0.25">
      <c r="B1" s="314" t="s">
        <v>2024</v>
      </c>
      <c r="C1" s="314"/>
      <c r="D1" s="313"/>
    </row>
    <row r="2" spans="1:15" x14ac:dyDescent="0.25">
      <c r="A2" s="191" t="s">
        <v>2025</v>
      </c>
      <c r="B2" s="191" t="s">
        <v>2026</v>
      </c>
      <c r="C2" s="191" t="s">
        <v>1893</v>
      </c>
      <c r="D2" s="191" t="s">
        <v>1890</v>
      </c>
      <c r="E2" s="191" t="s">
        <v>2027</v>
      </c>
      <c r="F2" s="191" t="s">
        <v>2028</v>
      </c>
      <c r="G2" s="191" t="s">
        <v>2029</v>
      </c>
      <c r="I2" s="314"/>
      <c r="J2" s="314" t="s">
        <v>2030</v>
      </c>
      <c r="K2" s="313"/>
      <c r="M2" s="191"/>
    </row>
    <row r="3" spans="1:15" x14ac:dyDescent="0.25">
      <c r="A3" t="s">
        <v>2031</v>
      </c>
      <c r="B3">
        <v>1</v>
      </c>
      <c r="C3" s="184">
        <v>21000</v>
      </c>
      <c r="D3" s="184">
        <f>+B3*C3</f>
        <v>21000</v>
      </c>
      <c r="E3" s="125">
        <v>0.05</v>
      </c>
      <c r="F3" s="184">
        <f>+(B3)*C3*E3</f>
        <v>1050</v>
      </c>
      <c r="G3" s="184">
        <f>+Tabla810[[#This Row],[Total]]-Tabla810[[#This Row],[Total para el consultorio]]</f>
        <v>19950</v>
      </c>
      <c r="I3" s="191" t="s">
        <v>2025</v>
      </c>
      <c r="J3" s="191" t="s">
        <v>2026</v>
      </c>
      <c r="K3" s="191" t="s">
        <v>1893</v>
      </c>
      <c r="L3" s="191" t="s">
        <v>1890</v>
      </c>
      <c r="M3" s="191" t="s">
        <v>2027</v>
      </c>
      <c r="N3" s="191" t="s">
        <v>2028</v>
      </c>
      <c r="O3" s="191" t="s">
        <v>2029</v>
      </c>
    </row>
    <row r="4" spans="1:15" x14ac:dyDescent="0.25">
      <c r="A4" t="s">
        <v>2032</v>
      </c>
      <c r="B4">
        <f>+B3</f>
        <v>1</v>
      </c>
      <c r="C4" s="184">
        <v>12000</v>
      </c>
      <c r="D4" s="184">
        <f>+B4*C4</f>
        <v>12000</v>
      </c>
      <c r="E4" s="125">
        <f>+E3</f>
        <v>0.05</v>
      </c>
      <c r="F4" s="184">
        <f>+(B4)*C4*E4</f>
        <v>600</v>
      </c>
      <c r="G4" s="184">
        <f>+Tabla810[[#This Row],[Total]]-Tabla810[[#This Row],[Total para el consultorio]]</f>
        <v>11400</v>
      </c>
      <c r="I4" t="s">
        <v>2031</v>
      </c>
      <c r="J4">
        <v>1</v>
      </c>
      <c r="K4" s="184">
        <v>21000</v>
      </c>
      <c r="L4" s="184">
        <f>+J4*K4</f>
        <v>21000</v>
      </c>
      <c r="M4" s="125">
        <v>0.15</v>
      </c>
      <c r="N4" s="184">
        <f>+(J4)*K4*M4</f>
        <v>3150</v>
      </c>
      <c r="O4" s="184">
        <f>+Tabla8[[#This Row],[Total]]-Tabla8[[#This Row],[Total para el consultorio]]</f>
        <v>17850</v>
      </c>
    </row>
    <row r="5" spans="1:15" x14ac:dyDescent="0.25">
      <c r="A5" t="s">
        <v>2033</v>
      </c>
      <c r="B5">
        <f>+B4</f>
        <v>1</v>
      </c>
      <c r="C5" s="184">
        <v>16000</v>
      </c>
      <c r="D5" s="184">
        <f>+B5*C5</f>
        <v>16000</v>
      </c>
      <c r="E5" s="125">
        <f>+E4</f>
        <v>0.05</v>
      </c>
      <c r="F5" s="184">
        <f>+(B5)*C5*E5</f>
        <v>800</v>
      </c>
      <c r="G5" s="184">
        <f>+Tabla810[[#This Row],[Total]]-Tabla810[[#This Row],[Total para el consultorio]]</f>
        <v>15200</v>
      </c>
      <c r="I5" t="s">
        <v>2032</v>
      </c>
      <c r="J5">
        <f>+J4</f>
        <v>1</v>
      </c>
      <c r="K5" s="184">
        <v>12000</v>
      </c>
      <c r="L5" s="184">
        <f>+J5*K5</f>
        <v>12000</v>
      </c>
      <c r="M5" s="125">
        <f>+M4</f>
        <v>0.15</v>
      </c>
      <c r="N5" s="184">
        <f>+(J5)*K5*M5</f>
        <v>1800</v>
      </c>
      <c r="O5" s="184">
        <f>+Tabla8[[#This Row],[Total]]-Tabla8[[#This Row],[Total para el consultorio]]</f>
        <v>10200</v>
      </c>
    </row>
    <row r="6" spans="1:15" x14ac:dyDescent="0.25">
      <c r="A6" t="s">
        <v>1890</v>
      </c>
      <c r="B6">
        <f>SUBTOTAL(109,Tabla810[Cantidad])</f>
        <v>3</v>
      </c>
      <c r="C6" s="184">
        <f>SUBTOTAL(109,Tabla810[Monto])</f>
        <v>49000</v>
      </c>
      <c r="D6" s="184">
        <f>SUBTOTAL(109,Tabla810[Total])</f>
        <v>49000</v>
      </c>
      <c r="E6" s="125">
        <f>SUBTOTAL(101,Tabla810[Porcentaje])</f>
        <v>5.000000000000001E-2</v>
      </c>
      <c r="F6" s="184">
        <f>SUBTOTAL(109,Tabla810[Total para el consultorio])</f>
        <v>2450</v>
      </c>
      <c r="G6" s="184">
        <f>SUBTOTAL(109,Tabla810[utilidad])</f>
        <v>46550</v>
      </c>
      <c r="I6" t="s">
        <v>2033</v>
      </c>
      <c r="J6">
        <f>+J5</f>
        <v>1</v>
      </c>
      <c r="K6" s="184">
        <v>16000</v>
      </c>
      <c r="L6" s="184">
        <f>+J6*K6</f>
        <v>16000</v>
      </c>
      <c r="M6" s="125">
        <f>+M5</f>
        <v>0.15</v>
      </c>
      <c r="N6" s="184">
        <f>+(J6)*K6*M6</f>
        <v>2400</v>
      </c>
      <c r="O6" s="184">
        <f>+Tabla8[[#This Row],[Total]]-Tabla8[[#This Row],[Total para el consultorio]]</f>
        <v>13600</v>
      </c>
    </row>
    <row r="7" spans="1:15" x14ac:dyDescent="0.25">
      <c r="I7" t="s">
        <v>1890</v>
      </c>
      <c r="J7">
        <f>SUBTOTAL(109,Tabla8[Cantidad])</f>
        <v>3</v>
      </c>
      <c r="K7" s="184">
        <f>SUBTOTAL(109,Tabla8[Monto])</f>
        <v>49000</v>
      </c>
      <c r="L7" s="184">
        <f>SUBTOTAL(109,Tabla8[Total])</f>
        <v>49000</v>
      </c>
      <c r="M7" s="125">
        <f>SUBTOTAL(101,Tabla8[Porcentaje])</f>
        <v>0.15</v>
      </c>
      <c r="N7" s="184">
        <f>SUBTOTAL(109,Tabla8[Total para el consultorio])</f>
        <v>7350</v>
      </c>
      <c r="O7" s="184">
        <f>SUBTOTAL(109,Tabla8[utilidad])</f>
        <v>41650</v>
      </c>
    </row>
    <row r="10" spans="1:15" x14ac:dyDescent="0.25">
      <c r="A10" s="315" t="s">
        <v>2034</v>
      </c>
      <c r="B10" s="315"/>
      <c r="C10" s="316"/>
      <c r="D10" s="148"/>
      <c r="E10" s="148"/>
      <c r="F10" s="148"/>
    </row>
    <row r="11" spans="1:15" x14ac:dyDescent="0.25">
      <c r="A11" s="191" t="s">
        <v>2025</v>
      </c>
      <c r="B11" s="191" t="s">
        <v>2026</v>
      </c>
      <c r="C11" s="191" t="s">
        <v>1893</v>
      </c>
      <c r="D11" s="191" t="s">
        <v>1890</v>
      </c>
      <c r="E11" s="191" t="s">
        <v>2027</v>
      </c>
      <c r="F11" s="191" t="s">
        <v>2035</v>
      </c>
      <c r="G11" s="191" t="s">
        <v>2029</v>
      </c>
    </row>
    <row r="12" spans="1:15" x14ac:dyDescent="0.25">
      <c r="A12" t="s">
        <v>2031</v>
      </c>
      <c r="B12">
        <v>1</v>
      </c>
      <c r="C12" s="184">
        <v>21000</v>
      </c>
      <c r="D12" s="184">
        <f>+B12*C12</f>
        <v>21000</v>
      </c>
      <c r="E12" s="125">
        <v>0.06</v>
      </c>
      <c r="F12" s="184">
        <f>+(B12)*C12*E12</f>
        <v>1260</v>
      </c>
      <c r="G12" s="184">
        <f>+Tabla81011[[#This Row],[Total]]-Tabla81011[[#This Row],[Total de regalia]]</f>
        <v>19740</v>
      </c>
    </row>
    <row r="13" spans="1:15" x14ac:dyDescent="0.25">
      <c r="A13" t="s">
        <v>2032</v>
      </c>
      <c r="B13">
        <f>+B12</f>
        <v>1</v>
      </c>
      <c r="C13" s="184">
        <v>12000</v>
      </c>
      <c r="D13" s="184">
        <f>+B13*C13</f>
        <v>12000</v>
      </c>
      <c r="E13" s="125">
        <f>+E12</f>
        <v>0.06</v>
      </c>
      <c r="F13" s="184">
        <f>+(B13)*C13*E13</f>
        <v>720</v>
      </c>
      <c r="G13" s="184">
        <f>+Tabla81011[[#This Row],[Total]]-Tabla81011[[#This Row],[Total de regalia]]</f>
        <v>11280</v>
      </c>
    </row>
    <row r="14" spans="1:15" x14ac:dyDescent="0.25">
      <c r="A14" t="s">
        <v>2033</v>
      </c>
      <c r="B14">
        <f>+B13</f>
        <v>1</v>
      </c>
      <c r="C14" s="184">
        <v>16000</v>
      </c>
      <c r="D14" s="184">
        <f>+B14*C14</f>
        <v>16000</v>
      </c>
      <c r="E14" s="125">
        <f>+E13</f>
        <v>0.06</v>
      </c>
      <c r="F14" s="184">
        <f>+(B14)*C14*E14</f>
        <v>960</v>
      </c>
      <c r="G14" s="184">
        <f>+Tabla81011[[#This Row],[Total]]-Tabla81011[[#This Row],[Total de regalia]]</f>
        <v>15040</v>
      </c>
    </row>
    <row r="15" spans="1:15" x14ac:dyDescent="0.25">
      <c r="A15" t="s">
        <v>1890</v>
      </c>
      <c r="B15">
        <f>SUBTOTAL(109,Tabla81011[Cantidad])</f>
        <v>3</v>
      </c>
      <c r="C15" s="184">
        <f>SUBTOTAL(109,Tabla81011[Monto])</f>
        <v>49000</v>
      </c>
      <c r="D15" s="184">
        <f>SUBTOTAL(109,Tabla81011[Total])</f>
        <v>49000</v>
      </c>
      <c r="E15" s="125">
        <f>SUBTOTAL(101,Tabla81011[Porcentaje])</f>
        <v>0.06</v>
      </c>
      <c r="F15" s="184">
        <f>SUBTOTAL(109,Tabla81011[Total de regalia])</f>
        <v>2940</v>
      </c>
      <c r="G15" s="184">
        <f>SUBTOTAL(109,Tabla81011[utilidad])</f>
        <v>46060</v>
      </c>
    </row>
    <row r="17" spans="1:7" x14ac:dyDescent="0.25">
      <c r="C17" s="315" t="s">
        <v>1890</v>
      </c>
    </row>
    <row r="18" spans="1:7" x14ac:dyDescent="0.25">
      <c r="A18" s="191" t="s">
        <v>2025</v>
      </c>
      <c r="B18" s="191" t="s">
        <v>2026</v>
      </c>
      <c r="C18" s="191" t="s">
        <v>1893</v>
      </c>
      <c r="D18" s="191" t="s">
        <v>1890</v>
      </c>
      <c r="E18" s="191" t="s">
        <v>2027</v>
      </c>
      <c r="F18" s="191" t="s">
        <v>2028</v>
      </c>
      <c r="G18" s="191" t="s">
        <v>2029</v>
      </c>
    </row>
    <row r="19" spans="1:7" x14ac:dyDescent="0.25">
      <c r="A19" t="s">
        <v>2031</v>
      </c>
      <c r="B19">
        <f>+Tabla8[[#Totals],[Cantidad]]+Tabla810[[#Totals],[Cantidad]]</f>
        <v>6</v>
      </c>
      <c r="C19" s="184">
        <v>21000</v>
      </c>
      <c r="D19" s="184">
        <f>+B19*C19</f>
        <v>126000</v>
      </c>
      <c r="E19" s="125">
        <f>+Hoja1!M4+E3+E12</f>
        <v>0.26</v>
      </c>
      <c r="F19" s="184">
        <f>+(B19)*C19*E19</f>
        <v>32760</v>
      </c>
      <c r="G19" s="184">
        <f>+Tabla812[[#This Row],[Total]]-Tabla812[[#This Row],[Total para el consultorio]]</f>
        <v>93240</v>
      </c>
    </row>
    <row r="20" spans="1:7" x14ac:dyDescent="0.25">
      <c r="A20" t="s">
        <v>2032</v>
      </c>
      <c r="B20">
        <f>+B19</f>
        <v>6</v>
      </c>
      <c r="C20" s="184">
        <v>12000</v>
      </c>
      <c r="D20" s="184">
        <f>+B20*C20</f>
        <v>72000</v>
      </c>
      <c r="E20" s="125">
        <f>+Hoja1!M5+E4+E13</f>
        <v>0.26</v>
      </c>
      <c r="F20" s="184">
        <f>+(B20)*C20*E20</f>
        <v>18720</v>
      </c>
      <c r="G20" s="184">
        <f>+Tabla812[[#This Row],[Total]]-Tabla812[[#This Row],[Total para el consultorio]]</f>
        <v>53280</v>
      </c>
    </row>
    <row r="21" spans="1:7" x14ac:dyDescent="0.25">
      <c r="A21" t="s">
        <v>2033</v>
      </c>
      <c r="B21">
        <f>+B20</f>
        <v>6</v>
      </c>
      <c r="C21" s="184">
        <v>16000</v>
      </c>
      <c r="D21" s="184">
        <f>+B21*C21</f>
        <v>96000</v>
      </c>
      <c r="E21" s="125">
        <f>+Hoja1!M6+E5+E14</f>
        <v>0.26</v>
      </c>
      <c r="F21" s="184">
        <f>+(B21)*C21*E21</f>
        <v>24960</v>
      </c>
      <c r="G21" s="184">
        <f>+Tabla812[[#This Row],[Total]]-Tabla812[[#This Row],[Total para el consultorio]]</f>
        <v>71040</v>
      </c>
    </row>
    <row r="22" spans="1:7" x14ac:dyDescent="0.25">
      <c r="A22" t="s">
        <v>1890</v>
      </c>
      <c r="B22">
        <f>SUBTOTAL(109,Tabla812[Cantidad])</f>
        <v>18</v>
      </c>
      <c r="C22" s="184">
        <f>SUBTOTAL(109,Tabla812[Monto])</f>
        <v>49000</v>
      </c>
      <c r="D22" s="184">
        <f>SUBTOTAL(109,Tabla812[Total])</f>
        <v>294000</v>
      </c>
      <c r="E22" s="125">
        <f>SUBTOTAL(101,Tabla812[Porcentaje])</f>
        <v>0.26</v>
      </c>
      <c r="F22" s="184">
        <f>SUBTOTAL(109,Tabla812[Total para el consultorio])</f>
        <v>76440</v>
      </c>
      <c r="G22" s="184">
        <f>SUBTOTAL(109,Tabla812[utilidad])</f>
        <v>217560</v>
      </c>
    </row>
    <row r="24" spans="1:7" x14ac:dyDescent="0.25">
      <c r="A24" s="315" t="s">
        <v>2036</v>
      </c>
    </row>
  </sheetData>
  <pageMargins left="0.7" right="0.7" top="0.75" bottom="0.75" header="0.3" footer="0.3"/>
  <tableParts count="4">
    <tablePart r:id="rId1"/>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3B8C-BA8E-450A-80ED-196AE166C109}">
  <dimension ref="A1:L95"/>
  <sheetViews>
    <sheetView topLeftCell="A68" workbookViewId="0">
      <selection activeCell="C93" sqref="C93"/>
    </sheetView>
  </sheetViews>
  <sheetFormatPr baseColWidth="10" defaultColWidth="11.42578125" defaultRowHeight="15" x14ac:dyDescent="0.25"/>
  <cols>
    <col min="1" max="1" width="16" customWidth="1"/>
    <col min="2" max="2" width="18.42578125" customWidth="1"/>
    <col min="3" max="3" width="19.5703125" customWidth="1"/>
    <col min="4" max="4" width="22.5703125" customWidth="1"/>
    <col min="5" max="5" width="17.7109375" customWidth="1"/>
    <col min="9" max="9" width="18.28515625" customWidth="1"/>
    <col min="13" max="13" width="14.28515625" customWidth="1"/>
  </cols>
  <sheetData>
    <row r="1" spans="1:12" ht="30" x14ac:dyDescent="0.25">
      <c r="A1" s="309" t="s">
        <v>1891</v>
      </c>
      <c r="B1" s="309" t="s">
        <v>1892</v>
      </c>
      <c r="C1" s="309" t="s">
        <v>2037</v>
      </c>
      <c r="D1" s="309" t="s">
        <v>1894</v>
      </c>
      <c r="E1" s="309" t="s">
        <v>2038</v>
      </c>
      <c r="F1" s="309" t="s">
        <v>1943</v>
      </c>
      <c r="J1" s="309" t="s">
        <v>1891</v>
      </c>
      <c r="K1" s="309" t="s">
        <v>1892</v>
      </c>
      <c r="L1" s="309" t="s">
        <v>2039</v>
      </c>
    </row>
    <row r="2" spans="1:12" ht="60" x14ac:dyDescent="0.25">
      <c r="A2" s="317" t="s">
        <v>1901</v>
      </c>
      <c r="B2" s="311" t="s">
        <v>1919</v>
      </c>
      <c r="C2" s="311" t="s">
        <v>1920</v>
      </c>
      <c r="D2" s="311" t="s">
        <v>1905</v>
      </c>
      <c r="E2" s="311" t="s">
        <v>1167</v>
      </c>
      <c r="F2" s="311" t="s">
        <v>1170</v>
      </c>
      <c r="J2" s="317" t="s">
        <v>1901</v>
      </c>
      <c r="K2" s="311" t="s">
        <v>1919</v>
      </c>
      <c r="L2" s="311" t="s">
        <v>2040</v>
      </c>
    </row>
    <row r="3" spans="1:12" ht="45" x14ac:dyDescent="0.25">
      <c r="A3" s="317" t="s">
        <v>1950</v>
      </c>
      <c r="B3" s="311" t="s">
        <v>1986</v>
      </c>
      <c r="C3" s="311" t="s">
        <v>2041</v>
      </c>
      <c r="D3" s="311" t="s">
        <v>1948</v>
      </c>
      <c r="E3" s="311" t="s">
        <v>1992</v>
      </c>
      <c r="F3" s="311" t="s">
        <v>1727</v>
      </c>
      <c r="J3" s="311"/>
      <c r="K3" s="311" t="s">
        <v>2042</v>
      </c>
      <c r="L3" s="311" t="s">
        <v>2043</v>
      </c>
    </row>
    <row r="4" spans="1:12" ht="60" x14ac:dyDescent="0.25">
      <c r="A4" s="317" t="s">
        <v>1972</v>
      </c>
      <c r="B4" s="311" t="s">
        <v>1997</v>
      </c>
      <c r="C4" s="311" t="s">
        <v>1961</v>
      </c>
      <c r="D4" s="311" t="s">
        <v>384</v>
      </c>
      <c r="E4" s="311" t="s">
        <v>1730</v>
      </c>
      <c r="F4" s="311" t="s">
        <v>1161</v>
      </c>
      <c r="J4" s="311"/>
      <c r="K4" s="311" t="s">
        <v>1997</v>
      </c>
      <c r="L4" s="311" t="s">
        <v>2044</v>
      </c>
    </row>
    <row r="5" spans="1:12" ht="60" x14ac:dyDescent="0.25">
      <c r="A5" s="317" t="s">
        <v>1932</v>
      </c>
      <c r="B5" s="311" t="s">
        <v>2045</v>
      </c>
      <c r="C5" s="311" t="s">
        <v>2046</v>
      </c>
      <c r="D5" s="311" t="s">
        <v>1909</v>
      </c>
      <c r="E5" s="311" t="s">
        <v>2020</v>
      </c>
      <c r="F5" s="311" t="s">
        <v>1168</v>
      </c>
      <c r="J5" s="311"/>
      <c r="K5" s="311" t="s">
        <v>2045</v>
      </c>
      <c r="L5" s="311" t="s">
        <v>2047</v>
      </c>
    </row>
    <row r="6" spans="1:12" ht="45" x14ac:dyDescent="0.25">
      <c r="A6" s="317" t="s">
        <v>1744</v>
      </c>
      <c r="B6" s="311" t="s">
        <v>2048</v>
      </c>
      <c r="C6" s="311" t="s">
        <v>1965</v>
      </c>
      <c r="D6" s="311" t="s">
        <v>1897</v>
      </c>
      <c r="E6" s="311" t="s">
        <v>1953</v>
      </c>
      <c r="F6" s="311" t="s">
        <v>1732</v>
      </c>
      <c r="J6" s="311"/>
      <c r="K6" s="311" t="s">
        <v>2048</v>
      </c>
      <c r="L6" s="311" t="s">
        <v>2049</v>
      </c>
    </row>
    <row r="7" spans="1:12" ht="60" x14ac:dyDescent="0.25">
      <c r="A7" s="317" t="s">
        <v>1945</v>
      </c>
      <c r="B7" s="311" t="s">
        <v>1767</v>
      </c>
      <c r="C7" s="311" t="s">
        <v>1926</v>
      </c>
      <c r="E7" s="311" t="s">
        <v>2050</v>
      </c>
      <c r="F7" s="311" t="s">
        <v>1165</v>
      </c>
      <c r="J7" s="317" t="s">
        <v>1950</v>
      </c>
      <c r="K7" s="311" t="s">
        <v>1976</v>
      </c>
      <c r="L7" s="311" t="s">
        <v>2051</v>
      </c>
    </row>
    <row r="8" spans="1:12" ht="45" x14ac:dyDescent="0.25">
      <c r="A8" s="317" t="s">
        <v>1978</v>
      </c>
      <c r="B8" s="311" t="s">
        <v>1982</v>
      </c>
      <c r="C8" s="311" t="s">
        <v>2011</v>
      </c>
      <c r="J8" s="311"/>
      <c r="K8" s="311" t="s">
        <v>2052</v>
      </c>
      <c r="L8" s="311" t="s">
        <v>2053</v>
      </c>
    </row>
    <row r="9" spans="1:12" ht="30" x14ac:dyDescent="0.25">
      <c r="A9" s="317" t="s">
        <v>1923</v>
      </c>
      <c r="B9" s="311" t="s">
        <v>1785</v>
      </c>
      <c r="C9" s="311" t="s">
        <v>2012</v>
      </c>
      <c r="J9" s="311"/>
      <c r="K9" s="311" t="s">
        <v>1951</v>
      </c>
      <c r="L9" s="311" t="s">
        <v>2054</v>
      </c>
    </row>
    <row r="10" spans="1:12" ht="30" x14ac:dyDescent="0.25">
      <c r="A10" s="317" t="s">
        <v>1975</v>
      </c>
      <c r="B10" s="311" t="s">
        <v>2055</v>
      </c>
      <c r="C10" s="311" t="s">
        <v>1928</v>
      </c>
      <c r="J10" s="311"/>
      <c r="K10" s="311" t="s">
        <v>1960</v>
      </c>
      <c r="L10" s="311" t="s">
        <v>2056</v>
      </c>
    </row>
    <row r="11" spans="1:12" ht="60" x14ac:dyDescent="0.25">
      <c r="A11" s="317" t="s">
        <v>2057</v>
      </c>
      <c r="B11" s="311" t="s">
        <v>2019</v>
      </c>
      <c r="C11" s="311" t="s">
        <v>1966</v>
      </c>
      <c r="J11" s="311"/>
      <c r="K11" s="311" t="s">
        <v>2058</v>
      </c>
      <c r="L11" s="311" t="s">
        <v>2059</v>
      </c>
    </row>
    <row r="12" spans="1:12" ht="60" x14ac:dyDescent="0.25">
      <c r="A12" s="317" t="s">
        <v>2060</v>
      </c>
      <c r="B12" s="311" t="s">
        <v>1964</v>
      </c>
      <c r="C12" s="311" t="s">
        <v>1908</v>
      </c>
      <c r="J12" s="317" t="s">
        <v>1972</v>
      </c>
      <c r="K12" s="311" t="s">
        <v>2061</v>
      </c>
      <c r="L12" s="311" t="s">
        <v>2062</v>
      </c>
    </row>
    <row r="13" spans="1:12" ht="60" x14ac:dyDescent="0.25">
      <c r="A13" s="317" t="s">
        <v>2015</v>
      </c>
      <c r="B13" s="311" t="s">
        <v>2000</v>
      </c>
      <c r="C13" s="311" t="s">
        <v>2006</v>
      </c>
      <c r="J13" s="311"/>
      <c r="K13" s="311" t="s">
        <v>1973</v>
      </c>
      <c r="L13" s="311" t="s">
        <v>2063</v>
      </c>
    </row>
    <row r="14" spans="1:12" ht="60" x14ac:dyDescent="0.25">
      <c r="A14" s="317" t="s">
        <v>1906</v>
      </c>
      <c r="B14" s="311" t="s">
        <v>1991</v>
      </c>
      <c r="C14" s="311" t="s">
        <v>2007</v>
      </c>
      <c r="J14" s="311"/>
      <c r="K14" s="311" t="s">
        <v>2004</v>
      </c>
      <c r="L14" s="311" t="s">
        <v>2064</v>
      </c>
    </row>
    <row r="15" spans="1:12" ht="60" x14ac:dyDescent="0.25">
      <c r="A15" s="317" t="s">
        <v>2065</v>
      </c>
      <c r="B15" s="311" t="s">
        <v>1999</v>
      </c>
      <c r="C15" s="311" t="s">
        <v>2009</v>
      </c>
      <c r="J15" s="311"/>
      <c r="K15" s="311" t="s">
        <v>1984</v>
      </c>
      <c r="L15" s="311" t="s">
        <v>2066</v>
      </c>
    </row>
    <row r="16" spans="1:12" ht="45" x14ac:dyDescent="0.25">
      <c r="A16" s="317" t="s">
        <v>2067</v>
      </c>
      <c r="B16" s="311" t="s">
        <v>2068</v>
      </c>
      <c r="C16" s="311" t="s">
        <v>32</v>
      </c>
      <c r="J16" s="311"/>
      <c r="K16" s="311" t="s">
        <v>2069</v>
      </c>
      <c r="L16" s="311" t="s">
        <v>2070</v>
      </c>
    </row>
    <row r="17" spans="1:12" ht="45" x14ac:dyDescent="0.25">
      <c r="A17" s="317" t="s">
        <v>1959</v>
      </c>
      <c r="B17" s="311" t="s">
        <v>2052</v>
      </c>
      <c r="C17" s="311" t="s">
        <v>2071</v>
      </c>
      <c r="J17" s="317" t="s">
        <v>1932</v>
      </c>
      <c r="K17" s="311" t="s">
        <v>1715</v>
      </c>
      <c r="L17" s="311" t="s">
        <v>2072</v>
      </c>
    </row>
    <row r="18" spans="1:12" ht="60" x14ac:dyDescent="0.25">
      <c r="B18" s="311" t="s">
        <v>1790</v>
      </c>
      <c r="C18" s="311" t="s">
        <v>2073</v>
      </c>
      <c r="J18" s="311"/>
      <c r="K18" s="311" t="s">
        <v>2074</v>
      </c>
      <c r="L18" s="311" t="s">
        <v>2075</v>
      </c>
    </row>
    <row r="19" spans="1:12" ht="45" x14ac:dyDescent="0.25">
      <c r="A19" s="311"/>
      <c r="B19" s="311" t="s">
        <v>1951</v>
      </c>
      <c r="C19" s="311" t="s">
        <v>1981</v>
      </c>
      <c r="J19" s="311"/>
      <c r="K19" s="311" t="s">
        <v>2076</v>
      </c>
      <c r="L19" s="311" t="s">
        <v>2077</v>
      </c>
    </row>
    <row r="20" spans="1:12" ht="45" x14ac:dyDescent="0.25">
      <c r="A20" s="317"/>
      <c r="B20" s="311" t="s">
        <v>1960</v>
      </c>
      <c r="C20" s="311" t="s">
        <v>1987</v>
      </c>
      <c r="J20" s="311"/>
      <c r="K20" s="311" t="s">
        <v>2078</v>
      </c>
      <c r="L20" s="311" t="s">
        <v>2079</v>
      </c>
    </row>
    <row r="21" spans="1:12" ht="45" x14ac:dyDescent="0.25">
      <c r="A21" s="311"/>
      <c r="B21" s="311" t="s">
        <v>2080</v>
      </c>
      <c r="C21" s="311" t="s">
        <v>2081</v>
      </c>
      <c r="J21" s="311"/>
      <c r="K21" s="311" t="s">
        <v>2082</v>
      </c>
      <c r="L21" s="311" t="s">
        <v>2083</v>
      </c>
    </row>
    <row r="22" spans="1:12" ht="60" x14ac:dyDescent="0.25">
      <c r="A22" s="311"/>
      <c r="B22" s="311" t="s">
        <v>2084</v>
      </c>
      <c r="C22" s="311" t="s">
        <v>1983</v>
      </c>
      <c r="J22" s="317" t="s">
        <v>1744</v>
      </c>
      <c r="K22" s="311" t="s">
        <v>2085</v>
      </c>
      <c r="L22" s="311" t="s">
        <v>2086</v>
      </c>
    </row>
    <row r="23" spans="1:12" ht="45" x14ac:dyDescent="0.25">
      <c r="A23" s="311"/>
      <c r="B23" s="311" t="s">
        <v>1734</v>
      </c>
      <c r="C23" s="311" t="s">
        <v>1985</v>
      </c>
      <c r="J23" s="311"/>
      <c r="K23" s="311" t="s">
        <v>1921</v>
      </c>
      <c r="L23" s="311" t="s">
        <v>2087</v>
      </c>
    </row>
    <row r="24" spans="1:12" ht="60" x14ac:dyDescent="0.25">
      <c r="A24" s="311"/>
      <c r="B24" s="311" t="s">
        <v>1973</v>
      </c>
      <c r="C24" s="311" t="s">
        <v>1994</v>
      </c>
      <c r="J24" s="311"/>
      <c r="K24" s="311" t="s">
        <v>2088</v>
      </c>
      <c r="L24" s="311" t="s">
        <v>2089</v>
      </c>
    </row>
    <row r="25" spans="1:12" ht="45" x14ac:dyDescent="0.25">
      <c r="A25" s="317"/>
      <c r="B25" s="311" t="s">
        <v>2004</v>
      </c>
      <c r="C25" s="311" t="s">
        <v>1936</v>
      </c>
      <c r="J25" s="311"/>
      <c r="K25" s="311" t="s">
        <v>2001</v>
      </c>
      <c r="L25" s="311" t="s">
        <v>2090</v>
      </c>
    </row>
    <row r="26" spans="1:12" ht="45" x14ac:dyDescent="0.25">
      <c r="A26" s="311"/>
      <c r="B26" s="311" t="s">
        <v>1984</v>
      </c>
      <c r="C26" s="311" t="s">
        <v>1922</v>
      </c>
      <c r="J26" s="311"/>
      <c r="K26" s="311" t="s">
        <v>2091</v>
      </c>
      <c r="L26" s="311" t="s">
        <v>2092</v>
      </c>
    </row>
    <row r="27" spans="1:12" ht="75" x14ac:dyDescent="0.25">
      <c r="A27" s="311"/>
      <c r="B27" s="311" t="s">
        <v>2069</v>
      </c>
      <c r="C27" s="311" t="s">
        <v>1979</v>
      </c>
      <c r="J27" s="317" t="s">
        <v>1945</v>
      </c>
      <c r="K27" s="311" t="s">
        <v>2093</v>
      </c>
      <c r="L27" s="311" t="s">
        <v>2094</v>
      </c>
    </row>
    <row r="28" spans="1:12" ht="45" x14ac:dyDescent="0.25">
      <c r="A28" s="311"/>
      <c r="B28" s="311" t="s">
        <v>1715</v>
      </c>
      <c r="C28" s="311" t="s">
        <v>1990</v>
      </c>
      <c r="J28" s="311"/>
      <c r="K28" s="311" t="s">
        <v>2095</v>
      </c>
      <c r="L28" s="311" t="s">
        <v>2096</v>
      </c>
    </row>
    <row r="29" spans="1:12" ht="75" x14ac:dyDescent="0.25">
      <c r="A29" s="311"/>
      <c r="B29" s="311" t="s">
        <v>1995</v>
      </c>
      <c r="C29" s="311" t="s">
        <v>1796</v>
      </c>
      <c r="J29" s="311"/>
      <c r="K29" s="311" t="s">
        <v>2097</v>
      </c>
      <c r="L29" s="311" t="s">
        <v>2098</v>
      </c>
    </row>
    <row r="30" spans="1:12" ht="60" x14ac:dyDescent="0.25">
      <c r="A30" s="317"/>
      <c r="B30" s="311" t="s">
        <v>2074</v>
      </c>
      <c r="C30" s="311" t="s">
        <v>2099</v>
      </c>
      <c r="J30" s="311"/>
      <c r="K30" s="311" t="s">
        <v>1946</v>
      </c>
      <c r="L30" s="311" t="s">
        <v>2100</v>
      </c>
    </row>
    <row r="31" spans="1:12" ht="30" x14ac:dyDescent="0.25">
      <c r="A31" s="311"/>
      <c r="B31" s="311" t="s">
        <v>2076</v>
      </c>
      <c r="C31" s="311" t="s">
        <v>2101</v>
      </c>
      <c r="J31" s="317" t="s">
        <v>1923</v>
      </c>
      <c r="K31" s="311" t="s">
        <v>2102</v>
      </c>
      <c r="L31" s="311" t="s">
        <v>2103</v>
      </c>
    </row>
    <row r="32" spans="1:12" ht="60" x14ac:dyDescent="0.25">
      <c r="A32" s="311"/>
      <c r="B32" s="311" t="s">
        <v>2078</v>
      </c>
      <c r="C32" s="311" t="s">
        <v>1927</v>
      </c>
      <c r="J32" s="311"/>
      <c r="K32" s="311" t="s">
        <v>1988</v>
      </c>
      <c r="L32" s="311" t="s">
        <v>2104</v>
      </c>
    </row>
    <row r="33" spans="1:12" ht="60" x14ac:dyDescent="0.25">
      <c r="A33" s="311"/>
      <c r="B33" s="311" t="s">
        <v>2021</v>
      </c>
      <c r="C33" s="311" t="s">
        <v>1974</v>
      </c>
      <c r="J33" s="311"/>
      <c r="K33" s="311" t="s">
        <v>2105</v>
      </c>
      <c r="L33" s="311" t="s">
        <v>2106</v>
      </c>
    </row>
    <row r="34" spans="1:12" ht="45" x14ac:dyDescent="0.25">
      <c r="A34" s="317"/>
      <c r="B34" s="311" t="s">
        <v>2107</v>
      </c>
      <c r="C34" s="311" t="s">
        <v>1787</v>
      </c>
      <c r="J34" s="311"/>
      <c r="K34" s="311" t="s">
        <v>2108</v>
      </c>
      <c r="L34" s="311" t="s">
        <v>2109</v>
      </c>
    </row>
    <row r="35" spans="1:12" ht="45" x14ac:dyDescent="0.25">
      <c r="A35" s="311"/>
      <c r="B35" s="311" t="s">
        <v>2085</v>
      </c>
      <c r="C35" s="311" t="s">
        <v>2005</v>
      </c>
      <c r="J35" s="317" t="s">
        <v>1975</v>
      </c>
      <c r="K35" s="311" t="s">
        <v>2013</v>
      </c>
      <c r="L35" s="311" t="s">
        <v>2110</v>
      </c>
    </row>
    <row r="36" spans="1:12" ht="45" x14ac:dyDescent="0.25">
      <c r="A36" s="311"/>
      <c r="B36" s="311" t="s">
        <v>1921</v>
      </c>
      <c r="C36" s="311" t="s">
        <v>2111</v>
      </c>
      <c r="J36" s="311"/>
      <c r="K36" s="311" t="s">
        <v>2112</v>
      </c>
      <c r="L36" s="311" t="s">
        <v>2113</v>
      </c>
    </row>
    <row r="37" spans="1:12" ht="60" x14ac:dyDescent="0.25">
      <c r="A37" s="311"/>
      <c r="B37" s="311" t="s">
        <v>2088</v>
      </c>
      <c r="C37" s="311" t="s">
        <v>2010</v>
      </c>
      <c r="J37" s="311"/>
      <c r="K37" s="311" t="s">
        <v>1977</v>
      </c>
      <c r="L37" s="311" t="s">
        <v>2114</v>
      </c>
    </row>
    <row r="38" spans="1:12" ht="45" x14ac:dyDescent="0.25">
      <c r="A38" s="317"/>
      <c r="B38" s="311" t="s">
        <v>2001</v>
      </c>
      <c r="C38" s="311" t="s">
        <v>1996</v>
      </c>
      <c r="J38" s="317" t="s">
        <v>2057</v>
      </c>
      <c r="K38" s="311" t="s">
        <v>2115</v>
      </c>
      <c r="L38" s="311" t="s">
        <v>2116</v>
      </c>
    </row>
    <row r="39" spans="1:12" ht="45" x14ac:dyDescent="0.25">
      <c r="A39" s="311"/>
      <c r="B39" s="311" t="s">
        <v>2091</v>
      </c>
      <c r="C39" s="311" t="s">
        <v>2117</v>
      </c>
      <c r="J39" s="311"/>
      <c r="K39" s="311" t="s">
        <v>2118</v>
      </c>
      <c r="L39" s="311" t="s">
        <v>2119</v>
      </c>
    </row>
    <row r="40" spans="1:12" ht="60" x14ac:dyDescent="0.25">
      <c r="A40" s="311"/>
      <c r="B40" s="311" t="s">
        <v>2022</v>
      </c>
      <c r="C40" s="311" t="s">
        <v>2120</v>
      </c>
      <c r="J40" s="311"/>
      <c r="K40" s="311" t="s">
        <v>2121</v>
      </c>
      <c r="L40" s="311" t="s">
        <v>2122</v>
      </c>
    </row>
    <row r="41" spans="1:12" ht="45" x14ac:dyDescent="0.25">
      <c r="A41" s="317"/>
      <c r="B41" s="311" t="s">
        <v>2123</v>
      </c>
      <c r="C41" s="311" t="s">
        <v>2124</v>
      </c>
      <c r="J41" s="317" t="s">
        <v>2125</v>
      </c>
      <c r="K41" s="311" t="s">
        <v>2126</v>
      </c>
      <c r="L41" s="311" t="s">
        <v>2127</v>
      </c>
    </row>
    <row r="42" spans="1:12" ht="60" x14ac:dyDescent="0.25">
      <c r="A42" s="311"/>
      <c r="B42" s="311" t="s">
        <v>2095</v>
      </c>
      <c r="C42" s="311" t="s">
        <v>2128</v>
      </c>
      <c r="J42" s="311"/>
      <c r="K42" s="311" t="s">
        <v>2129</v>
      </c>
      <c r="L42" s="311" t="s">
        <v>2130</v>
      </c>
    </row>
    <row r="43" spans="1:12" ht="60" x14ac:dyDescent="0.25">
      <c r="A43" s="311"/>
      <c r="B43" s="311" t="s">
        <v>2097</v>
      </c>
      <c r="C43" s="311" t="s">
        <v>2131</v>
      </c>
      <c r="J43" s="311"/>
      <c r="K43" s="311" t="s">
        <v>2015</v>
      </c>
      <c r="L43" s="311" t="s">
        <v>2132</v>
      </c>
    </row>
    <row r="44" spans="1:12" ht="45" x14ac:dyDescent="0.25">
      <c r="A44" s="317"/>
      <c r="B44" s="311" t="s">
        <v>2016</v>
      </c>
      <c r="C44" s="311" t="s">
        <v>1962</v>
      </c>
      <c r="J44" s="317" t="s">
        <v>1906</v>
      </c>
      <c r="K44" s="311" t="s">
        <v>1907</v>
      </c>
      <c r="L44" s="311" t="s">
        <v>2133</v>
      </c>
    </row>
    <row r="45" spans="1:12" ht="45" x14ac:dyDescent="0.25">
      <c r="A45" s="311"/>
      <c r="B45" s="311" t="s">
        <v>2017</v>
      </c>
      <c r="C45" s="311" t="s">
        <v>1968</v>
      </c>
      <c r="J45" s="311"/>
      <c r="K45" s="311" t="s">
        <v>2023</v>
      </c>
      <c r="L45" s="311" t="s">
        <v>2134</v>
      </c>
    </row>
    <row r="46" spans="1:12" ht="45" x14ac:dyDescent="0.25">
      <c r="A46" s="311"/>
      <c r="B46" s="311" t="s">
        <v>2018</v>
      </c>
      <c r="C46" s="311" t="s">
        <v>1970</v>
      </c>
      <c r="J46" s="311"/>
      <c r="K46" s="311" t="s">
        <v>2135</v>
      </c>
      <c r="L46" s="311" t="s">
        <v>2136</v>
      </c>
    </row>
    <row r="47" spans="1:12" ht="30" x14ac:dyDescent="0.25">
      <c r="A47" s="317"/>
      <c r="B47" s="311" t="s">
        <v>1946</v>
      </c>
      <c r="C47" s="311" t="s">
        <v>2003</v>
      </c>
      <c r="J47" s="317" t="s">
        <v>2065</v>
      </c>
      <c r="K47" s="311" t="s">
        <v>2137</v>
      </c>
      <c r="L47" s="311" t="s">
        <v>2138</v>
      </c>
    </row>
    <row r="48" spans="1:12" ht="75" x14ac:dyDescent="0.25">
      <c r="A48" s="311"/>
      <c r="B48" s="311" t="s">
        <v>2139</v>
      </c>
      <c r="C48" s="311" t="s">
        <v>2140</v>
      </c>
      <c r="J48" s="311"/>
      <c r="K48" s="311" t="s">
        <v>2141</v>
      </c>
      <c r="L48" s="311" t="s">
        <v>2142</v>
      </c>
    </row>
    <row r="49" spans="1:12" ht="45" x14ac:dyDescent="0.25">
      <c r="A49" s="311"/>
      <c r="B49" s="311" t="s">
        <v>2008</v>
      </c>
      <c r="C49" s="311" t="s">
        <v>2143</v>
      </c>
      <c r="J49" s="311"/>
      <c r="K49" s="311" t="s">
        <v>2144</v>
      </c>
      <c r="L49" s="311" t="s">
        <v>2145</v>
      </c>
    </row>
    <row r="50" spans="1:12" ht="45" x14ac:dyDescent="0.25">
      <c r="A50" s="317"/>
      <c r="B50" s="311" t="s">
        <v>1988</v>
      </c>
      <c r="C50" s="311" t="s">
        <v>2146</v>
      </c>
      <c r="J50" s="317" t="s">
        <v>2067</v>
      </c>
      <c r="K50" s="311" t="s">
        <v>2147</v>
      </c>
      <c r="L50" s="311" t="s">
        <v>2148</v>
      </c>
    </row>
    <row r="51" spans="1:12" ht="45" x14ac:dyDescent="0.25">
      <c r="A51" s="311"/>
      <c r="B51" s="311" t="s">
        <v>2105</v>
      </c>
      <c r="C51" s="311" t="s">
        <v>2002</v>
      </c>
      <c r="J51" s="311"/>
      <c r="K51" s="311" t="s">
        <v>2149</v>
      </c>
      <c r="L51" s="311" t="s">
        <v>2150</v>
      </c>
    </row>
    <row r="52" spans="1:12" ht="45" x14ac:dyDescent="0.25">
      <c r="A52" s="311"/>
      <c r="B52" s="311" t="s">
        <v>2151</v>
      </c>
      <c r="C52" s="311" t="s">
        <v>1866</v>
      </c>
      <c r="J52" s="317" t="s">
        <v>1959</v>
      </c>
      <c r="K52" s="311" t="s">
        <v>2152</v>
      </c>
      <c r="L52" s="311" t="s">
        <v>2153</v>
      </c>
    </row>
    <row r="53" spans="1:12" ht="75" x14ac:dyDescent="0.25">
      <c r="A53" s="317"/>
      <c r="B53" s="311" t="s">
        <v>2013</v>
      </c>
      <c r="C53" s="311" t="s">
        <v>1971</v>
      </c>
      <c r="J53" s="311"/>
      <c r="K53" s="311" t="s">
        <v>2154</v>
      </c>
      <c r="L53" s="311" t="s">
        <v>2155</v>
      </c>
    </row>
    <row r="54" spans="1:12" ht="60" x14ac:dyDescent="0.25">
      <c r="A54" s="311"/>
      <c r="B54" s="311" t="s">
        <v>2112</v>
      </c>
      <c r="C54" s="311" t="s">
        <v>2156</v>
      </c>
      <c r="J54" s="311"/>
      <c r="K54" s="311" t="s">
        <v>2157</v>
      </c>
      <c r="L54" s="311" t="s">
        <v>2158</v>
      </c>
    </row>
    <row r="55" spans="1:12" x14ac:dyDescent="0.25">
      <c r="A55" s="317"/>
      <c r="B55" s="311" t="s">
        <v>1977</v>
      </c>
      <c r="C55" s="311" t="s">
        <v>2159</v>
      </c>
    </row>
    <row r="56" spans="1:12" x14ac:dyDescent="0.25">
      <c r="A56" s="311"/>
      <c r="B56" s="311" t="s">
        <v>2115</v>
      </c>
      <c r="C56" s="311" t="s">
        <v>2160</v>
      </c>
    </row>
    <row r="57" spans="1:12" ht="30" x14ac:dyDescent="0.25">
      <c r="A57" s="311"/>
      <c r="B57" s="311" t="s">
        <v>2118</v>
      </c>
      <c r="C57" s="311" t="s">
        <v>2161</v>
      </c>
    </row>
    <row r="58" spans="1:12" x14ac:dyDescent="0.25">
      <c r="B58" s="311" t="s">
        <v>2121</v>
      </c>
      <c r="C58" s="311" t="s">
        <v>2162</v>
      </c>
    </row>
    <row r="59" spans="1:12" ht="30" x14ac:dyDescent="0.25">
      <c r="B59" s="311" t="s">
        <v>2126</v>
      </c>
      <c r="C59" s="311" t="s">
        <v>1166</v>
      </c>
    </row>
    <row r="60" spans="1:12" ht="30" x14ac:dyDescent="0.25">
      <c r="B60" s="311" t="s">
        <v>2129</v>
      </c>
      <c r="C60" s="311" t="s">
        <v>2163</v>
      </c>
    </row>
    <row r="61" spans="1:12" x14ac:dyDescent="0.25">
      <c r="B61" s="311" t="s">
        <v>2015</v>
      </c>
      <c r="C61" s="311" t="s">
        <v>2164</v>
      </c>
    </row>
    <row r="62" spans="1:12" ht="30" x14ac:dyDescent="0.25">
      <c r="B62" s="311" t="s">
        <v>1907</v>
      </c>
      <c r="C62" s="311" t="s">
        <v>1793</v>
      </c>
    </row>
    <row r="63" spans="1:12" ht="30" x14ac:dyDescent="0.25">
      <c r="B63" s="311" t="s">
        <v>2023</v>
      </c>
      <c r="C63" s="311" t="s">
        <v>1989</v>
      </c>
    </row>
    <row r="64" spans="1:12" ht="30" x14ac:dyDescent="0.25">
      <c r="B64" s="311" t="s">
        <v>2135</v>
      </c>
      <c r="C64" s="311" t="s">
        <v>1755</v>
      </c>
    </row>
    <row r="65" spans="2:3" x14ac:dyDescent="0.25">
      <c r="B65" s="311" t="s">
        <v>2137</v>
      </c>
      <c r="C65" s="311" t="s">
        <v>2165</v>
      </c>
    </row>
    <row r="66" spans="2:3" ht="30" x14ac:dyDescent="0.25">
      <c r="B66" s="311" t="s">
        <v>2141</v>
      </c>
      <c r="C66" s="311" t="s">
        <v>2014</v>
      </c>
    </row>
    <row r="67" spans="2:3" x14ac:dyDescent="0.25">
      <c r="B67" s="311" t="s">
        <v>1929</v>
      </c>
      <c r="C67" s="311" t="s">
        <v>2166</v>
      </c>
    </row>
    <row r="68" spans="2:3" x14ac:dyDescent="0.25">
      <c r="B68" s="311" t="s">
        <v>2147</v>
      </c>
      <c r="C68" s="311" t="s">
        <v>2167</v>
      </c>
    </row>
    <row r="69" spans="2:3" x14ac:dyDescent="0.25">
      <c r="B69" s="311" t="s">
        <v>2149</v>
      </c>
      <c r="C69" s="311" t="s">
        <v>2120</v>
      </c>
    </row>
    <row r="70" spans="2:3" x14ac:dyDescent="0.25">
      <c r="B70" s="311" t="s">
        <v>2152</v>
      </c>
      <c r="C70" s="311" t="s">
        <v>2168</v>
      </c>
    </row>
    <row r="71" spans="2:3" ht="30" x14ac:dyDescent="0.25">
      <c r="B71" s="311" t="s">
        <v>1735</v>
      </c>
      <c r="C71" s="311" t="s">
        <v>2169</v>
      </c>
    </row>
    <row r="72" spans="2:3" ht="26.25" customHeight="1" x14ac:dyDescent="0.25">
      <c r="B72" s="311" t="s">
        <v>2154</v>
      </c>
      <c r="C72" s="311" t="s">
        <v>1969</v>
      </c>
    </row>
    <row r="73" spans="2:3" ht="30" x14ac:dyDescent="0.25">
      <c r="B73" s="311" t="s">
        <v>2170</v>
      </c>
      <c r="C73" s="311" t="s">
        <v>1963</v>
      </c>
    </row>
    <row r="74" spans="2:3" ht="30" x14ac:dyDescent="0.25">
      <c r="C74" s="311" t="s">
        <v>1967</v>
      </c>
    </row>
    <row r="75" spans="2:3" x14ac:dyDescent="0.25">
      <c r="C75" s="311" t="s">
        <v>2171</v>
      </c>
    </row>
    <row r="76" spans="2:3" ht="30" x14ac:dyDescent="0.25">
      <c r="C76" s="311" t="s">
        <v>2172</v>
      </c>
    </row>
    <row r="77" spans="2:3" ht="30" x14ac:dyDescent="0.25">
      <c r="C77" s="311" t="s">
        <v>2173</v>
      </c>
    </row>
    <row r="78" spans="2:3" x14ac:dyDescent="0.25">
      <c r="C78" s="311" t="s">
        <v>1913</v>
      </c>
    </row>
    <row r="79" spans="2:3" x14ac:dyDescent="0.25">
      <c r="C79" s="311" t="s">
        <v>1914</v>
      </c>
    </row>
    <row r="80" spans="2:3" x14ac:dyDescent="0.25">
      <c r="C80" s="311" t="s">
        <v>1911</v>
      </c>
    </row>
    <row r="81" spans="3:3" x14ac:dyDescent="0.25">
      <c r="C81" s="311" t="s">
        <v>2174</v>
      </c>
    </row>
    <row r="82" spans="3:3" x14ac:dyDescent="0.25">
      <c r="C82" s="311" t="s">
        <v>2175</v>
      </c>
    </row>
    <row r="83" spans="3:3" ht="30" x14ac:dyDescent="0.25">
      <c r="C83" s="311" t="s">
        <v>2176</v>
      </c>
    </row>
    <row r="84" spans="3:3" x14ac:dyDescent="0.25">
      <c r="C84" s="311" t="s">
        <v>2177</v>
      </c>
    </row>
    <row r="85" spans="3:3" x14ac:dyDescent="0.25">
      <c r="C85" s="311" t="s">
        <v>2178</v>
      </c>
    </row>
    <row r="86" spans="3:3" x14ac:dyDescent="0.25">
      <c r="C86" s="311" t="s">
        <v>2179</v>
      </c>
    </row>
    <row r="87" spans="3:3" ht="30" x14ac:dyDescent="0.25">
      <c r="C87" s="311" t="s">
        <v>1952</v>
      </c>
    </row>
    <row r="88" spans="3:3" x14ac:dyDescent="0.25">
      <c r="C88" s="311" t="s">
        <v>2180</v>
      </c>
    </row>
    <row r="89" spans="3:3" ht="45" x14ac:dyDescent="0.25">
      <c r="C89" s="311" t="s">
        <v>1998</v>
      </c>
    </row>
    <row r="90" spans="3:3" ht="30" x14ac:dyDescent="0.25">
      <c r="C90" s="311" t="s">
        <v>2181</v>
      </c>
    </row>
    <row r="91" spans="3:3" x14ac:dyDescent="0.25">
      <c r="C91" s="311" t="s">
        <v>1930</v>
      </c>
    </row>
    <row r="92" spans="3:3" x14ac:dyDescent="0.25">
      <c r="C92" s="311" t="s">
        <v>2201</v>
      </c>
    </row>
    <row r="93" spans="3:3" x14ac:dyDescent="0.25">
      <c r="C93" s="311" t="s">
        <v>2182</v>
      </c>
    </row>
    <row r="94" spans="3:3" x14ac:dyDescent="0.25">
      <c r="C94" s="311"/>
    </row>
    <row r="95" spans="3:3" x14ac:dyDescent="0.25">
      <c r="C95" s="311"/>
    </row>
  </sheetData>
  <pageMargins left="0.7" right="0.7" top="0.75" bottom="0.75" header="0.3" footer="0.3"/>
  <tableParts count="6">
    <tablePart r:id="rId1"/>
    <tablePart r:id="rId2"/>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D4C6-B2D9-45EF-9E76-E941FCB734B0}">
  <sheetPr>
    <tabColor rgb="FFFFFF00"/>
  </sheetPr>
  <dimension ref="B2:XFD63"/>
  <sheetViews>
    <sheetView topLeftCell="B1" workbookViewId="0">
      <selection activeCell="C30" sqref="C30"/>
    </sheetView>
  </sheetViews>
  <sheetFormatPr baseColWidth="10" defaultColWidth="11.42578125" defaultRowHeight="15" x14ac:dyDescent="0.25"/>
  <cols>
    <col min="1" max="1" width="2.28515625" customWidth="1"/>
    <col min="2" max="2" width="27.42578125" bestFit="1" customWidth="1"/>
    <col min="3" max="3" width="22.85546875" bestFit="1" customWidth="1"/>
    <col min="4" max="4" width="13.42578125" bestFit="1" customWidth="1"/>
    <col min="5" max="5" width="17.5703125" bestFit="1" customWidth="1"/>
    <col min="6" max="6" width="22.7109375" bestFit="1" customWidth="1"/>
    <col min="7" max="7" width="4.140625" customWidth="1"/>
    <col min="8" max="8" width="102.5703125" bestFit="1" customWidth="1"/>
    <col min="9" max="9" width="22.85546875" bestFit="1" customWidth="1"/>
    <col min="10" max="10" width="5" customWidth="1"/>
    <col min="11" max="11" width="19" bestFit="1" customWidth="1"/>
    <col min="12" max="12" width="22.85546875" bestFit="1" customWidth="1"/>
    <col min="13" max="13" width="13.5703125" bestFit="1" customWidth="1"/>
    <col min="14" max="14" width="11.5703125" bestFit="1" customWidth="1"/>
    <col min="15" max="15" width="10.140625" bestFit="1" customWidth="1"/>
    <col min="16" max="16" width="9.140625" bestFit="1" customWidth="1"/>
    <col min="17" max="17" width="12.28515625" bestFit="1" customWidth="1"/>
    <col min="18" max="18" width="10.140625" bestFit="1" customWidth="1"/>
    <col min="19" max="19" width="11.42578125" bestFit="1" customWidth="1"/>
    <col min="20" max="20" width="9.140625" bestFit="1" customWidth="1"/>
    <col min="21" max="21" width="20.42578125" bestFit="1" customWidth="1"/>
    <col min="22" max="22" width="18.5703125" bestFit="1" customWidth="1"/>
    <col min="23" max="23" width="9.140625" bestFit="1" customWidth="1"/>
    <col min="24" max="24" width="10.85546875" bestFit="1" customWidth="1"/>
    <col min="25" max="25" width="10.140625" bestFit="1" customWidth="1"/>
    <col min="26" max="27" width="9.140625" bestFit="1" customWidth="1"/>
    <col min="28" max="28" width="12.28515625" bestFit="1" customWidth="1"/>
    <col min="29" max="30" width="10.140625" bestFit="1" customWidth="1"/>
    <col min="31" max="31" width="11.7109375" bestFit="1" customWidth="1"/>
  </cols>
  <sheetData>
    <row r="2" spans="2:16384" x14ac:dyDescent="0.25">
      <c r="B2" s="183" t="s">
        <v>452</v>
      </c>
      <c r="C2" t="s">
        <v>376</v>
      </c>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L2" s="148"/>
      <c r="BM2" s="148"/>
      <c r="BN2" s="148"/>
      <c r="BO2" s="148"/>
      <c r="BP2" s="148"/>
      <c r="BQ2" s="148"/>
      <c r="BR2" s="148"/>
      <c r="BS2" s="148"/>
      <c r="BT2" s="148"/>
      <c r="BU2" s="148"/>
      <c r="BV2" s="148"/>
      <c r="BW2" s="148"/>
      <c r="BX2" s="148"/>
      <c r="BY2" s="148"/>
      <c r="BZ2" s="148"/>
      <c r="CA2" s="148"/>
      <c r="CB2" s="148"/>
      <c r="CC2" s="148"/>
      <c r="CD2" s="148"/>
      <c r="CE2" s="148"/>
      <c r="CF2" s="148"/>
      <c r="CG2" s="148"/>
      <c r="CH2" s="148"/>
      <c r="CI2" s="148"/>
      <c r="CJ2" s="148"/>
      <c r="CK2" s="148"/>
      <c r="CL2" s="148"/>
      <c r="CM2" s="148"/>
      <c r="CN2" s="148"/>
      <c r="CO2" s="148"/>
      <c r="CP2" s="148"/>
      <c r="CQ2" s="148"/>
      <c r="CR2" s="148"/>
      <c r="CS2" s="148"/>
      <c r="CT2" s="148"/>
      <c r="CU2" s="148"/>
      <c r="CV2" s="148"/>
      <c r="CW2" s="148"/>
      <c r="CX2" s="148"/>
      <c r="CY2" s="148"/>
      <c r="CZ2" s="148"/>
      <c r="DA2" s="148"/>
      <c r="DB2" s="148"/>
      <c r="DC2" s="148"/>
      <c r="DD2" s="148"/>
      <c r="DE2" s="148"/>
      <c r="DF2" s="148"/>
      <c r="DG2" s="148"/>
      <c r="DH2" s="148"/>
      <c r="DI2" s="148"/>
      <c r="DJ2" s="148"/>
      <c r="DK2" s="148"/>
      <c r="DL2" s="148"/>
      <c r="DM2" s="148"/>
      <c r="DN2" s="148"/>
      <c r="DO2" s="148"/>
      <c r="DP2" s="148"/>
      <c r="DQ2" s="148"/>
      <c r="DR2" s="148"/>
      <c r="DS2" s="148"/>
      <c r="DT2" s="148"/>
      <c r="DU2" s="148"/>
      <c r="DV2" s="148"/>
      <c r="DW2" s="148"/>
      <c r="DX2" s="148"/>
      <c r="DY2" s="148"/>
      <c r="DZ2" s="148"/>
      <c r="EA2" s="148"/>
      <c r="EB2" s="148"/>
      <c r="EC2" s="148"/>
      <c r="ED2" s="148"/>
      <c r="EE2" s="148"/>
      <c r="EF2" s="148"/>
      <c r="EG2" s="148"/>
      <c r="EH2" s="148"/>
      <c r="EI2" s="148"/>
      <c r="EJ2" s="148"/>
      <c r="EK2" s="148"/>
      <c r="EL2" s="148"/>
      <c r="EM2" s="148"/>
      <c r="EN2" s="148"/>
      <c r="EO2" s="148"/>
      <c r="EP2" s="148"/>
      <c r="EQ2" s="148"/>
      <c r="ER2" s="148"/>
      <c r="ES2" s="148"/>
      <c r="ET2" s="148"/>
      <c r="EU2" s="148"/>
      <c r="EV2" s="148"/>
      <c r="EW2" s="148"/>
      <c r="EX2" s="148"/>
      <c r="EY2" s="148"/>
      <c r="EZ2" s="148"/>
      <c r="FA2" s="148"/>
      <c r="FB2" s="148"/>
      <c r="FC2" s="148"/>
      <c r="FD2" s="148"/>
      <c r="FE2" s="148"/>
      <c r="FF2" s="148"/>
      <c r="FG2" s="148"/>
      <c r="FH2" s="148"/>
      <c r="FI2" s="148"/>
      <c r="FJ2" s="148"/>
      <c r="FK2" s="148"/>
      <c r="FL2" s="148"/>
      <c r="FM2" s="148"/>
      <c r="FN2" s="148"/>
      <c r="FO2" s="148"/>
      <c r="FP2" s="148"/>
      <c r="FQ2" s="148"/>
      <c r="FR2" s="148"/>
      <c r="FS2" s="148"/>
      <c r="FT2" s="148"/>
      <c r="FU2" s="148"/>
      <c r="FV2" s="148"/>
      <c r="FW2" s="148"/>
      <c r="FX2" s="148"/>
      <c r="FY2" s="148"/>
      <c r="FZ2" s="148"/>
      <c r="GA2" s="148"/>
      <c r="GB2" s="148"/>
      <c r="GC2" s="148"/>
      <c r="GD2" s="148"/>
      <c r="GE2" s="148"/>
      <c r="GF2" s="148"/>
      <c r="GG2" s="148"/>
      <c r="GH2" s="148"/>
      <c r="GI2" s="148"/>
      <c r="GJ2" s="148"/>
      <c r="GK2" s="148"/>
      <c r="GL2" s="148"/>
      <c r="GM2" s="148"/>
      <c r="GN2" s="148"/>
      <c r="GO2" s="148"/>
      <c r="GP2" s="148"/>
      <c r="GQ2" s="148"/>
      <c r="GR2" s="148"/>
      <c r="GS2" s="148"/>
      <c r="GT2" s="148"/>
      <c r="GU2" s="148"/>
      <c r="GV2" s="148"/>
      <c r="GW2" s="148"/>
      <c r="GX2" s="148"/>
      <c r="GY2" s="148"/>
      <c r="GZ2" s="148"/>
      <c r="HA2" s="148"/>
      <c r="HB2" s="148"/>
      <c r="HC2" s="148"/>
      <c r="HD2" s="148"/>
      <c r="HE2" s="148"/>
      <c r="HF2" s="148"/>
      <c r="HG2" s="148"/>
      <c r="HH2" s="148"/>
      <c r="HI2" s="148"/>
      <c r="HJ2" s="148"/>
      <c r="HK2" s="148"/>
      <c r="HL2" s="148"/>
      <c r="HM2" s="148"/>
      <c r="HN2" s="148"/>
      <c r="HO2" s="148"/>
      <c r="HP2" s="148"/>
      <c r="HQ2" s="148"/>
      <c r="HR2" s="148"/>
      <c r="HS2" s="148"/>
      <c r="HT2" s="148"/>
      <c r="HU2" s="148"/>
      <c r="HV2" s="148"/>
      <c r="HW2" s="148"/>
      <c r="HX2" s="148"/>
      <c r="HY2" s="148"/>
      <c r="HZ2" s="148"/>
      <c r="IA2" s="148"/>
      <c r="IB2" s="148"/>
      <c r="IC2" s="148"/>
      <c r="ID2" s="148"/>
      <c r="IE2" s="148"/>
      <c r="IF2" s="148"/>
      <c r="IG2" s="148"/>
      <c r="IH2" s="148"/>
      <c r="II2" s="148"/>
      <c r="IJ2" s="148"/>
      <c r="IK2" s="148"/>
      <c r="IL2" s="148"/>
      <c r="IM2" s="148"/>
      <c r="IN2" s="148"/>
      <c r="IO2" s="148"/>
      <c r="IP2" s="148"/>
      <c r="IQ2" s="148"/>
      <c r="IR2" s="148"/>
      <c r="IS2" s="148"/>
      <c r="IT2" s="148"/>
      <c r="IU2" s="148"/>
      <c r="IV2" s="148"/>
      <c r="IW2" s="148"/>
      <c r="IX2" s="148"/>
      <c r="IY2" s="148"/>
      <c r="IZ2" s="148"/>
      <c r="JA2" s="148"/>
      <c r="JB2" s="148"/>
      <c r="JC2" s="148"/>
      <c r="JD2" s="148"/>
      <c r="JE2" s="148"/>
      <c r="JF2" s="148"/>
      <c r="JG2" s="148"/>
      <c r="JH2" s="148"/>
      <c r="JI2" s="148"/>
      <c r="JJ2" s="148"/>
      <c r="JK2" s="148"/>
      <c r="JL2" s="148"/>
      <c r="JM2" s="148"/>
      <c r="JN2" s="148"/>
      <c r="JO2" s="148"/>
      <c r="JP2" s="148"/>
      <c r="JQ2" s="148"/>
      <c r="JR2" s="148"/>
      <c r="JS2" s="148"/>
      <c r="JT2" s="148"/>
      <c r="JU2" s="148"/>
      <c r="JV2" s="148"/>
      <c r="JW2" s="148"/>
      <c r="JX2" s="148"/>
      <c r="JY2" s="148"/>
      <c r="JZ2" s="148"/>
      <c r="KA2" s="148"/>
      <c r="KB2" s="148"/>
      <c r="KC2" s="148"/>
      <c r="KD2" s="148"/>
      <c r="KE2" s="148"/>
      <c r="KF2" s="148"/>
      <c r="KG2" s="148"/>
      <c r="KH2" s="148"/>
      <c r="KI2" s="148"/>
      <c r="KJ2" s="148"/>
      <c r="KK2" s="148"/>
      <c r="KL2" s="148"/>
      <c r="KM2" s="148"/>
      <c r="KN2" s="148"/>
      <c r="KO2" s="148"/>
      <c r="KP2" s="148"/>
      <c r="KQ2" s="148"/>
      <c r="KR2" s="148"/>
      <c r="KS2" s="148"/>
      <c r="KT2" s="148"/>
      <c r="KU2" s="148"/>
      <c r="KV2" s="148"/>
      <c r="KW2" s="148"/>
      <c r="KX2" s="148"/>
      <c r="KY2" s="148"/>
      <c r="KZ2" s="148"/>
      <c r="LA2" s="148"/>
      <c r="LB2" s="148"/>
      <c r="LC2" s="148"/>
      <c r="LD2" s="148"/>
      <c r="LE2" s="148"/>
      <c r="LF2" s="148"/>
      <c r="LG2" s="148"/>
      <c r="LH2" s="148"/>
      <c r="LI2" s="148"/>
      <c r="LJ2" s="148"/>
      <c r="LK2" s="148"/>
      <c r="LL2" s="148"/>
      <c r="LM2" s="148"/>
      <c r="LN2" s="148"/>
      <c r="LO2" s="148"/>
      <c r="LP2" s="148"/>
      <c r="LQ2" s="148"/>
      <c r="LR2" s="148"/>
      <c r="LS2" s="148"/>
      <c r="LT2" s="148"/>
      <c r="LU2" s="148"/>
      <c r="LV2" s="148"/>
      <c r="LW2" s="148"/>
      <c r="LX2" s="148"/>
      <c r="LY2" s="148"/>
      <c r="LZ2" s="148"/>
      <c r="MA2" s="148"/>
      <c r="MB2" s="148"/>
      <c r="MC2" s="148"/>
      <c r="MD2" s="148"/>
      <c r="ME2" s="148"/>
      <c r="MF2" s="148"/>
      <c r="MG2" s="148"/>
      <c r="MH2" s="148"/>
      <c r="MI2" s="148"/>
      <c r="MJ2" s="148"/>
      <c r="MK2" s="148"/>
      <c r="ML2" s="148"/>
      <c r="MM2" s="148"/>
      <c r="MN2" s="148"/>
      <c r="MO2" s="148"/>
      <c r="MP2" s="148"/>
      <c r="MQ2" s="148"/>
      <c r="MR2" s="148"/>
      <c r="MS2" s="148"/>
      <c r="MT2" s="148"/>
      <c r="MU2" s="148"/>
      <c r="MV2" s="148"/>
      <c r="MW2" s="148"/>
      <c r="MX2" s="148"/>
      <c r="MY2" s="148"/>
      <c r="MZ2" s="148"/>
      <c r="NA2" s="148"/>
      <c r="NB2" s="148"/>
      <c r="NC2" s="148"/>
      <c r="ND2" s="148"/>
      <c r="NE2" s="148"/>
      <c r="NF2" s="148"/>
      <c r="NG2" s="148"/>
      <c r="NH2" s="148"/>
      <c r="NI2" s="148"/>
      <c r="NJ2" s="148"/>
      <c r="NK2" s="148"/>
      <c r="NL2" s="148"/>
      <c r="NM2" s="148"/>
      <c r="NN2" s="148"/>
      <c r="NO2" s="148"/>
      <c r="NP2" s="148"/>
      <c r="NQ2" s="148"/>
      <c r="NR2" s="148"/>
      <c r="NS2" s="148"/>
      <c r="NT2" s="148"/>
      <c r="NU2" s="148"/>
      <c r="NV2" s="148"/>
      <c r="NW2" s="148"/>
      <c r="NX2" s="148"/>
      <c r="NY2" s="148"/>
      <c r="NZ2" s="148"/>
      <c r="OA2" s="148"/>
      <c r="OB2" s="148"/>
      <c r="OC2" s="148"/>
      <c r="OD2" s="148"/>
      <c r="OE2" s="148"/>
      <c r="OF2" s="148"/>
      <c r="OG2" s="148"/>
      <c r="OH2" s="148"/>
      <c r="OI2" s="148"/>
      <c r="OJ2" s="148"/>
      <c r="OK2" s="148"/>
      <c r="OL2" s="148"/>
      <c r="OM2" s="148"/>
      <c r="ON2" s="148"/>
      <c r="OO2" s="148"/>
      <c r="OP2" s="148"/>
      <c r="OQ2" s="148"/>
      <c r="OR2" s="148"/>
      <c r="OS2" s="148"/>
      <c r="OT2" s="148"/>
      <c r="OU2" s="148"/>
      <c r="OV2" s="148"/>
      <c r="OW2" s="148"/>
      <c r="OX2" s="148"/>
      <c r="OY2" s="148"/>
      <c r="OZ2" s="148"/>
      <c r="PA2" s="148"/>
      <c r="PB2" s="148"/>
      <c r="PC2" s="148"/>
      <c r="PD2" s="148"/>
      <c r="PE2" s="148"/>
      <c r="PF2" s="148"/>
      <c r="PG2" s="148"/>
      <c r="PH2" s="148"/>
      <c r="PI2" s="148"/>
      <c r="PJ2" s="148"/>
      <c r="PK2" s="148"/>
      <c r="PL2" s="148"/>
      <c r="PM2" s="148"/>
      <c r="PN2" s="148"/>
      <c r="PO2" s="148"/>
      <c r="PP2" s="148"/>
      <c r="PQ2" s="148"/>
      <c r="PR2" s="148"/>
      <c r="PS2" s="148"/>
      <c r="PT2" s="148"/>
      <c r="PU2" s="148"/>
      <c r="PV2" s="148"/>
      <c r="PW2" s="148"/>
      <c r="PX2" s="148"/>
      <c r="PY2" s="148"/>
      <c r="PZ2" s="148"/>
      <c r="QA2" s="148"/>
      <c r="QB2" s="148"/>
      <c r="QC2" s="148"/>
      <c r="QD2" s="148"/>
      <c r="QE2" s="148"/>
      <c r="QF2" s="148"/>
      <c r="QG2" s="148"/>
      <c r="QH2" s="148"/>
      <c r="QI2" s="148"/>
      <c r="QJ2" s="148"/>
      <c r="QK2" s="148"/>
      <c r="QL2" s="148"/>
      <c r="QM2" s="148"/>
      <c r="QN2" s="148"/>
      <c r="QO2" s="148"/>
      <c r="QP2" s="148"/>
      <c r="QQ2" s="148"/>
      <c r="QR2" s="148"/>
      <c r="QS2" s="148"/>
      <c r="QT2" s="148"/>
      <c r="QU2" s="148"/>
      <c r="QV2" s="148"/>
      <c r="QW2" s="148"/>
      <c r="QX2" s="148"/>
      <c r="QY2" s="148"/>
      <c r="QZ2" s="148"/>
      <c r="RA2" s="148"/>
      <c r="RB2" s="148"/>
      <c r="RC2" s="148"/>
      <c r="RD2" s="148"/>
      <c r="RE2" s="148"/>
      <c r="RF2" s="148"/>
      <c r="RG2" s="148"/>
      <c r="RH2" s="148"/>
      <c r="RI2" s="148"/>
      <c r="RJ2" s="148"/>
      <c r="RK2" s="148"/>
      <c r="RL2" s="148"/>
      <c r="RM2" s="148"/>
      <c r="RN2" s="148"/>
      <c r="RO2" s="148"/>
      <c r="RP2" s="148"/>
      <c r="RQ2" s="148"/>
      <c r="RR2" s="148"/>
      <c r="RS2" s="148"/>
      <c r="RT2" s="148"/>
      <c r="RU2" s="148"/>
      <c r="RV2" s="148"/>
      <c r="RW2" s="148"/>
      <c r="RX2" s="148"/>
      <c r="RY2" s="148"/>
      <c r="RZ2" s="148"/>
      <c r="SA2" s="148"/>
      <c r="SB2" s="148"/>
      <c r="SC2" s="148"/>
      <c r="SD2" s="148"/>
      <c r="SE2" s="148"/>
      <c r="SF2" s="148"/>
      <c r="SG2" s="148"/>
      <c r="SH2" s="148"/>
      <c r="SI2" s="148"/>
      <c r="SJ2" s="148"/>
      <c r="SK2" s="148"/>
      <c r="SL2" s="148"/>
      <c r="SM2" s="148"/>
      <c r="SN2" s="148"/>
      <c r="SO2" s="148"/>
      <c r="SP2" s="148"/>
      <c r="SQ2" s="148"/>
      <c r="SR2" s="148"/>
      <c r="SS2" s="148"/>
      <c r="ST2" s="148"/>
      <c r="SU2" s="148"/>
      <c r="SV2" s="148"/>
      <c r="SW2" s="148"/>
      <c r="SX2" s="148"/>
      <c r="SY2" s="148"/>
      <c r="SZ2" s="148"/>
      <c r="TA2" s="148"/>
      <c r="TB2" s="148"/>
      <c r="TC2" s="148"/>
      <c r="TD2" s="148"/>
      <c r="TE2" s="148"/>
      <c r="TF2" s="148"/>
      <c r="TG2" s="148"/>
      <c r="TH2" s="148"/>
      <c r="TI2" s="148"/>
      <c r="TJ2" s="148"/>
      <c r="TK2" s="148"/>
      <c r="TL2" s="148"/>
      <c r="TM2" s="148"/>
      <c r="TN2" s="148"/>
      <c r="TO2" s="148"/>
      <c r="TP2" s="148"/>
      <c r="TQ2" s="148"/>
      <c r="TR2" s="148"/>
      <c r="TS2" s="148"/>
      <c r="TT2" s="148"/>
      <c r="TU2" s="148"/>
      <c r="TV2" s="148"/>
      <c r="TW2" s="148"/>
      <c r="TX2" s="148"/>
      <c r="TY2" s="148"/>
      <c r="TZ2" s="148"/>
      <c r="UA2" s="148"/>
      <c r="UB2" s="148"/>
      <c r="UC2" s="148"/>
      <c r="UD2" s="148"/>
      <c r="UE2" s="148"/>
      <c r="UF2" s="148"/>
      <c r="UG2" s="148"/>
      <c r="UH2" s="148"/>
      <c r="UI2" s="148"/>
      <c r="UJ2" s="148"/>
      <c r="UK2" s="148"/>
      <c r="UL2" s="148"/>
      <c r="UM2" s="148"/>
      <c r="UN2" s="148"/>
      <c r="UO2" s="148"/>
      <c r="UP2" s="148"/>
      <c r="UQ2" s="148"/>
      <c r="UR2" s="148"/>
      <c r="US2" s="148"/>
      <c r="UT2" s="148"/>
      <c r="UU2" s="148"/>
      <c r="UV2" s="148"/>
      <c r="UW2" s="148"/>
      <c r="UX2" s="148"/>
      <c r="UY2" s="148"/>
      <c r="UZ2" s="148"/>
      <c r="VA2" s="148"/>
      <c r="VB2" s="148"/>
      <c r="VC2" s="148"/>
      <c r="VD2" s="148"/>
      <c r="VE2" s="148"/>
      <c r="VF2" s="148"/>
      <c r="VG2" s="148"/>
      <c r="VH2" s="148"/>
      <c r="VI2" s="148"/>
      <c r="VJ2" s="148"/>
      <c r="VK2" s="148"/>
      <c r="VL2" s="148"/>
      <c r="VM2" s="148"/>
      <c r="VN2" s="148"/>
      <c r="VO2" s="148"/>
      <c r="VP2" s="148"/>
      <c r="VQ2" s="148"/>
      <c r="VR2" s="148"/>
      <c r="VS2" s="148"/>
      <c r="VT2" s="148"/>
      <c r="VU2" s="148"/>
      <c r="VV2" s="148"/>
      <c r="VW2" s="148"/>
      <c r="VX2" s="148"/>
      <c r="VY2" s="148"/>
      <c r="VZ2" s="148"/>
      <c r="WA2" s="148"/>
      <c r="WB2" s="148"/>
      <c r="WC2" s="148"/>
      <c r="WD2" s="148"/>
      <c r="WE2" s="148"/>
      <c r="WF2" s="148"/>
      <c r="WG2" s="148"/>
      <c r="WH2" s="148"/>
      <c r="WI2" s="148"/>
      <c r="WJ2" s="148"/>
      <c r="WK2" s="148"/>
      <c r="WL2" s="148"/>
      <c r="WM2" s="148"/>
      <c r="WN2" s="148"/>
      <c r="WO2" s="148"/>
      <c r="WP2" s="148"/>
      <c r="WQ2" s="148"/>
      <c r="WR2" s="148"/>
      <c r="WS2" s="148"/>
      <c r="WT2" s="148"/>
      <c r="WU2" s="148"/>
      <c r="WV2" s="148"/>
      <c r="WW2" s="148"/>
      <c r="WX2" s="148"/>
      <c r="WY2" s="148"/>
      <c r="WZ2" s="148"/>
      <c r="XA2" s="148"/>
      <c r="XB2" s="148"/>
      <c r="XC2" s="148"/>
      <c r="XD2" s="148"/>
      <c r="XE2" s="148"/>
      <c r="XF2" s="148"/>
      <c r="XG2" s="148"/>
      <c r="XH2" s="148"/>
      <c r="XI2" s="148"/>
      <c r="XJ2" s="148"/>
      <c r="XK2" s="148"/>
      <c r="XL2" s="148"/>
      <c r="XM2" s="148"/>
      <c r="XN2" s="148"/>
      <c r="XO2" s="148"/>
      <c r="XP2" s="148"/>
      <c r="XQ2" s="148"/>
      <c r="XR2" s="148"/>
      <c r="XS2" s="148"/>
      <c r="XT2" s="148"/>
      <c r="XU2" s="148"/>
      <c r="XV2" s="148"/>
      <c r="XW2" s="148"/>
      <c r="XX2" s="148"/>
      <c r="XY2" s="148"/>
      <c r="XZ2" s="148"/>
      <c r="YA2" s="148"/>
      <c r="YB2" s="148"/>
      <c r="YC2" s="148"/>
      <c r="YD2" s="148"/>
      <c r="YE2" s="148"/>
      <c r="YF2" s="148"/>
      <c r="YG2" s="148"/>
      <c r="YH2" s="148"/>
      <c r="YI2" s="148"/>
      <c r="YJ2" s="148"/>
      <c r="YK2" s="148"/>
      <c r="YL2" s="148"/>
      <c r="YM2" s="148"/>
      <c r="YN2" s="148"/>
      <c r="YO2" s="148"/>
      <c r="YP2" s="148"/>
      <c r="YQ2" s="148"/>
      <c r="YR2" s="148"/>
      <c r="YS2" s="148"/>
      <c r="YT2" s="148"/>
      <c r="YU2" s="148"/>
      <c r="YV2" s="148"/>
      <c r="YW2" s="148"/>
      <c r="YX2" s="148"/>
      <c r="YY2" s="148"/>
      <c r="YZ2" s="148"/>
      <c r="ZA2" s="148"/>
      <c r="ZB2" s="148"/>
      <c r="ZC2" s="148"/>
      <c r="ZD2" s="148"/>
      <c r="ZE2" s="148"/>
      <c r="ZF2" s="148"/>
      <c r="ZG2" s="148"/>
      <c r="ZH2" s="148"/>
      <c r="ZI2" s="148"/>
      <c r="ZJ2" s="148"/>
      <c r="ZK2" s="148"/>
      <c r="ZL2" s="148"/>
      <c r="ZM2" s="148"/>
      <c r="ZN2" s="148"/>
      <c r="ZO2" s="148"/>
      <c r="ZP2" s="148"/>
      <c r="ZQ2" s="148"/>
      <c r="ZR2" s="148"/>
      <c r="ZS2" s="148"/>
      <c r="ZT2" s="148"/>
      <c r="ZU2" s="148"/>
      <c r="ZV2" s="148"/>
      <c r="ZW2" s="148"/>
      <c r="ZX2" s="148"/>
      <c r="ZY2" s="148"/>
      <c r="ZZ2" s="148"/>
      <c r="AAA2" s="148"/>
      <c r="AAB2" s="148"/>
      <c r="AAC2" s="148"/>
      <c r="AAD2" s="148"/>
      <c r="AAE2" s="148"/>
      <c r="AAF2" s="148"/>
      <c r="AAG2" s="148"/>
      <c r="AAH2" s="148"/>
      <c r="AAI2" s="148"/>
      <c r="AAJ2" s="148"/>
      <c r="AAK2" s="148"/>
      <c r="AAL2" s="148"/>
      <c r="AAM2" s="148"/>
      <c r="AAN2" s="148"/>
      <c r="AAO2" s="148"/>
      <c r="AAP2" s="148"/>
      <c r="AAQ2" s="148"/>
      <c r="AAR2" s="148"/>
      <c r="AAS2" s="148"/>
      <c r="AAT2" s="148"/>
      <c r="AAU2" s="148"/>
      <c r="AAV2" s="148"/>
      <c r="AAW2" s="148"/>
      <c r="AAX2" s="148"/>
      <c r="AAY2" s="148"/>
      <c r="AAZ2" s="148"/>
      <c r="ABA2" s="148"/>
      <c r="ABB2" s="148"/>
      <c r="ABC2" s="148"/>
      <c r="ABD2" s="148"/>
      <c r="ABE2" s="148"/>
      <c r="ABF2" s="148"/>
      <c r="ABG2" s="148"/>
      <c r="ABH2" s="148"/>
      <c r="ABI2" s="148"/>
      <c r="ABJ2" s="148"/>
      <c r="ABK2" s="148"/>
      <c r="ABL2" s="148"/>
      <c r="ABM2" s="148"/>
      <c r="ABN2" s="148"/>
      <c r="ABO2" s="148"/>
      <c r="ABP2" s="148"/>
      <c r="ABQ2" s="148"/>
      <c r="ABR2" s="148"/>
      <c r="ABS2" s="148"/>
      <c r="ABT2" s="148"/>
      <c r="ABU2" s="148"/>
      <c r="ABV2" s="148"/>
      <c r="ABW2" s="148"/>
      <c r="ABX2" s="148"/>
      <c r="ABY2" s="148"/>
      <c r="ABZ2" s="148"/>
      <c r="ACA2" s="148"/>
      <c r="ACB2" s="148"/>
      <c r="ACC2" s="148"/>
      <c r="ACD2" s="148"/>
      <c r="ACE2" s="148"/>
      <c r="ACF2" s="148"/>
      <c r="ACG2" s="148"/>
      <c r="ACH2" s="148"/>
      <c r="ACI2" s="148"/>
      <c r="ACJ2" s="148"/>
      <c r="ACK2" s="148"/>
      <c r="ACL2" s="148"/>
      <c r="ACM2" s="148"/>
      <c r="ACN2" s="148"/>
      <c r="ACO2" s="148"/>
      <c r="ACP2" s="148"/>
      <c r="ACQ2" s="148"/>
      <c r="ACR2" s="148"/>
      <c r="ACS2" s="148"/>
      <c r="ACT2" s="148"/>
      <c r="ACU2" s="148"/>
      <c r="ACV2" s="148"/>
      <c r="ACW2" s="148"/>
      <c r="ACX2" s="148"/>
      <c r="ACY2" s="148"/>
      <c r="ACZ2" s="148"/>
      <c r="ADA2" s="148"/>
      <c r="ADB2" s="148"/>
      <c r="ADC2" s="148"/>
      <c r="ADD2" s="148"/>
      <c r="ADE2" s="148"/>
      <c r="ADF2" s="148"/>
      <c r="ADG2" s="148"/>
      <c r="ADH2" s="148"/>
      <c r="ADI2" s="148"/>
      <c r="ADJ2" s="148"/>
      <c r="ADK2" s="148"/>
      <c r="ADL2" s="148"/>
      <c r="ADM2" s="148"/>
      <c r="ADN2" s="148"/>
      <c r="ADO2" s="148"/>
      <c r="ADP2" s="148"/>
      <c r="ADQ2" s="148"/>
      <c r="ADR2" s="148"/>
      <c r="ADS2" s="148"/>
      <c r="ADT2" s="148"/>
      <c r="ADU2" s="148"/>
      <c r="ADV2" s="148"/>
      <c r="ADW2" s="148"/>
      <c r="ADX2" s="148"/>
      <c r="ADY2" s="148"/>
      <c r="ADZ2" s="148"/>
      <c r="AEA2" s="148"/>
      <c r="AEB2" s="148"/>
      <c r="AEC2" s="148"/>
      <c r="AED2" s="148"/>
      <c r="AEE2" s="148"/>
      <c r="AEF2" s="148"/>
      <c r="AEG2" s="148"/>
      <c r="AEH2" s="148"/>
      <c r="AEI2" s="148"/>
      <c r="AEJ2" s="148"/>
      <c r="AEK2" s="148"/>
      <c r="AEL2" s="148"/>
      <c r="AEM2" s="148"/>
      <c r="AEN2" s="148"/>
      <c r="AEO2" s="148"/>
      <c r="AEP2" s="148"/>
      <c r="AEQ2" s="148"/>
      <c r="AER2" s="148"/>
      <c r="AES2" s="148"/>
      <c r="AET2" s="148"/>
      <c r="AEU2" s="148"/>
      <c r="AEV2" s="148"/>
      <c r="AEW2" s="148"/>
      <c r="AEX2" s="148"/>
      <c r="AEY2" s="148"/>
      <c r="AEZ2" s="148"/>
      <c r="AFA2" s="148"/>
      <c r="AFB2" s="148"/>
      <c r="AFC2" s="148"/>
      <c r="AFD2" s="148"/>
      <c r="AFE2" s="148"/>
      <c r="AFF2" s="148"/>
      <c r="AFG2" s="148"/>
      <c r="AFH2" s="148"/>
      <c r="AFI2" s="148"/>
      <c r="AFJ2" s="148"/>
      <c r="AFK2" s="148"/>
      <c r="AFL2" s="148"/>
      <c r="AFM2" s="148"/>
      <c r="AFN2" s="148"/>
      <c r="AFO2" s="148"/>
      <c r="AFP2" s="148"/>
      <c r="AFQ2" s="148"/>
      <c r="AFR2" s="148"/>
      <c r="AFS2" s="148"/>
      <c r="AFT2" s="148"/>
      <c r="AFU2" s="148"/>
      <c r="AFV2" s="148"/>
      <c r="AFW2" s="148"/>
      <c r="AFX2" s="148"/>
      <c r="AFY2" s="148"/>
      <c r="AFZ2" s="148"/>
      <c r="AGA2" s="148"/>
      <c r="AGB2" s="148"/>
      <c r="AGC2" s="148"/>
      <c r="AGD2" s="148"/>
      <c r="AGE2" s="148"/>
      <c r="AGF2" s="148"/>
      <c r="AGG2" s="148"/>
      <c r="AGH2" s="148"/>
      <c r="AGI2" s="148"/>
      <c r="AGJ2" s="148"/>
      <c r="AGK2" s="148"/>
      <c r="AGL2" s="148"/>
      <c r="AGM2" s="148"/>
      <c r="AGN2" s="148"/>
      <c r="AGO2" s="148"/>
      <c r="AGP2" s="148"/>
      <c r="AGQ2" s="148"/>
      <c r="AGR2" s="148"/>
      <c r="AGS2" s="148"/>
      <c r="AGT2" s="148"/>
      <c r="AGU2" s="148"/>
      <c r="AGV2" s="148"/>
      <c r="AGW2" s="148"/>
      <c r="AGX2" s="148"/>
      <c r="AGY2" s="148"/>
      <c r="AGZ2" s="148"/>
      <c r="AHA2" s="148"/>
      <c r="AHB2" s="148"/>
      <c r="AHC2" s="148"/>
      <c r="AHD2" s="148"/>
      <c r="AHE2" s="148"/>
      <c r="AHF2" s="148"/>
      <c r="AHG2" s="148"/>
      <c r="AHH2" s="148"/>
      <c r="AHI2" s="148"/>
      <c r="AHJ2" s="148"/>
      <c r="AHK2" s="148"/>
      <c r="AHL2" s="148"/>
      <c r="AHM2" s="148"/>
      <c r="AHN2" s="148"/>
      <c r="AHO2" s="148"/>
      <c r="AHP2" s="148"/>
      <c r="AHQ2" s="148"/>
      <c r="AHR2" s="148"/>
      <c r="AHS2" s="148"/>
      <c r="AHT2" s="148"/>
      <c r="AHU2" s="148"/>
      <c r="AHV2" s="148"/>
      <c r="AHW2" s="148"/>
      <c r="AHX2" s="148"/>
      <c r="AHY2" s="148"/>
      <c r="AHZ2" s="148"/>
      <c r="AIA2" s="148"/>
      <c r="AIB2" s="148"/>
      <c r="AIC2" s="148"/>
      <c r="AID2" s="148"/>
      <c r="AIE2" s="148"/>
      <c r="AIF2" s="148"/>
      <c r="AIG2" s="148"/>
      <c r="AIH2" s="148"/>
      <c r="AII2" s="148"/>
      <c r="AIJ2" s="148"/>
      <c r="AIK2" s="148"/>
      <c r="AIL2" s="148"/>
      <c r="AIM2" s="148"/>
      <c r="AIN2" s="148"/>
      <c r="AIO2" s="148"/>
      <c r="AIP2" s="148"/>
      <c r="AIQ2" s="148"/>
      <c r="AIR2" s="148"/>
      <c r="AIS2" s="148"/>
      <c r="AIT2" s="148"/>
      <c r="AIU2" s="148"/>
      <c r="AIV2" s="148"/>
      <c r="AIW2" s="148"/>
      <c r="AIX2" s="148"/>
      <c r="AIY2" s="148"/>
      <c r="AIZ2" s="148"/>
      <c r="AJA2" s="148"/>
      <c r="AJB2" s="148"/>
      <c r="AJC2" s="148"/>
      <c r="AJD2" s="148"/>
      <c r="AJE2" s="148"/>
      <c r="AJF2" s="148"/>
      <c r="AJG2" s="148"/>
      <c r="AJH2" s="148"/>
      <c r="AJI2" s="148"/>
      <c r="AJJ2" s="148"/>
      <c r="AJK2" s="148"/>
      <c r="AJL2" s="148"/>
      <c r="AJM2" s="148"/>
      <c r="AJN2" s="148"/>
      <c r="AJO2" s="148"/>
      <c r="AJP2" s="148"/>
      <c r="AJQ2" s="148"/>
      <c r="AJR2" s="148"/>
      <c r="AJS2" s="148"/>
      <c r="AJT2" s="148"/>
      <c r="AJU2" s="148"/>
      <c r="AJV2" s="148"/>
      <c r="AJW2" s="148"/>
      <c r="AJX2" s="148"/>
      <c r="AJY2" s="148"/>
      <c r="AJZ2" s="148"/>
      <c r="AKA2" s="148"/>
      <c r="AKB2" s="148"/>
      <c r="AKC2" s="148"/>
      <c r="AKD2" s="148"/>
      <c r="AKE2" s="148"/>
      <c r="AKF2" s="148"/>
      <c r="AKG2" s="148"/>
      <c r="AKH2" s="148"/>
      <c r="AKI2" s="148"/>
      <c r="AKJ2" s="148"/>
      <c r="AKK2" s="148"/>
      <c r="AKL2" s="148"/>
      <c r="AKM2" s="148"/>
      <c r="AKN2" s="148"/>
      <c r="AKO2" s="148"/>
      <c r="AKP2" s="148"/>
      <c r="AKQ2" s="148"/>
      <c r="AKR2" s="148"/>
      <c r="AKS2" s="148"/>
      <c r="AKT2" s="148"/>
      <c r="AKU2" s="148"/>
      <c r="AKV2" s="148"/>
      <c r="AKW2" s="148"/>
      <c r="AKX2" s="148"/>
      <c r="AKY2" s="148"/>
      <c r="AKZ2" s="148"/>
      <c r="ALA2" s="148"/>
      <c r="ALB2" s="148"/>
      <c r="ALC2" s="148"/>
      <c r="ALD2" s="148"/>
      <c r="ALE2" s="148"/>
      <c r="ALF2" s="148"/>
      <c r="ALG2" s="148"/>
      <c r="ALH2" s="148"/>
      <c r="ALI2" s="148"/>
      <c r="ALJ2" s="148"/>
      <c r="ALK2" s="148"/>
      <c r="ALL2" s="148"/>
      <c r="ALM2" s="148"/>
      <c r="ALN2" s="148"/>
      <c r="ALO2" s="148"/>
      <c r="ALP2" s="148"/>
      <c r="ALQ2" s="148"/>
      <c r="ALR2" s="148"/>
      <c r="ALS2" s="148"/>
      <c r="ALT2" s="148"/>
      <c r="ALU2" s="148"/>
      <c r="ALV2" s="148"/>
      <c r="ALW2" s="148"/>
      <c r="ALX2" s="148"/>
      <c r="ALY2" s="148"/>
      <c r="ALZ2" s="148"/>
      <c r="AMA2" s="148"/>
      <c r="AMB2" s="148"/>
      <c r="AMC2" s="148"/>
      <c r="AMD2" s="148"/>
      <c r="AME2" s="148"/>
      <c r="AMF2" s="148"/>
      <c r="AMG2" s="148"/>
      <c r="AMH2" s="148"/>
      <c r="AMI2" s="148"/>
      <c r="AMJ2" s="148"/>
      <c r="AMK2" s="148"/>
      <c r="AML2" s="148"/>
      <c r="AMM2" s="148"/>
      <c r="AMN2" s="148"/>
      <c r="AMO2" s="148"/>
      <c r="AMP2" s="148"/>
      <c r="AMQ2" s="148"/>
      <c r="AMR2" s="148"/>
      <c r="AMS2" s="148"/>
      <c r="AMT2" s="148"/>
      <c r="AMU2" s="148"/>
      <c r="AMV2" s="148"/>
      <c r="AMW2" s="148"/>
      <c r="AMX2" s="148"/>
      <c r="AMY2" s="148"/>
      <c r="AMZ2" s="148"/>
      <c r="ANA2" s="148"/>
      <c r="ANB2" s="148"/>
      <c r="ANC2" s="148"/>
      <c r="AND2" s="148"/>
      <c r="ANE2" s="148"/>
      <c r="ANF2" s="148"/>
      <c r="ANG2" s="148"/>
      <c r="ANH2" s="148"/>
      <c r="ANI2" s="148"/>
      <c r="ANJ2" s="148"/>
      <c r="ANK2" s="148"/>
      <c r="ANL2" s="148"/>
      <c r="ANM2" s="148"/>
      <c r="ANN2" s="148"/>
      <c r="ANO2" s="148"/>
      <c r="ANP2" s="148"/>
      <c r="ANQ2" s="148"/>
      <c r="ANR2" s="148"/>
      <c r="ANS2" s="148"/>
      <c r="ANT2" s="148"/>
      <c r="ANU2" s="148"/>
      <c r="ANV2" s="148"/>
      <c r="ANW2" s="148"/>
      <c r="ANX2" s="148"/>
      <c r="ANY2" s="148"/>
      <c r="ANZ2" s="148"/>
      <c r="AOA2" s="148"/>
      <c r="AOB2" s="148"/>
      <c r="AOC2" s="148"/>
      <c r="AOD2" s="148"/>
      <c r="AOE2" s="148"/>
      <c r="AOF2" s="148"/>
      <c r="AOG2" s="148"/>
      <c r="AOH2" s="148"/>
      <c r="AOI2" s="148"/>
      <c r="AOJ2" s="148"/>
      <c r="AOK2" s="148"/>
      <c r="AOL2" s="148"/>
      <c r="AOM2" s="148"/>
      <c r="AON2" s="148"/>
      <c r="AOO2" s="148"/>
      <c r="AOP2" s="148"/>
      <c r="AOQ2" s="148"/>
      <c r="AOR2" s="148"/>
      <c r="AOS2" s="148"/>
      <c r="AOT2" s="148"/>
      <c r="AOU2" s="148"/>
      <c r="AOV2" s="148"/>
      <c r="AOW2" s="148"/>
      <c r="AOX2" s="148"/>
      <c r="AOY2" s="148"/>
      <c r="AOZ2" s="148"/>
      <c r="APA2" s="148"/>
      <c r="APB2" s="148"/>
      <c r="APC2" s="148"/>
      <c r="APD2" s="148"/>
      <c r="APE2" s="148"/>
      <c r="APF2" s="148"/>
      <c r="APG2" s="148"/>
      <c r="APH2" s="148"/>
      <c r="API2" s="148"/>
      <c r="APJ2" s="148"/>
      <c r="APK2" s="148"/>
      <c r="APL2" s="148"/>
      <c r="APM2" s="148"/>
      <c r="APN2" s="148"/>
      <c r="APO2" s="148"/>
      <c r="APP2" s="148"/>
      <c r="APQ2" s="148"/>
      <c r="APR2" s="148"/>
      <c r="APS2" s="148"/>
      <c r="APT2" s="148"/>
      <c r="APU2" s="148"/>
      <c r="APV2" s="148"/>
      <c r="APW2" s="148"/>
      <c r="APX2" s="148"/>
      <c r="APY2" s="148"/>
      <c r="APZ2" s="148"/>
      <c r="AQA2" s="148"/>
      <c r="AQB2" s="148"/>
      <c r="AQC2" s="148"/>
      <c r="AQD2" s="148"/>
      <c r="AQE2" s="148"/>
      <c r="AQF2" s="148"/>
      <c r="AQG2" s="148"/>
      <c r="AQH2" s="148"/>
      <c r="AQI2" s="148"/>
      <c r="AQJ2" s="148"/>
      <c r="AQK2" s="148"/>
      <c r="AQL2" s="148"/>
      <c r="AQM2" s="148"/>
      <c r="AQN2" s="148"/>
      <c r="AQO2" s="148"/>
      <c r="AQP2" s="148"/>
      <c r="AQQ2" s="148"/>
      <c r="AQR2" s="148"/>
      <c r="AQS2" s="148"/>
      <c r="AQT2" s="148"/>
      <c r="AQU2" s="148"/>
      <c r="AQV2" s="148"/>
      <c r="AQW2" s="148"/>
      <c r="AQX2" s="148"/>
      <c r="AQY2" s="148"/>
      <c r="AQZ2" s="148"/>
      <c r="ARA2" s="148"/>
      <c r="ARB2" s="148"/>
      <c r="ARC2" s="148"/>
      <c r="ARD2" s="148"/>
      <c r="ARE2" s="148"/>
      <c r="ARF2" s="148"/>
      <c r="ARG2" s="148"/>
      <c r="ARH2" s="148"/>
      <c r="ARI2" s="148"/>
      <c r="ARJ2" s="148"/>
      <c r="ARK2" s="148"/>
      <c r="ARL2" s="148"/>
      <c r="ARM2" s="148"/>
      <c r="ARN2" s="148"/>
      <c r="ARO2" s="148"/>
      <c r="ARP2" s="148"/>
      <c r="ARQ2" s="148"/>
      <c r="ARR2" s="148"/>
      <c r="ARS2" s="148"/>
      <c r="ART2" s="148"/>
      <c r="ARU2" s="148"/>
      <c r="ARV2" s="148"/>
      <c r="ARW2" s="148"/>
      <c r="ARX2" s="148"/>
      <c r="ARY2" s="148"/>
      <c r="ARZ2" s="148"/>
      <c r="ASA2" s="148"/>
      <c r="ASB2" s="148"/>
      <c r="ASC2" s="148"/>
      <c r="ASD2" s="148"/>
      <c r="ASE2" s="148"/>
      <c r="ASF2" s="148"/>
      <c r="ASG2" s="148"/>
      <c r="ASH2" s="148"/>
      <c r="ASI2" s="148"/>
      <c r="ASJ2" s="148"/>
      <c r="ASK2" s="148"/>
      <c r="ASL2" s="148"/>
      <c r="ASM2" s="148"/>
      <c r="ASN2" s="148"/>
      <c r="ASO2" s="148"/>
      <c r="ASP2" s="148"/>
      <c r="ASQ2" s="148"/>
      <c r="ASR2" s="148"/>
      <c r="ASS2" s="148"/>
      <c r="AST2" s="148"/>
      <c r="ASU2" s="148"/>
      <c r="ASV2" s="148"/>
      <c r="ASW2" s="148"/>
      <c r="ASX2" s="148"/>
      <c r="ASY2" s="148"/>
      <c r="ASZ2" s="148"/>
      <c r="ATA2" s="148"/>
      <c r="ATB2" s="148"/>
      <c r="ATC2" s="148"/>
      <c r="ATD2" s="148"/>
      <c r="ATE2" s="148"/>
      <c r="ATF2" s="148"/>
      <c r="ATG2" s="148"/>
      <c r="ATH2" s="148"/>
      <c r="ATI2" s="148"/>
      <c r="ATJ2" s="148"/>
      <c r="ATK2" s="148"/>
      <c r="ATL2" s="148"/>
      <c r="ATM2" s="148"/>
      <c r="ATN2" s="148"/>
      <c r="ATO2" s="148"/>
      <c r="ATP2" s="148"/>
      <c r="ATQ2" s="148"/>
      <c r="ATR2" s="148"/>
      <c r="ATS2" s="148"/>
      <c r="ATT2" s="148"/>
      <c r="ATU2" s="148"/>
      <c r="ATV2" s="148"/>
      <c r="ATW2" s="148"/>
      <c r="ATX2" s="148"/>
      <c r="ATY2" s="148"/>
      <c r="ATZ2" s="148"/>
      <c r="AUA2" s="148"/>
      <c r="AUB2" s="148"/>
      <c r="AUC2" s="148"/>
      <c r="AUD2" s="148"/>
      <c r="AUE2" s="148"/>
      <c r="AUF2" s="148"/>
      <c r="AUG2" s="148"/>
      <c r="AUH2" s="148"/>
      <c r="AUI2" s="148"/>
      <c r="AUJ2" s="148"/>
      <c r="AUK2" s="148"/>
      <c r="AUL2" s="148"/>
      <c r="AUM2" s="148"/>
      <c r="AUN2" s="148"/>
      <c r="AUO2" s="148"/>
      <c r="AUP2" s="148"/>
      <c r="AUQ2" s="148"/>
      <c r="AUR2" s="148"/>
      <c r="AUS2" s="148"/>
      <c r="AUT2" s="148"/>
      <c r="AUU2" s="148"/>
      <c r="AUV2" s="148"/>
      <c r="AUW2" s="148"/>
      <c r="AUX2" s="148"/>
      <c r="AUY2" s="148"/>
      <c r="AUZ2" s="148"/>
      <c r="AVA2" s="148"/>
      <c r="AVB2" s="148"/>
      <c r="AVC2" s="148"/>
      <c r="AVD2" s="148"/>
      <c r="AVE2" s="148"/>
      <c r="AVF2" s="148"/>
      <c r="AVG2" s="148"/>
      <c r="AVH2" s="148"/>
      <c r="AVI2" s="148"/>
      <c r="AVJ2" s="148"/>
      <c r="AVK2" s="148"/>
      <c r="AVL2" s="148"/>
      <c r="AVM2" s="148"/>
      <c r="AVN2" s="148"/>
      <c r="AVO2" s="148"/>
      <c r="AVP2" s="148"/>
      <c r="AVQ2" s="148"/>
      <c r="AVR2" s="148"/>
      <c r="AVS2" s="148"/>
      <c r="AVT2" s="148"/>
      <c r="AVU2" s="148"/>
      <c r="AVV2" s="148"/>
      <c r="AVW2" s="148"/>
      <c r="AVX2" s="148"/>
      <c r="AVY2" s="148"/>
      <c r="AVZ2" s="148"/>
      <c r="AWA2" s="148"/>
      <c r="AWB2" s="148"/>
      <c r="AWC2" s="148"/>
      <c r="AWD2" s="148"/>
      <c r="AWE2" s="148"/>
      <c r="AWF2" s="148"/>
      <c r="AWG2" s="148"/>
      <c r="AWH2" s="148"/>
      <c r="AWI2" s="148"/>
      <c r="AWJ2" s="148"/>
      <c r="AWK2" s="148"/>
      <c r="AWL2" s="148"/>
      <c r="AWM2" s="148"/>
      <c r="AWN2" s="148"/>
      <c r="AWO2" s="148"/>
      <c r="AWP2" s="148"/>
      <c r="AWQ2" s="148"/>
      <c r="AWR2" s="148"/>
      <c r="AWS2" s="148"/>
      <c r="AWT2" s="148"/>
      <c r="AWU2" s="148"/>
      <c r="AWV2" s="148"/>
      <c r="AWW2" s="148"/>
      <c r="AWX2" s="148"/>
      <c r="AWY2" s="148"/>
      <c r="AWZ2" s="148"/>
      <c r="AXA2" s="148"/>
      <c r="AXB2" s="148"/>
      <c r="AXC2" s="148"/>
      <c r="AXD2" s="148"/>
      <c r="AXE2" s="148"/>
      <c r="AXF2" s="148"/>
      <c r="AXG2" s="148"/>
      <c r="AXH2" s="148"/>
      <c r="AXI2" s="148"/>
      <c r="AXJ2" s="148"/>
      <c r="AXK2" s="148"/>
      <c r="AXL2" s="148"/>
      <c r="AXM2" s="148"/>
      <c r="AXN2" s="148"/>
      <c r="AXO2" s="148"/>
      <c r="AXP2" s="148"/>
      <c r="AXQ2" s="148"/>
      <c r="AXR2" s="148"/>
      <c r="AXS2" s="148"/>
      <c r="AXT2" s="148"/>
      <c r="AXU2" s="148"/>
      <c r="AXV2" s="148"/>
      <c r="AXW2" s="148"/>
      <c r="AXX2" s="148"/>
      <c r="AXY2" s="148"/>
      <c r="AXZ2" s="148"/>
      <c r="AYA2" s="148"/>
      <c r="AYB2" s="148"/>
      <c r="AYC2" s="148"/>
      <c r="AYD2" s="148"/>
      <c r="AYE2" s="148"/>
      <c r="AYF2" s="148"/>
      <c r="AYG2" s="148"/>
      <c r="AYH2" s="148"/>
      <c r="AYI2" s="148"/>
      <c r="AYJ2" s="148"/>
      <c r="AYK2" s="148"/>
      <c r="AYL2" s="148"/>
      <c r="AYM2" s="148"/>
      <c r="AYN2" s="148"/>
      <c r="AYO2" s="148"/>
      <c r="AYP2" s="148"/>
      <c r="AYQ2" s="148"/>
      <c r="AYR2" s="148"/>
      <c r="AYS2" s="148"/>
      <c r="AYT2" s="148"/>
      <c r="AYU2" s="148"/>
      <c r="AYV2" s="148"/>
      <c r="AYW2" s="148"/>
      <c r="AYX2" s="148"/>
      <c r="AYY2" s="148"/>
      <c r="AYZ2" s="148"/>
      <c r="AZA2" s="148"/>
      <c r="AZB2" s="148"/>
      <c r="AZC2" s="148"/>
      <c r="AZD2" s="148"/>
      <c r="AZE2" s="148"/>
      <c r="AZF2" s="148"/>
      <c r="AZG2" s="148"/>
      <c r="AZH2" s="148"/>
      <c r="AZI2" s="148"/>
      <c r="AZJ2" s="148"/>
      <c r="AZK2" s="148"/>
      <c r="AZL2" s="148"/>
      <c r="AZM2" s="148"/>
      <c r="AZN2" s="148"/>
      <c r="AZO2" s="148"/>
      <c r="AZP2" s="148"/>
      <c r="AZQ2" s="148"/>
      <c r="AZR2" s="148"/>
      <c r="AZS2" s="148"/>
      <c r="AZT2" s="148"/>
      <c r="AZU2" s="148"/>
      <c r="AZV2" s="148"/>
      <c r="AZW2" s="148"/>
      <c r="AZX2" s="148"/>
      <c r="AZY2" s="148"/>
      <c r="AZZ2" s="148"/>
      <c r="BAA2" s="148"/>
      <c r="BAB2" s="148"/>
      <c r="BAC2" s="148"/>
      <c r="BAD2" s="148"/>
      <c r="BAE2" s="148"/>
      <c r="BAF2" s="148"/>
      <c r="BAG2" s="148"/>
      <c r="BAH2" s="148"/>
      <c r="BAI2" s="148"/>
      <c r="BAJ2" s="148"/>
      <c r="BAK2" s="148"/>
      <c r="BAL2" s="148"/>
      <c r="BAM2" s="148"/>
      <c r="BAN2" s="148"/>
      <c r="BAO2" s="148"/>
      <c r="BAP2" s="148"/>
      <c r="BAQ2" s="148"/>
      <c r="BAR2" s="148"/>
      <c r="BAS2" s="148"/>
      <c r="BAT2" s="148"/>
      <c r="BAU2" s="148"/>
      <c r="BAV2" s="148"/>
      <c r="BAW2" s="148"/>
      <c r="BAX2" s="148"/>
      <c r="BAY2" s="148"/>
      <c r="BAZ2" s="148"/>
      <c r="BBA2" s="148"/>
      <c r="BBB2" s="148"/>
      <c r="BBC2" s="148"/>
      <c r="BBD2" s="148"/>
      <c r="BBE2" s="148"/>
      <c r="BBF2" s="148"/>
      <c r="BBG2" s="148"/>
      <c r="BBH2" s="148"/>
      <c r="BBI2" s="148"/>
      <c r="BBJ2" s="148"/>
      <c r="BBK2" s="148"/>
      <c r="BBL2" s="148"/>
      <c r="BBM2" s="148"/>
      <c r="BBN2" s="148"/>
      <c r="BBO2" s="148"/>
      <c r="BBP2" s="148"/>
      <c r="BBQ2" s="148"/>
      <c r="BBR2" s="148"/>
      <c r="BBS2" s="148"/>
      <c r="BBT2" s="148"/>
      <c r="BBU2" s="148"/>
      <c r="BBV2" s="148"/>
      <c r="BBW2" s="148"/>
      <c r="BBX2" s="148"/>
      <c r="BBY2" s="148"/>
      <c r="BBZ2" s="148"/>
      <c r="BCA2" s="148"/>
      <c r="BCB2" s="148"/>
      <c r="BCC2" s="148"/>
      <c r="BCD2" s="148"/>
      <c r="BCE2" s="148"/>
      <c r="BCF2" s="148"/>
      <c r="BCG2" s="148"/>
      <c r="BCH2" s="148"/>
      <c r="BCI2" s="148"/>
      <c r="BCJ2" s="148"/>
      <c r="BCK2" s="148"/>
      <c r="BCL2" s="148"/>
      <c r="BCM2" s="148"/>
      <c r="BCN2" s="148"/>
      <c r="BCO2" s="148"/>
      <c r="BCP2" s="148"/>
      <c r="BCQ2" s="148"/>
      <c r="BCR2" s="148"/>
      <c r="BCS2" s="148"/>
      <c r="BCT2" s="148"/>
      <c r="BCU2" s="148"/>
      <c r="BCV2" s="148"/>
      <c r="BCW2" s="148"/>
      <c r="BCX2" s="148"/>
      <c r="BCY2" s="148"/>
      <c r="BCZ2" s="148"/>
      <c r="BDA2" s="148"/>
      <c r="BDB2" s="148"/>
      <c r="BDC2" s="148"/>
      <c r="BDD2" s="148"/>
      <c r="BDE2" s="148"/>
      <c r="BDF2" s="148"/>
      <c r="BDG2" s="148"/>
      <c r="BDH2" s="148"/>
      <c r="BDI2" s="148"/>
      <c r="BDJ2" s="148"/>
      <c r="BDK2" s="148"/>
      <c r="BDL2" s="148"/>
      <c r="BDM2" s="148"/>
      <c r="BDN2" s="148"/>
      <c r="BDO2" s="148"/>
      <c r="BDP2" s="148"/>
      <c r="BDQ2" s="148"/>
      <c r="BDR2" s="148"/>
      <c r="BDS2" s="148"/>
      <c r="BDT2" s="148"/>
      <c r="BDU2" s="148"/>
      <c r="BDV2" s="148"/>
      <c r="BDW2" s="148"/>
      <c r="BDX2" s="148"/>
      <c r="BDY2" s="148"/>
      <c r="BDZ2" s="148"/>
      <c r="BEA2" s="148"/>
      <c r="BEB2" s="148"/>
      <c r="BEC2" s="148"/>
      <c r="BED2" s="148"/>
      <c r="BEE2" s="148"/>
      <c r="BEF2" s="148"/>
      <c r="BEG2" s="148"/>
      <c r="BEH2" s="148"/>
      <c r="BEI2" s="148"/>
      <c r="BEJ2" s="148"/>
      <c r="BEK2" s="148"/>
      <c r="BEL2" s="148"/>
      <c r="BEM2" s="148"/>
      <c r="BEN2" s="148"/>
      <c r="BEO2" s="148"/>
      <c r="BEP2" s="148"/>
      <c r="BEQ2" s="148"/>
      <c r="BER2" s="148"/>
      <c r="BES2" s="148"/>
      <c r="BET2" s="148"/>
      <c r="BEU2" s="148"/>
      <c r="BEV2" s="148"/>
      <c r="BEW2" s="148"/>
      <c r="BEX2" s="148"/>
      <c r="BEY2" s="148"/>
      <c r="BEZ2" s="148"/>
      <c r="BFA2" s="148"/>
      <c r="BFB2" s="148"/>
      <c r="BFC2" s="148"/>
      <c r="BFD2" s="148"/>
      <c r="BFE2" s="148"/>
      <c r="BFF2" s="148"/>
      <c r="BFG2" s="148"/>
      <c r="BFH2" s="148"/>
      <c r="BFI2" s="148"/>
      <c r="BFJ2" s="148"/>
      <c r="BFK2" s="148"/>
      <c r="BFL2" s="148"/>
      <c r="BFM2" s="148"/>
      <c r="BFN2" s="148"/>
      <c r="BFO2" s="148"/>
      <c r="BFP2" s="148"/>
      <c r="BFQ2" s="148"/>
      <c r="BFR2" s="148"/>
      <c r="BFS2" s="148"/>
      <c r="BFT2" s="148"/>
      <c r="BFU2" s="148"/>
      <c r="BFV2" s="148"/>
      <c r="BFW2" s="148"/>
      <c r="BFX2" s="148"/>
      <c r="BFY2" s="148"/>
      <c r="BFZ2" s="148"/>
      <c r="BGA2" s="148"/>
      <c r="BGB2" s="148"/>
      <c r="BGC2" s="148"/>
      <c r="BGD2" s="148"/>
      <c r="BGE2" s="148"/>
      <c r="BGF2" s="148"/>
      <c r="BGG2" s="148"/>
      <c r="BGH2" s="148"/>
      <c r="BGI2" s="148"/>
      <c r="BGJ2" s="148"/>
      <c r="BGK2" s="148"/>
      <c r="BGL2" s="148"/>
      <c r="BGM2" s="148"/>
      <c r="BGN2" s="148"/>
      <c r="BGO2" s="148"/>
      <c r="BGP2" s="148"/>
      <c r="BGQ2" s="148"/>
      <c r="BGR2" s="148"/>
      <c r="BGS2" s="148"/>
      <c r="BGT2" s="148"/>
      <c r="BGU2" s="148"/>
      <c r="BGV2" s="148"/>
      <c r="BGW2" s="148"/>
      <c r="BGX2" s="148"/>
      <c r="BGY2" s="148"/>
      <c r="BGZ2" s="148"/>
      <c r="BHA2" s="148"/>
      <c r="BHB2" s="148"/>
      <c r="BHC2" s="148"/>
      <c r="BHD2" s="148"/>
      <c r="BHE2" s="148"/>
      <c r="BHF2" s="148"/>
      <c r="BHG2" s="148"/>
      <c r="BHH2" s="148"/>
      <c r="BHI2" s="148"/>
      <c r="BHJ2" s="148"/>
      <c r="BHK2" s="148"/>
      <c r="BHL2" s="148"/>
      <c r="BHM2" s="148"/>
      <c r="BHN2" s="148"/>
      <c r="BHO2" s="148"/>
      <c r="BHP2" s="148"/>
      <c r="BHQ2" s="148"/>
      <c r="BHR2" s="148"/>
      <c r="BHS2" s="148"/>
      <c r="BHT2" s="148"/>
      <c r="BHU2" s="148"/>
      <c r="BHV2" s="148"/>
      <c r="BHW2" s="148"/>
      <c r="BHX2" s="148"/>
      <c r="BHY2" s="148"/>
      <c r="BHZ2" s="148"/>
      <c r="BIA2" s="148"/>
      <c r="BIB2" s="148"/>
      <c r="BIC2" s="148"/>
      <c r="BID2" s="148"/>
      <c r="BIE2" s="148"/>
      <c r="BIF2" s="148"/>
      <c r="BIG2" s="148"/>
      <c r="BIH2" s="148"/>
      <c r="BII2" s="148"/>
      <c r="BIJ2" s="148"/>
      <c r="BIK2" s="148"/>
      <c r="BIL2" s="148"/>
      <c r="BIM2" s="148"/>
      <c r="BIN2" s="148"/>
      <c r="BIO2" s="148"/>
      <c r="BIP2" s="148"/>
      <c r="BIQ2" s="148"/>
      <c r="BIR2" s="148"/>
      <c r="BIS2" s="148"/>
      <c r="BIT2" s="148"/>
      <c r="BIU2" s="148"/>
      <c r="BIV2" s="148"/>
      <c r="BIW2" s="148"/>
      <c r="BIX2" s="148"/>
      <c r="BIY2" s="148"/>
      <c r="BIZ2" s="148"/>
      <c r="BJA2" s="148"/>
      <c r="BJB2" s="148"/>
      <c r="BJC2" s="148"/>
      <c r="BJD2" s="148"/>
      <c r="BJE2" s="148"/>
      <c r="BJF2" s="148"/>
      <c r="BJG2" s="148"/>
      <c r="BJH2" s="148"/>
      <c r="BJI2" s="148"/>
      <c r="BJJ2" s="148"/>
      <c r="BJK2" s="148"/>
      <c r="BJL2" s="148"/>
      <c r="BJM2" s="148"/>
      <c r="BJN2" s="148"/>
      <c r="BJO2" s="148"/>
      <c r="BJP2" s="148"/>
      <c r="BJQ2" s="148"/>
      <c r="BJR2" s="148"/>
      <c r="BJS2" s="148"/>
      <c r="BJT2" s="148"/>
      <c r="BJU2" s="148"/>
      <c r="BJV2" s="148"/>
      <c r="BJW2" s="148"/>
      <c r="BJX2" s="148"/>
      <c r="BJY2" s="148"/>
      <c r="BJZ2" s="148"/>
      <c r="BKA2" s="148"/>
      <c r="BKB2" s="148"/>
      <c r="BKC2" s="148"/>
      <c r="BKD2" s="148"/>
      <c r="BKE2" s="148"/>
      <c r="BKF2" s="148"/>
      <c r="BKG2" s="148"/>
      <c r="BKH2" s="148"/>
      <c r="BKI2" s="148"/>
      <c r="BKJ2" s="148"/>
      <c r="BKK2" s="148"/>
      <c r="BKL2" s="148"/>
      <c r="BKM2" s="148"/>
      <c r="BKN2" s="148"/>
      <c r="BKO2" s="148"/>
      <c r="BKP2" s="148"/>
      <c r="BKQ2" s="148"/>
      <c r="BKR2" s="148"/>
      <c r="BKS2" s="148"/>
      <c r="BKT2" s="148"/>
      <c r="BKU2" s="148"/>
      <c r="BKV2" s="148"/>
      <c r="BKW2" s="148"/>
      <c r="BKX2" s="148"/>
      <c r="BKY2" s="148"/>
      <c r="BKZ2" s="148"/>
      <c r="BLA2" s="148"/>
      <c r="BLB2" s="148"/>
      <c r="BLC2" s="148"/>
      <c r="BLD2" s="148"/>
      <c r="BLE2" s="148"/>
      <c r="BLF2" s="148"/>
      <c r="BLG2" s="148"/>
      <c r="BLH2" s="148"/>
      <c r="BLI2" s="148"/>
      <c r="BLJ2" s="148"/>
      <c r="BLK2" s="148"/>
      <c r="BLL2" s="148"/>
      <c r="BLM2" s="148"/>
      <c r="BLN2" s="148"/>
      <c r="BLO2" s="148"/>
      <c r="BLP2" s="148"/>
      <c r="BLQ2" s="148"/>
      <c r="BLR2" s="148"/>
      <c r="BLS2" s="148"/>
      <c r="BLT2" s="148"/>
      <c r="BLU2" s="148"/>
      <c r="BLV2" s="148"/>
      <c r="BLW2" s="148"/>
      <c r="BLX2" s="148"/>
      <c r="BLY2" s="148"/>
      <c r="BLZ2" s="148"/>
      <c r="BMA2" s="148"/>
      <c r="BMB2" s="148"/>
      <c r="BMC2" s="148"/>
      <c r="BMD2" s="148"/>
      <c r="BME2" s="148"/>
      <c r="BMF2" s="148"/>
      <c r="BMG2" s="148"/>
      <c r="BMH2" s="148"/>
      <c r="BMI2" s="148"/>
      <c r="BMJ2" s="148"/>
      <c r="BMK2" s="148"/>
      <c r="BML2" s="148"/>
      <c r="BMM2" s="148"/>
      <c r="BMN2" s="148"/>
      <c r="BMO2" s="148"/>
      <c r="BMP2" s="148"/>
      <c r="BMQ2" s="148"/>
      <c r="BMR2" s="148"/>
      <c r="BMS2" s="148"/>
      <c r="BMT2" s="148"/>
      <c r="BMU2" s="148"/>
      <c r="BMV2" s="148"/>
      <c r="BMW2" s="148"/>
      <c r="BMX2" s="148"/>
      <c r="BMY2" s="148"/>
      <c r="BMZ2" s="148"/>
      <c r="BNA2" s="148"/>
      <c r="BNB2" s="148"/>
      <c r="BNC2" s="148"/>
      <c r="BND2" s="148"/>
      <c r="BNE2" s="148"/>
      <c r="BNF2" s="148"/>
      <c r="BNG2" s="148"/>
      <c r="BNH2" s="148"/>
      <c r="BNI2" s="148"/>
      <c r="BNJ2" s="148"/>
      <c r="BNK2" s="148"/>
      <c r="BNL2" s="148"/>
      <c r="BNM2" s="148"/>
      <c r="BNN2" s="148"/>
      <c r="BNO2" s="148"/>
      <c r="BNP2" s="148"/>
      <c r="BNQ2" s="148"/>
      <c r="BNR2" s="148"/>
      <c r="BNS2" s="148"/>
      <c r="BNT2" s="148"/>
      <c r="BNU2" s="148"/>
      <c r="BNV2" s="148"/>
      <c r="BNW2" s="148"/>
      <c r="BNX2" s="148"/>
      <c r="BNY2" s="148"/>
      <c r="BNZ2" s="148"/>
      <c r="BOA2" s="148"/>
      <c r="BOB2" s="148"/>
      <c r="BOC2" s="148"/>
      <c r="BOD2" s="148"/>
      <c r="BOE2" s="148"/>
      <c r="BOF2" s="148"/>
      <c r="BOG2" s="148"/>
      <c r="BOH2" s="148"/>
      <c r="BOI2" s="148"/>
      <c r="BOJ2" s="148"/>
      <c r="BOK2" s="148"/>
      <c r="BOL2" s="148"/>
      <c r="BOM2" s="148"/>
      <c r="BON2" s="148"/>
      <c r="BOO2" s="148"/>
      <c r="BOP2" s="148"/>
      <c r="BOQ2" s="148"/>
      <c r="BOR2" s="148"/>
      <c r="BOS2" s="148"/>
      <c r="BOT2" s="148"/>
      <c r="BOU2" s="148"/>
      <c r="BOV2" s="148"/>
      <c r="BOW2" s="148"/>
      <c r="BOX2" s="148"/>
      <c r="BOY2" s="148"/>
      <c r="BOZ2" s="148"/>
      <c r="BPA2" s="148"/>
      <c r="BPB2" s="148"/>
      <c r="BPC2" s="148"/>
      <c r="BPD2" s="148"/>
      <c r="BPE2" s="148"/>
      <c r="BPF2" s="148"/>
      <c r="BPG2" s="148"/>
      <c r="BPH2" s="148"/>
      <c r="BPI2" s="148"/>
      <c r="BPJ2" s="148"/>
      <c r="BPK2" s="148"/>
      <c r="BPL2" s="148"/>
      <c r="BPM2" s="148"/>
      <c r="BPN2" s="148"/>
      <c r="BPO2" s="148"/>
      <c r="BPP2" s="148"/>
      <c r="BPQ2" s="148"/>
      <c r="BPR2" s="148"/>
      <c r="BPS2" s="148"/>
      <c r="BPT2" s="148"/>
      <c r="BPU2" s="148"/>
      <c r="BPV2" s="148"/>
      <c r="BPW2" s="148"/>
      <c r="BPX2" s="148"/>
      <c r="BPY2" s="148"/>
      <c r="BPZ2" s="148"/>
      <c r="BQA2" s="148"/>
      <c r="BQB2" s="148"/>
      <c r="BQC2" s="148"/>
      <c r="BQD2" s="148"/>
      <c r="BQE2" s="148"/>
      <c r="BQF2" s="148"/>
      <c r="BQG2" s="148"/>
      <c r="BQH2" s="148"/>
      <c r="BQI2" s="148"/>
      <c r="BQJ2" s="148"/>
      <c r="BQK2" s="148"/>
      <c r="BQL2" s="148"/>
      <c r="BQM2" s="148"/>
      <c r="BQN2" s="148"/>
      <c r="BQO2" s="148"/>
      <c r="BQP2" s="148"/>
      <c r="BQQ2" s="148"/>
      <c r="BQR2" s="148"/>
      <c r="BQS2" s="148"/>
      <c r="BQT2" s="148"/>
      <c r="BQU2" s="148"/>
      <c r="BQV2" s="148"/>
      <c r="BQW2" s="148"/>
      <c r="BQX2" s="148"/>
      <c r="BQY2" s="148"/>
      <c r="BQZ2" s="148"/>
      <c r="BRA2" s="148"/>
      <c r="BRB2" s="148"/>
      <c r="BRC2" s="148"/>
      <c r="BRD2" s="148"/>
      <c r="BRE2" s="148"/>
      <c r="BRF2" s="148"/>
      <c r="BRG2" s="148"/>
      <c r="BRH2" s="148"/>
      <c r="BRI2" s="148"/>
      <c r="BRJ2" s="148"/>
      <c r="BRK2" s="148"/>
      <c r="BRL2" s="148"/>
      <c r="BRM2" s="148"/>
      <c r="BRN2" s="148"/>
      <c r="BRO2" s="148"/>
      <c r="BRP2" s="148"/>
      <c r="BRQ2" s="148"/>
      <c r="BRR2" s="148"/>
      <c r="BRS2" s="148"/>
      <c r="BRT2" s="148"/>
      <c r="BRU2" s="148"/>
      <c r="BRV2" s="148"/>
      <c r="BRW2" s="148"/>
      <c r="BRX2" s="148"/>
      <c r="BRY2" s="148"/>
      <c r="BRZ2" s="148"/>
      <c r="BSA2" s="148"/>
      <c r="BSB2" s="148"/>
      <c r="BSC2" s="148"/>
      <c r="BSD2" s="148"/>
      <c r="BSE2" s="148"/>
      <c r="BSF2" s="148"/>
      <c r="BSG2" s="148"/>
      <c r="BSH2" s="148"/>
      <c r="BSI2" s="148"/>
      <c r="BSJ2" s="148"/>
      <c r="BSK2" s="148"/>
      <c r="BSL2" s="148"/>
      <c r="BSM2" s="148"/>
      <c r="BSN2" s="148"/>
      <c r="BSO2" s="148"/>
      <c r="BSP2" s="148"/>
      <c r="BSQ2" s="148"/>
      <c r="BSR2" s="148"/>
      <c r="BSS2" s="148"/>
      <c r="BST2" s="148"/>
      <c r="BSU2" s="148"/>
      <c r="BSV2" s="148"/>
      <c r="BSW2" s="148"/>
      <c r="BSX2" s="148"/>
      <c r="BSY2" s="148"/>
      <c r="BSZ2" s="148"/>
      <c r="BTA2" s="148"/>
      <c r="BTB2" s="148"/>
      <c r="BTC2" s="148"/>
      <c r="BTD2" s="148"/>
      <c r="BTE2" s="148"/>
      <c r="BTF2" s="148"/>
      <c r="BTG2" s="148"/>
      <c r="BTH2" s="148"/>
      <c r="BTI2" s="148"/>
      <c r="BTJ2" s="148"/>
      <c r="BTK2" s="148"/>
      <c r="BTL2" s="148"/>
      <c r="BTM2" s="148"/>
      <c r="BTN2" s="148"/>
      <c r="BTO2" s="148"/>
      <c r="BTP2" s="148"/>
      <c r="BTQ2" s="148"/>
      <c r="BTR2" s="148"/>
      <c r="BTS2" s="148"/>
      <c r="BTT2" s="148"/>
      <c r="BTU2" s="148"/>
      <c r="BTV2" s="148"/>
      <c r="BTW2" s="148"/>
      <c r="BTX2" s="148"/>
      <c r="BTY2" s="148"/>
      <c r="BTZ2" s="148"/>
      <c r="BUA2" s="148"/>
      <c r="BUB2" s="148"/>
      <c r="BUC2" s="148"/>
      <c r="BUD2" s="148"/>
      <c r="BUE2" s="148"/>
      <c r="BUF2" s="148"/>
      <c r="BUG2" s="148"/>
      <c r="BUH2" s="148"/>
      <c r="BUI2" s="148"/>
      <c r="BUJ2" s="148"/>
      <c r="BUK2" s="148"/>
      <c r="BUL2" s="148"/>
      <c r="BUM2" s="148"/>
      <c r="BUN2" s="148"/>
      <c r="BUO2" s="148"/>
      <c r="BUP2" s="148"/>
      <c r="BUQ2" s="148"/>
      <c r="BUR2" s="148"/>
      <c r="BUS2" s="148"/>
      <c r="BUT2" s="148"/>
      <c r="BUU2" s="148"/>
      <c r="BUV2" s="148"/>
      <c r="BUW2" s="148"/>
      <c r="BUX2" s="148"/>
      <c r="BUY2" s="148"/>
      <c r="BUZ2" s="148"/>
      <c r="BVA2" s="148"/>
      <c r="BVB2" s="148"/>
      <c r="BVC2" s="148"/>
      <c r="BVD2" s="148"/>
      <c r="BVE2" s="148"/>
      <c r="BVF2" s="148"/>
      <c r="BVG2" s="148"/>
      <c r="BVH2" s="148"/>
      <c r="BVI2" s="148"/>
      <c r="BVJ2" s="148"/>
      <c r="BVK2" s="148"/>
      <c r="BVL2" s="148"/>
      <c r="BVM2" s="148"/>
      <c r="BVN2" s="148"/>
      <c r="BVO2" s="148"/>
      <c r="BVP2" s="148"/>
      <c r="BVQ2" s="148"/>
      <c r="BVR2" s="148"/>
      <c r="BVS2" s="148"/>
      <c r="BVT2" s="148"/>
      <c r="BVU2" s="148"/>
      <c r="BVV2" s="148"/>
      <c r="BVW2" s="148"/>
      <c r="BVX2" s="148"/>
      <c r="BVY2" s="148"/>
      <c r="BVZ2" s="148"/>
      <c r="BWA2" s="148"/>
      <c r="BWB2" s="148"/>
      <c r="BWC2" s="148"/>
      <c r="BWD2" s="148"/>
      <c r="BWE2" s="148"/>
      <c r="BWF2" s="148"/>
      <c r="BWG2" s="148"/>
      <c r="BWH2" s="148"/>
      <c r="BWI2" s="148"/>
      <c r="BWJ2" s="148"/>
      <c r="BWK2" s="148"/>
      <c r="BWL2" s="148"/>
      <c r="BWM2" s="148"/>
      <c r="BWN2" s="148"/>
      <c r="BWO2" s="148"/>
      <c r="BWP2" s="148"/>
      <c r="BWQ2" s="148"/>
      <c r="BWR2" s="148"/>
      <c r="BWS2" s="148"/>
      <c r="BWT2" s="148"/>
      <c r="BWU2" s="148"/>
      <c r="BWV2" s="148"/>
      <c r="BWW2" s="148"/>
      <c r="BWX2" s="148"/>
      <c r="BWY2" s="148"/>
      <c r="BWZ2" s="148"/>
      <c r="BXA2" s="148"/>
      <c r="BXB2" s="148"/>
      <c r="BXC2" s="148"/>
      <c r="BXD2" s="148"/>
      <c r="BXE2" s="148"/>
      <c r="BXF2" s="148"/>
      <c r="BXG2" s="148"/>
      <c r="BXH2" s="148"/>
      <c r="BXI2" s="148"/>
      <c r="BXJ2" s="148"/>
      <c r="BXK2" s="148"/>
      <c r="BXL2" s="148"/>
      <c r="BXM2" s="148"/>
      <c r="BXN2" s="148"/>
      <c r="BXO2" s="148"/>
      <c r="BXP2" s="148"/>
      <c r="BXQ2" s="148"/>
      <c r="BXR2" s="148"/>
      <c r="BXS2" s="148"/>
      <c r="BXT2" s="148"/>
      <c r="BXU2" s="148"/>
      <c r="BXV2" s="148"/>
      <c r="BXW2" s="148"/>
      <c r="BXX2" s="148"/>
      <c r="BXY2" s="148"/>
      <c r="BXZ2" s="148"/>
      <c r="BYA2" s="148"/>
      <c r="BYB2" s="148"/>
      <c r="BYC2" s="148"/>
      <c r="BYD2" s="148"/>
      <c r="BYE2" s="148"/>
      <c r="BYF2" s="148"/>
      <c r="BYG2" s="148"/>
      <c r="BYH2" s="148"/>
      <c r="BYI2" s="148"/>
      <c r="BYJ2" s="148"/>
      <c r="BYK2" s="148"/>
      <c r="BYL2" s="148"/>
      <c r="BYM2" s="148"/>
      <c r="BYN2" s="148"/>
      <c r="BYO2" s="148"/>
      <c r="BYP2" s="148"/>
      <c r="BYQ2" s="148"/>
      <c r="BYR2" s="148"/>
      <c r="BYS2" s="148"/>
      <c r="BYT2" s="148"/>
      <c r="BYU2" s="148"/>
      <c r="BYV2" s="148"/>
      <c r="BYW2" s="148"/>
      <c r="BYX2" s="148"/>
      <c r="BYY2" s="148"/>
      <c r="BYZ2" s="148"/>
      <c r="BZA2" s="148"/>
      <c r="BZB2" s="148"/>
      <c r="BZC2" s="148"/>
      <c r="BZD2" s="148"/>
      <c r="BZE2" s="148"/>
      <c r="BZF2" s="148"/>
      <c r="BZG2" s="148"/>
      <c r="BZH2" s="148"/>
      <c r="BZI2" s="148"/>
      <c r="BZJ2" s="148"/>
      <c r="BZK2" s="148"/>
      <c r="BZL2" s="148"/>
      <c r="BZM2" s="148"/>
      <c r="BZN2" s="148"/>
      <c r="BZO2" s="148"/>
      <c r="BZP2" s="148"/>
      <c r="BZQ2" s="148"/>
      <c r="BZR2" s="148"/>
      <c r="BZS2" s="148"/>
      <c r="BZT2" s="148"/>
      <c r="BZU2" s="148"/>
      <c r="BZV2" s="148"/>
      <c r="BZW2" s="148"/>
      <c r="BZX2" s="148"/>
      <c r="BZY2" s="148"/>
      <c r="BZZ2" s="148"/>
      <c r="CAA2" s="148"/>
      <c r="CAB2" s="148"/>
      <c r="CAC2" s="148"/>
      <c r="CAD2" s="148"/>
      <c r="CAE2" s="148"/>
      <c r="CAF2" s="148"/>
      <c r="CAG2" s="148"/>
      <c r="CAH2" s="148"/>
      <c r="CAI2" s="148"/>
      <c r="CAJ2" s="148"/>
      <c r="CAK2" s="148"/>
      <c r="CAL2" s="148"/>
      <c r="CAM2" s="148"/>
      <c r="CAN2" s="148"/>
      <c r="CAO2" s="148"/>
      <c r="CAP2" s="148"/>
      <c r="CAQ2" s="148"/>
      <c r="CAR2" s="148"/>
      <c r="CAS2" s="148"/>
      <c r="CAT2" s="148"/>
      <c r="CAU2" s="148"/>
      <c r="CAV2" s="148"/>
      <c r="CAW2" s="148"/>
      <c r="CAX2" s="148"/>
      <c r="CAY2" s="148"/>
      <c r="CAZ2" s="148"/>
      <c r="CBA2" s="148"/>
      <c r="CBB2" s="148"/>
      <c r="CBC2" s="148"/>
      <c r="CBD2" s="148"/>
      <c r="CBE2" s="148"/>
      <c r="CBF2" s="148"/>
      <c r="CBG2" s="148"/>
      <c r="CBH2" s="148"/>
      <c r="CBI2" s="148"/>
      <c r="CBJ2" s="148"/>
      <c r="CBK2" s="148"/>
      <c r="CBL2" s="148"/>
      <c r="CBM2" s="148"/>
      <c r="CBN2" s="148"/>
      <c r="CBO2" s="148"/>
      <c r="CBP2" s="148"/>
      <c r="CBQ2" s="148"/>
      <c r="CBR2" s="148"/>
      <c r="CBS2" s="148"/>
      <c r="CBT2" s="148"/>
      <c r="CBU2" s="148"/>
      <c r="CBV2" s="148"/>
      <c r="CBW2" s="148"/>
      <c r="CBX2" s="148"/>
      <c r="CBY2" s="148"/>
      <c r="CBZ2" s="148"/>
      <c r="CCA2" s="148"/>
      <c r="CCB2" s="148"/>
      <c r="CCC2" s="148"/>
      <c r="CCD2" s="148"/>
      <c r="CCE2" s="148"/>
      <c r="CCF2" s="148"/>
      <c r="CCG2" s="148"/>
      <c r="CCH2" s="148"/>
      <c r="CCI2" s="148"/>
      <c r="CCJ2" s="148"/>
      <c r="CCK2" s="148"/>
      <c r="CCL2" s="148"/>
      <c r="CCM2" s="148"/>
      <c r="CCN2" s="148"/>
      <c r="CCO2" s="148"/>
      <c r="CCP2" s="148"/>
      <c r="CCQ2" s="148"/>
      <c r="CCR2" s="148"/>
      <c r="CCS2" s="148"/>
      <c r="CCT2" s="148"/>
      <c r="CCU2" s="148"/>
      <c r="CCV2" s="148"/>
      <c r="CCW2" s="148"/>
      <c r="CCX2" s="148"/>
      <c r="CCY2" s="148"/>
      <c r="CCZ2" s="148"/>
      <c r="CDA2" s="148"/>
      <c r="CDB2" s="148"/>
      <c r="CDC2" s="148"/>
      <c r="CDD2" s="148"/>
      <c r="CDE2" s="148"/>
      <c r="CDF2" s="148"/>
      <c r="CDG2" s="148"/>
      <c r="CDH2" s="148"/>
      <c r="CDI2" s="148"/>
      <c r="CDJ2" s="148"/>
      <c r="CDK2" s="148"/>
      <c r="CDL2" s="148"/>
      <c r="CDM2" s="148"/>
      <c r="CDN2" s="148"/>
      <c r="CDO2" s="148"/>
      <c r="CDP2" s="148"/>
      <c r="CDQ2" s="148"/>
      <c r="CDR2" s="148"/>
      <c r="CDS2" s="148"/>
      <c r="CDT2" s="148"/>
      <c r="CDU2" s="148"/>
      <c r="CDV2" s="148"/>
      <c r="CDW2" s="148"/>
      <c r="CDX2" s="148"/>
      <c r="CDY2" s="148"/>
      <c r="CDZ2" s="148"/>
      <c r="CEA2" s="148"/>
      <c r="CEB2" s="148"/>
      <c r="CEC2" s="148"/>
      <c r="CED2" s="148"/>
      <c r="CEE2" s="148"/>
      <c r="CEF2" s="148"/>
      <c r="CEG2" s="148"/>
      <c r="CEH2" s="148"/>
      <c r="CEI2" s="148"/>
      <c r="CEJ2" s="148"/>
      <c r="CEK2" s="148"/>
      <c r="CEL2" s="148"/>
      <c r="CEM2" s="148"/>
      <c r="CEN2" s="148"/>
      <c r="CEO2" s="148"/>
      <c r="CEP2" s="148"/>
      <c r="CEQ2" s="148"/>
      <c r="CER2" s="148"/>
      <c r="CES2" s="148"/>
      <c r="CET2" s="148"/>
      <c r="CEU2" s="148"/>
      <c r="CEV2" s="148"/>
      <c r="CEW2" s="148"/>
      <c r="CEX2" s="148"/>
      <c r="CEY2" s="148"/>
      <c r="CEZ2" s="148"/>
      <c r="CFA2" s="148"/>
      <c r="CFB2" s="148"/>
      <c r="CFC2" s="148"/>
      <c r="CFD2" s="148"/>
      <c r="CFE2" s="148"/>
      <c r="CFF2" s="148"/>
      <c r="CFG2" s="148"/>
      <c r="CFH2" s="148"/>
      <c r="CFI2" s="148"/>
      <c r="CFJ2" s="148"/>
      <c r="CFK2" s="148"/>
      <c r="CFL2" s="148"/>
      <c r="CFM2" s="148"/>
      <c r="CFN2" s="148"/>
      <c r="CFO2" s="148"/>
      <c r="CFP2" s="148"/>
      <c r="CFQ2" s="148"/>
      <c r="CFR2" s="148"/>
      <c r="CFS2" s="148"/>
      <c r="CFT2" s="148"/>
      <c r="CFU2" s="148"/>
      <c r="CFV2" s="148"/>
      <c r="CFW2" s="148"/>
      <c r="CFX2" s="148"/>
      <c r="CFY2" s="148"/>
      <c r="CFZ2" s="148"/>
      <c r="CGA2" s="148"/>
      <c r="CGB2" s="148"/>
      <c r="CGC2" s="148"/>
      <c r="CGD2" s="148"/>
      <c r="CGE2" s="148"/>
      <c r="CGF2" s="148"/>
      <c r="CGG2" s="148"/>
      <c r="CGH2" s="148"/>
      <c r="CGI2" s="148"/>
      <c r="CGJ2" s="148"/>
      <c r="CGK2" s="148"/>
      <c r="CGL2" s="148"/>
      <c r="CGM2" s="148"/>
      <c r="CGN2" s="148"/>
      <c r="CGO2" s="148"/>
      <c r="CGP2" s="148"/>
      <c r="CGQ2" s="148"/>
      <c r="CGR2" s="148"/>
      <c r="CGS2" s="148"/>
      <c r="CGT2" s="148"/>
      <c r="CGU2" s="148"/>
      <c r="CGV2" s="148"/>
      <c r="CGW2" s="148"/>
      <c r="CGX2" s="148"/>
      <c r="CGY2" s="148"/>
      <c r="CGZ2" s="148"/>
      <c r="CHA2" s="148"/>
      <c r="CHB2" s="148"/>
      <c r="CHC2" s="148"/>
      <c r="CHD2" s="148"/>
      <c r="CHE2" s="148"/>
      <c r="CHF2" s="148"/>
      <c r="CHG2" s="148"/>
      <c r="CHH2" s="148"/>
      <c r="CHI2" s="148"/>
      <c r="CHJ2" s="148"/>
      <c r="CHK2" s="148"/>
      <c r="CHL2" s="148"/>
      <c r="CHM2" s="148"/>
      <c r="CHN2" s="148"/>
      <c r="CHO2" s="148"/>
      <c r="CHP2" s="148"/>
      <c r="CHQ2" s="148"/>
      <c r="CHR2" s="148"/>
      <c r="CHS2" s="148"/>
      <c r="CHT2" s="148"/>
      <c r="CHU2" s="148"/>
      <c r="CHV2" s="148"/>
      <c r="CHW2" s="148"/>
      <c r="CHX2" s="148"/>
      <c r="CHY2" s="148"/>
      <c r="CHZ2" s="148"/>
      <c r="CIA2" s="148"/>
      <c r="CIB2" s="148"/>
      <c r="CIC2" s="148"/>
      <c r="CID2" s="148"/>
      <c r="CIE2" s="148"/>
      <c r="CIF2" s="148"/>
      <c r="CIG2" s="148"/>
      <c r="CIH2" s="148"/>
      <c r="CII2" s="148"/>
      <c r="CIJ2" s="148"/>
      <c r="CIK2" s="148"/>
      <c r="CIL2" s="148"/>
      <c r="CIM2" s="148"/>
      <c r="CIN2" s="148"/>
      <c r="CIO2" s="148"/>
      <c r="CIP2" s="148"/>
      <c r="CIQ2" s="148"/>
      <c r="CIR2" s="148"/>
      <c r="CIS2" s="148"/>
      <c r="CIT2" s="148"/>
      <c r="CIU2" s="148"/>
      <c r="CIV2" s="148"/>
      <c r="CIW2" s="148"/>
      <c r="CIX2" s="148"/>
      <c r="CIY2" s="148"/>
      <c r="CIZ2" s="148"/>
      <c r="CJA2" s="148"/>
      <c r="CJB2" s="148"/>
      <c r="CJC2" s="148"/>
      <c r="CJD2" s="148"/>
      <c r="CJE2" s="148"/>
      <c r="CJF2" s="148"/>
      <c r="CJG2" s="148"/>
      <c r="CJH2" s="148"/>
      <c r="CJI2" s="148"/>
      <c r="CJJ2" s="148"/>
      <c r="CJK2" s="148"/>
      <c r="CJL2" s="148"/>
      <c r="CJM2" s="148"/>
      <c r="CJN2" s="148"/>
      <c r="CJO2" s="148"/>
      <c r="CJP2" s="148"/>
      <c r="CJQ2" s="148"/>
      <c r="CJR2" s="148"/>
      <c r="CJS2" s="148"/>
      <c r="CJT2" s="148"/>
      <c r="CJU2" s="148"/>
      <c r="CJV2" s="148"/>
      <c r="CJW2" s="148"/>
      <c r="CJX2" s="148"/>
      <c r="CJY2" s="148"/>
      <c r="CJZ2" s="148"/>
      <c r="CKA2" s="148"/>
      <c r="CKB2" s="148"/>
      <c r="CKC2" s="148"/>
      <c r="CKD2" s="148"/>
      <c r="CKE2" s="148"/>
      <c r="CKF2" s="148"/>
      <c r="CKG2" s="148"/>
      <c r="CKH2" s="148"/>
      <c r="CKI2" s="148"/>
      <c r="CKJ2" s="148"/>
      <c r="CKK2" s="148"/>
      <c r="CKL2" s="148"/>
      <c r="CKM2" s="148"/>
      <c r="CKN2" s="148"/>
      <c r="CKO2" s="148"/>
      <c r="CKP2" s="148"/>
      <c r="CKQ2" s="148"/>
      <c r="CKR2" s="148"/>
      <c r="CKS2" s="148"/>
      <c r="CKT2" s="148"/>
      <c r="CKU2" s="148"/>
      <c r="CKV2" s="148"/>
      <c r="CKW2" s="148"/>
      <c r="CKX2" s="148"/>
      <c r="CKY2" s="148"/>
      <c r="CKZ2" s="148"/>
      <c r="CLA2" s="148"/>
      <c r="CLB2" s="148"/>
      <c r="CLC2" s="148"/>
      <c r="CLD2" s="148"/>
      <c r="CLE2" s="148"/>
      <c r="CLF2" s="148"/>
      <c r="CLG2" s="148"/>
      <c r="CLH2" s="148"/>
      <c r="CLI2" s="148"/>
      <c r="CLJ2" s="148"/>
      <c r="CLK2" s="148"/>
      <c r="CLL2" s="148"/>
      <c r="CLM2" s="148"/>
      <c r="CLN2" s="148"/>
      <c r="CLO2" s="148"/>
      <c r="CLP2" s="148"/>
      <c r="CLQ2" s="148"/>
      <c r="CLR2" s="148"/>
      <c r="CLS2" s="148"/>
      <c r="CLT2" s="148"/>
      <c r="CLU2" s="148"/>
      <c r="CLV2" s="148"/>
      <c r="CLW2" s="148"/>
      <c r="CLX2" s="148"/>
      <c r="CLY2" s="148"/>
      <c r="CLZ2" s="148"/>
      <c r="CMA2" s="148"/>
      <c r="CMB2" s="148"/>
      <c r="CMC2" s="148"/>
      <c r="CMD2" s="148"/>
      <c r="CME2" s="148"/>
      <c r="CMF2" s="148"/>
      <c r="CMG2" s="148"/>
      <c r="CMH2" s="148"/>
      <c r="CMI2" s="148"/>
      <c r="CMJ2" s="148"/>
      <c r="CMK2" s="148"/>
      <c r="CML2" s="148"/>
      <c r="CMM2" s="148"/>
      <c r="CMN2" s="148"/>
      <c r="CMO2" s="148"/>
      <c r="CMP2" s="148"/>
      <c r="CMQ2" s="148"/>
      <c r="CMR2" s="148"/>
      <c r="CMS2" s="148"/>
      <c r="CMT2" s="148"/>
      <c r="CMU2" s="148"/>
      <c r="CMV2" s="148"/>
      <c r="CMW2" s="148"/>
      <c r="CMX2" s="148"/>
      <c r="CMY2" s="148"/>
      <c r="CMZ2" s="148"/>
      <c r="CNA2" s="148"/>
      <c r="CNB2" s="148"/>
      <c r="CNC2" s="148"/>
      <c r="CND2" s="148"/>
      <c r="CNE2" s="148"/>
      <c r="CNF2" s="148"/>
      <c r="CNG2" s="148"/>
      <c r="CNH2" s="148"/>
      <c r="CNI2" s="148"/>
      <c r="CNJ2" s="148"/>
      <c r="CNK2" s="148"/>
      <c r="CNL2" s="148"/>
      <c r="CNM2" s="148"/>
      <c r="CNN2" s="148"/>
      <c r="CNO2" s="148"/>
      <c r="CNP2" s="148"/>
      <c r="CNQ2" s="148"/>
      <c r="CNR2" s="148"/>
      <c r="CNS2" s="148"/>
      <c r="CNT2" s="148"/>
      <c r="CNU2" s="148"/>
      <c r="CNV2" s="148"/>
      <c r="CNW2" s="148"/>
      <c r="CNX2" s="148"/>
      <c r="CNY2" s="148"/>
      <c r="CNZ2" s="148"/>
      <c r="COA2" s="148"/>
      <c r="COB2" s="148"/>
      <c r="COC2" s="148"/>
      <c r="COD2" s="148"/>
      <c r="COE2" s="148"/>
      <c r="COF2" s="148"/>
      <c r="COG2" s="148"/>
      <c r="COH2" s="148"/>
      <c r="COI2" s="148"/>
      <c r="COJ2" s="148"/>
      <c r="COK2" s="148"/>
      <c r="COL2" s="148"/>
      <c r="COM2" s="148"/>
      <c r="CON2" s="148"/>
      <c r="COO2" s="148"/>
      <c r="COP2" s="148"/>
      <c r="COQ2" s="148"/>
      <c r="COR2" s="148"/>
      <c r="COS2" s="148"/>
      <c r="COT2" s="148"/>
      <c r="COU2" s="148"/>
      <c r="COV2" s="148"/>
      <c r="COW2" s="148"/>
      <c r="COX2" s="148"/>
      <c r="COY2" s="148"/>
      <c r="COZ2" s="148"/>
      <c r="CPA2" s="148"/>
      <c r="CPB2" s="148"/>
      <c r="CPC2" s="148"/>
      <c r="CPD2" s="148"/>
      <c r="CPE2" s="148"/>
      <c r="CPF2" s="148"/>
      <c r="CPG2" s="148"/>
      <c r="CPH2" s="148"/>
      <c r="CPI2" s="148"/>
      <c r="CPJ2" s="148"/>
      <c r="CPK2" s="148"/>
      <c r="CPL2" s="148"/>
      <c r="CPM2" s="148"/>
      <c r="CPN2" s="148"/>
      <c r="CPO2" s="148"/>
      <c r="CPP2" s="148"/>
      <c r="CPQ2" s="148"/>
      <c r="CPR2" s="148"/>
      <c r="CPS2" s="148"/>
      <c r="CPT2" s="148"/>
      <c r="CPU2" s="148"/>
      <c r="CPV2" s="148"/>
      <c r="CPW2" s="148"/>
      <c r="CPX2" s="148"/>
      <c r="CPY2" s="148"/>
      <c r="CPZ2" s="148"/>
      <c r="CQA2" s="148"/>
      <c r="CQB2" s="148"/>
      <c r="CQC2" s="148"/>
      <c r="CQD2" s="148"/>
      <c r="CQE2" s="148"/>
      <c r="CQF2" s="148"/>
      <c r="CQG2" s="148"/>
      <c r="CQH2" s="148"/>
      <c r="CQI2" s="148"/>
      <c r="CQJ2" s="148"/>
      <c r="CQK2" s="148"/>
      <c r="CQL2" s="148"/>
      <c r="CQM2" s="148"/>
      <c r="CQN2" s="148"/>
      <c r="CQO2" s="148"/>
      <c r="CQP2" s="148"/>
      <c r="CQQ2" s="148"/>
      <c r="CQR2" s="148"/>
      <c r="CQS2" s="148"/>
      <c r="CQT2" s="148"/>
      <c r="CQU2" s="148"/>
      <c r="CQV2" s="148"/>
      <c r="CQW2" s="148"/>
      <c r="CQX2" s="148"/>
      <c r="CQY2" s="148"/>
      <c r="CQZ2" s="148"/>
      <c r="CRA2" s="148"/>
      <c r="CRB2" s="148"/>
      <c r="CRC2" s="148"/>
      <c r="CRD2" s="148"/>
      <c r="CRE2" s="148"/>
      <c r="CRF2" s="148"/>
      <c r="CRG2" s="148"/>
      <c r="CRH2" s="148"/>
      <c r="CRI2" s="148"/>
      <c r="CRJ2" s="148"/>
      <c r="CRK2" s="148"/>
      <c r="CRL2" s="148"/>
      <c r="CRM2" s="148"/>
      <c r="CRN2" s="148"/>
      <c r="CRO2" s="148"/>
      <c r="CRP2" s="148"/>
      <c r="CRQ2" s="148"/>
      <c r="CRR2" s="148"/>
      <c r="CRS2" s="148"/>
      <c r="CRT2" s="148"/>
      <c r="CRU2" s="148"/>
      <c r="CRV2" s="148"/>
      <c r="CRW2" s="148"/>
      <c r="CRX2" s="148"/>
      <c r="CRY2" s="148"/>
      <c r="CRZ2" s="148"/>
      <c r="CSA2" s="148"/>
      <c r="CSB2" s="148"/>
      <c r="CSC2" s="148"/>
      <c r="CSD2" s="148"/>
      <c r="CSE2" s="148"/>
      <c r="CSF2" s="148"/>
      <c r="CSG2" s="148"/>
      <c r="CSH2" s="148"/>
      <c r="CSI2" s="148"/>
      <c r="CSJ2" s="148"/>
      <c r="CSK2" s="148"/>
      <c r="CSL2" s="148"/>
      <c r="CSM2" s="148"/>
      <c r="CSN2" s="148"/>
      <c r="CSO2" s="148"/>
      <c r="CSP2" s="148"/>
      <c r="CSQ2" s="148"/>
      <c r="CSR2" s="148"/>
      <c r="CSS2" s="148"/>
      <c r="CST2" s="148"/>
      <c r="CSU2" s="148"/>
      <c r="CSV2" s="148"/>
      <c r="CSW2" s="148"/>
      <c r="CSX2" s="148"/>
      <c r="CSY2" s="148"/>
      <c r="CSZ2" s="148"/>
      <c r="CTA2" s="148"/>
      <c r="CTB2" s="148"/>
      <c r="CTC2" s="148"/>
      <c r="CTD2" s="148"/>
      <c r="CTE2" s="148"/>
      <c r="CTF2" s="148"/>
      <c r="CTG2" s="148"/>
      <c r="CTH2" s="148"/>
      <c r="CTI2" s="148"/>
      <c r="CTJ2" s="148"/>
      <c r="CTK2" s="148"/>
      <c r="CTL2" s="148"/>
      <c r="CTM2" s="148"/>
      <c r="CTN2" s="148"/>
      <c r="CTO2" s="148"/>
      <c r="CTP2" s="148"/>
      <c r="CTQ2" s="148"/>
      <c r="CTR2" s="148"/>
      <c r="CTS2" s="148"/>
      <c r="CTT2" s="148"/>
      <c r="CTU2" s="148"/>
      <c r="CTV2" s="148"/>
      <c r="CTW2" s="148"/>
      <c r="CTX2" s="148"/>
      <c r="CTY2" s="148"/>
      <c r="CTZ2" s="148"/>
      <c r="CUA2" s="148"/>
      <c r="CUB2" s="148"/>
      <c r="CUC2" s="148"/>
      <c r="CUD2" s="148"/>
      <c r="CUE2" s="148"/>
      <c r="CUF2" s="148"/>
      <c r="CUG2" s="148"/>
      <c r="CUH2" s="148"/>
      <c r="CUI2" s="148"/>
      <c r="CUJ2" s="148"/>
      <c r="CUK2" s="148"/>
      <c r="CUL2" s="148"/>
      <c r="CUM2" s="148"/>
      <c r="CUN2" s="148"/>
      <c r="CUO2" s="148"/>
      <c r="CUP2" s="148"/>
      <c r="CUQ2" s="148"/>
      <c r="CUR2" s="148"/>
      <c r="CUS2" s="148"/>
      <c r="CUT2" s="148"/>
      <c r="CUU2" s="148"/>
      <c r="CUV2" s="148"/>
      <c r="CUW2" s="148"/>
      <c r="CUX2" s="148"/>
      <c r="CUY2" s="148"/>
      <c r="CUZ2" s="148"/>
      <c r="CVA2" s="148"/>
      <c r="CVB2" s="148"/>
      <c r="CVC2" s="148"/>
      <c r="CVD2" s="148"/>
      <c r="CVE2" s="148"/>
      <c r="CVF2" s="148"/>
      <c r="CVG2" s="148"/>
      <c r="CVH2" s="148"/>
      <c r="CVI2" s="148"/>
      <c r="CVJ2" s="148"/>
      <c r="CVK2" s="148"/>
      <c r="CVL2" s="148"/>
      <c r="CVM2" s="148"/>
      <c r="CVN2" s="148"/>
      <c r="CVO2" s="148"/>
      <c r="CVP2" s="148"/>
      <c r="CVQ2" s="148"/>
      <c r="CVR2" s="148"/>
      <c r="CVS2" s="148"/>
      <c r="CVT2" s="148"/>
      <c r="CVU2" s="148"/>
      <c r="CVV2" s="148"/>
      <c r="CVW2" s="148"/>
      <c r="CVX2" s="148"/>
      <c r="CVY2" s="148"/>
      <c r="CVZ2" s="148"/>
      <c r="CWA2" s="148"/>
      <c r="CWB2" s="148"/>
      <c r="CWC2" s="148"/>
      <c r="CWD2" s="148"/>
      <c r="CWE2" s="148"/>
      <c r="CWF2" s="148"/>
      <c r="CWG2" s="148"/>
      <c r="CWH2" s="148"/>
      <c r="CWI2" s="148"/>
      <c r="CWJ2" s="148"/>
      <c r="CWK2" s="148"/>
      <c r="CWL2" s="148"/>
      <c r="CWM2" s="148"/>
      <c r="CWN2" s="148"/>
      <c r="CWO2" s="148"/>
      <c r="CWP2" s="148"/>
      <c r="CWQ2" s="148"/>
      <c r="CWR2" s="148"/>
      <c r="CWS2" s="148"/>
      <c r="CWT2" s="148"/>
      <c r="CWU2" s="148"/>
      <c r="CWV2" s="148"/>
      <c r="CWW2" s="148"/>
      <c r="CWX2" s="148"/>
      <c r="CWY2" s="148"/>
      <c r="CWZ2" s="148"/>
      <c r="CXA2" s="148"/>
      <c r="CXB2" s="148"/>
      <c r="CXC2" s="148"/>
      <c r="CXD2" s="148"/>
      <c r="CXE2" s="148"/>
      <c r="CXF2" s="148"/>
      <c r="CXG2" s="148"/>
      <c r="CXH2" s="148"/>
      <c r="CXI2" s="148"/>
      <c r="CXJ2" s="148"/>
      <c r="CXK2" s="148"/>
      <c r="CXL2" s="148"/>
      <c r="CXM2" s="148"/>
      <c r="CXN2" s="148"/>
      <c r="CXO2" s="148"/>
      <c r="CXP2" s="148"/>
      <c r="CXQ2" s="148"/>
      <c r="CXR2" s="148"/>
      <c r="CXS2" s="148"/>
      <c r="CXT2" s="148"/>
      <c r="CXU2" s="148"/>
      <c r="CXV2" s="148"/>
      <c r="CXW2" s="148"/>
      <c r="CXX2" s="148"/>
      <c r="CXY2" s="148"/>
      <c r="CXZ2" s="148"/>
      <c r="CYA2" s="148"/>
      <c r="CYB2" s="148"/>
      <c r="CYC2" s="148"/>
      <c r="CYD2" s="148"/>
      <c r="CYE2" s="148"/>
      <c r="CYF2" s="148"/>
      <c r="CYG2" s="148"/>
      <c r="CYH2" s="148"/>
      <c r="CYI2" s="148"/>
      <c r="CYJ2" s="148"/>
      <c r="CYK2" s="148"/>
      <c r="CYL2" s="148"/>
      <c r="CYM2" s="148"/>
      <c r="CYN2" s="148"/>
      <c r="CYO2" s="148"/>
      <c r="CYP2" s="148"/>
      <c r="CYQ2" s="148"/>
      <c r="CYR2" s="148"/>
      <c r="CYS2" s="148"/>
      <c r="CYT2" s="148"/>
      <c r="CYU2" s="148"/>
      <c r="CYV2" s="148"/>
      <c r="CYW2" s="148"/>
      <c r="CYX2" s="148"/>
      <c r="CYY2" s="148"/>
      <c r="CYZ2" s="148"/>
      <c r="CZA2" s="148"/>
      <c r="CZB2" s="148"/>
      <c r="CZC2" s="148"/>
      <c r="CZD2" s="148"/>
      <c r="CZE2" s="148"/>
      <c r="CZF2" s="148"/>
      <c r="CZG2" s="148"/>
      <c r="CZH2" s="148"/>
      <c r="CZI2" s="148"/>
      <c r="CZJ2" s="148"/>
      <c r="CZK2" s="148"/>
      <c r="CZL2" s="148"/>
      <c r="CZM2" s="148"/>
      <c r="CZN2" s="148"/>
      <c r="CZO2" s="148"/>
      <c r="CZP2" s="148"/>
      <c r="CZQ2" s="148"/>
      <c r="CZR2" s="148"/>
      <c r="CZS2" s="148"/>
      <c r="CZT2" s="148"/>
      <c r="CZU2" s="148"/>
      <c r="CZV2" s="148"/>
      <c r="CZW2" s="148"/>
      <c r="CZX2" s="148"/>
      <c r="CZY2" s="148"/>
      <c r="CZZ2" s="148"/>
      <c r="DAA2" s="148"/>
      <c r="DAB2" s="148"/>
      <c r="DAC2" s="148"/>
      <c r="DAD2" s="148"/>
      <c r="DAE2" s="148"/>
      <c r="DAF2" s="148"/>
      <c r="DAG2" s="148"/>
      <c r="DAH2" s="148"/>
      <c r="DAI2" s="148"/>
      <c r="DAJ2" s="148"/>
      <c r="DAK2" s="148"/>
      <c r="DAL2" s="148"/>
      <c r="DAM2" s="148"/>
      <c r="DAN2" s="148"/>
      <c r="DAO2" s="148"/>
      <c r="DAP2" s="148"/>
      <c r="DAQ2" s="148"/>
      <c r="DAR2" s="148"/>
      <c r="DAS2" s="148"/>
      <c r="DAT2" s="148"/>
      <c r="DAU2" s="148"/>
      <c r="DAV2" s="148"/>
      <c r="DAW2" s="148"/>
      <c r="DAX2" s="148"/>
      <c r="DAY2" s="148"/>
      <c r="DAZ2" s="148"/>
      <c r="DBA2" s="148"/>
      <c r="DBB2" s="148"/>
      <c r="DBC2" s="148"/>
      <c r="DBD2" s="148"/>
      <c r="DBE2" s="148"/>
      <c r="DBF2" s="148"/>
      <c r="DBG2" s="148"/>
      <c r="DBH2" s="148"/>
      <c r="DBI2" s="148"/>
      <c r="DBJ2" s="148"/>
      <c r="DBK2" s="148"/>
      <c r="DBL2" s="148"/>
      <c r="DBM2" s="148"/>
      <c r="DBN2" s="148"/>
      <c r="DBO2" s="148"/>
      <c r="DBP2" s="148"/>
      <c r="DBQ2" s="148"/>
      <c r="DBR2" s="148"/>
      <c r="DBS2" s="148"/>
      <c r="DBT2" s="148"/>
      <c r="DBU2" s="148"/>
      <c r="DBV2" s="148"/>
      <c r="DBW2" s="148"/>
      <c r="DBX2" s="148"/>
      <c r="DBY2" s="148"/>
      <c r="DBZ2" s="148"/>
      <c r="DCA2" s="148"/>
      <c r="DCB2" s="148"/>
      <c r="DCC2" s="148"/>
      <c r="DCD2" s="148"/>
      <c r="DCE2" s="148"/>
      <c r="DCF2" s="148"/>
      <c r="DCG2" s="148"/>
      <c r="DCH2" s="148"/>
      <c r="DCI2" s="148"/>
      <c r="DCJ2" s="148"/>
      <c r="DCK2" s="148"/>
      <c r="DCL2" s="148"/>
      <c r="DCM2" s="148"/>
      <c r="DCN2" s="148"/>
      <c r="DCO2" s="148"/>
      <c r="DCP2" s="148"/>
      <c r="DCQ2" s="148"/>
      <c r="DCR2" s="148"/>
      <c r="DCS2" s="148"/>
      <c r="DCT2" s="148"/>
      <c r="DCU2" s="148"/>
      <c r="DCV2" s="148"/>
      <c r="DCW2" s="148"/>
      <c r="DCX2" s="148"/>
      <c r="DCY2" s="148"/>
      <c r="DCZ2" s="148"/>
      <c r="DDA2" s="148"/>
      <c r="DDB2" s="148"/>
      <c r="DDC2" s="148"/>
      <c r="DDD2" s="148"/>
      <c r="DDE2" s="148"/>
      <c r="DDF2" s="148"/>
      <c r="DDG2" s="148"/>
      <c r="DDH2" s="148"/>
      <c r="DDI2" s="148"/>
      <c r="DDJ2" s="148"/>
      <c r="DDK2" s="148"/>
      <c r="DDL2" s="148"/>
      <c r="DDM2" s="148"/>
      <c r="DDN2" s="148"/>
      <c r="DDO2" s="148"/>
      <c r="DDP2" s="148"/>
      <c r="DDQ2" s="148"/>
      <c r="DDR2" s="148"/>
      <c r="DDS2" s="148"/>
      <c r="DDT2" s="148"/>
      <c r="DDU2" s="148"/>
      <c r="DDV2" s="148"/>
      <c r="DDW2" s="148"/>
      <c r="DDX2" s="148"/>
      <c r="DDY2" s="148"/>
      <c r="DDZ2" s="148"/>
      <c r="DEA2" s="148"/>
      <c r="DEB2" s="148"/>
      <c r="DEC2" s="148"/>
      <c r="DED2" s="148"/>
      <c r="DEE2" s="148"/>
      <c r="DEF2" s="148"/>
      <c r="DEG2" s="148"/>
      <c r="DEH2" s="148"/>
      <c r="DEI2" s="148"/>
      <c r="DEJ2" s="148"/>
      <c r="DEK2" s="148"/>
      <c r="DEL2" s="148"/>
      <c r="DEM2" s="148"/>
      <c r="DEN2" s="148"/>
      <c r="DEO2" s="148"/>
      <c r="DEP2" s="148"/>
      <c r="DEQ2" s="148"/>
      <c r="DER2" s="148"/>
      <c r="DES2" s="148"/>
      <c r="DET2" s="148"/>
      <c r="DEU2" s="148"/>
      <c r="DEV2" s="148"/>
      <c r="DEW2" s="148"/>
      <c r="DEX2" s="148"/>
      <c r="DEY2" s="148"/>
      <c r="DEZ2" s="148"/>
      <c r="DFA2" s="148"/>
      <c r="DFB2" s="148"/>
      <c r="DFC2" s="148"/>
      <c r="DFD2" s="148"/>
      <c r="DFE2" s="148"/>
      <c r="DFF2" s="148"/>
      <c r="DFG2" s="148"/>
      <c r="DFH2" s="148"/>
      <c r="DFI2" s="148"/>
      <c r="DFJ2" s="148"/>
      <c r="DFK2" s="148"/>
      <c r="DFL2" s="148"/>
      <c r="DFM2" s="148"/>
      <c r="DFN2" s="148"/>
      <c r="DFO2" s="148"/>
      <c r="DFP2" s="148"/>
      <c r="DFQ2" s="148"/>
      <c r="DFR2" s="148"/>
      <c r="DFS2" s="148"/>
      <c r="DFT2" s="148"/>
      <c r="DFU2" s="148"/>
      <c r="DFV2" s="148"/>
      <c r="DFW2" s="148"/>
      <c r="DFX2" s="148"/>
      <c r="DFY2" s="148"/>
      <c r="DFZ2" s="148"/>
      <c r="DGA2" s="148"/>
      <c r="DGB2" s="148"/>
      <c r="DGC2" s="148"/>
      <c r="DGD2" s="148"/>
      <c r="DGE2" s="148"/>
      <c r="DGF2" s="148"/>
      <c r="DGG2" s="148"/>
      <c r="DGH2" s="148"/>
      <c r="DGI2" s="148"/>
      <c r="DGJ2" s="148"/>
      <c r="DGK2" s="148"/>
      <c r="DGL2" s="148"/>
      <c r="DGM2" s="148"/>
      <c r="DGN2" s="148"/>
      <c r="DGO2" s="148"/>
      <c r="DGP2" s="148"/>
      <c r="DGQ2" s="148"/>
      <c r="DGR2" s="148"/>
      <c r="DGS2" s="148"/>
      <c r="DGT2" s="148"/>
      <c r="DGU2" s="148"/>
      <c r="DGV2" s="148"/>
      <c r="DGW2" s="148"/>
      <c r="DGX2" s="148"/>
      <c r="DGY2" s="148"/>
      <c r="DGZ2" s="148"/>
      <c r="DHA2" s="148"/>
      <c r="DHB2" s="148"/>
      <c r="DHC2" s="148"/>
      <c r="DHD2" s="148"/>
      <c r="DHE2" s="148"/>
      <c r="DHF2" s="148"/>
      <c r="DHG2" s="148"/>
      <c r="DHH2" s="148"/>
      <c r="DHI2" s="148"/>
      <c r="DHJ2" s="148"/>
      <c r="DHK2" s="148"/>
      <c r="DHL2" s="148"/>
      <c r="DHM2" s="148"/>
      <c r="DHN2" s="148"/>
      <c r="DHO2" s="148"/>
      <c r="DHP2" s="148"/>
      <c r="DHQ2" s="148"/>
      <c r="DHR2" s="148"/>
      <c r="DHS2" s="148"/>
      <c r="DHT2" s="148"/>
      <c r="DHU2" s="148"/>
      <c r="DHV2" s="148"/>
      <c r="DHW2" s="148"/>
      <c r="DHX2" s="148"/>
      <c r="DHY2" s="148"/>
      <c r="DHZ2" s="148"/>
      <c r="DIA2" s="148"/>
      <c r="DIB2" s="148"/>
      <c r="DIC2" s="148"/>
      <c r="DID2" s="148"/>
      <c r="DIE2" s="148"/>
      <c r="DIF2" s="148"/>
      <c r="DIG2" s="148"/>
      <c r="DIH2" s="148"/>
      <c r="DII2" s="148"/>
      <c r="DIJ2" s="148"/>
      <c r="DIK2" s="148"/>
      <c r="DIL2" s="148"/>
      <c r="DIM2" s="148"/>
      <c r="DIN2" s="148"/>
      <c r="DIO2" s="148"/>
      <c r="DIP2" s="148"/>
      <c r="DIQ2" s="148"/>
      <c r="DIR2" s="148"/>
      <c r="DIS2" s="148"/>
      <c r="DIT2" s="148"/>
      <c r="DIU2" s="148"/>
      <c r="DIV2" s="148"/>
      <c r="DIW2" s="148"/>
      <c r="DIX2" s="148"/>
      <c r="DIY2" s="148"/>
      <c r="DIZ2" s="148"/>
      <c r="DJA2" s="148"/>
      <c r="DJB2" s="148"/>
      <c r="DJC2" s="148"/>
      <c r="DJD2" s="148"/>
      <c r="DJE2" s="148"/>
      <c r="DJF2" s="148"/>
      <c r="DJG2" s="148"/>
      <c r="DJH2" s="148"/>
      <c r="DJI2" s="148"/>
      <c r="DJJ2" s="148"/>
      <c r="DJK2" s="148"/>
      <c r="DJL2" s="148"/>
      <c r="DJM2" s="148"/>
      <c r="DJN2" s="148"/>
      <c r="DJO2" s="148"/>
      <c r="DJP2" s="148"/>
      <c r="DJQ2" s="148"/>
      <c r="DJR2" s="148"/>
      <c r="DJS2" s="148"/>
      <c r="DJT2" s="148"/>
      <c r="DJU2" s="148"/>
      <c r="DJV2" s="148"/>
      <c r="DJW2" s="148"/>
      <c r="DJX2" s="148"/>
      <c r="DJY2" s="148"/>
      <c r="DJZ2" s="148"/>
      <c r="DKA2" s="148"/>
      <c r="DKB2" s="148"/>
      <c r="DKC2" s="148"/>
      <c r="DKD2" s="148"/>
      <c r="DKE2" s="148"/>
      <c r="DKF2" s="148"/>
      <c r="DKG2" s="148"/>
      <c r="DKH2" s="148"/>
      <c r="DKI2" s="148"/>
      <c r="DKJ2" s="148"/>
      <c r="DKK2" s="148"/>
      <c r="DKL2" s="148"/>
      <c r="DKM2" s="148"/>
      <c r="DKN2" s="148"/>
      <c r="DKO2" s="148"/>
      <c r="DKP2" s="148"/>
      <c r="DKQ2" s="148"/>
      <c r="DKR2" s="148"/>
      <c r="DKS2" s="148"/>
      <c r="DKT2" s="148"/>
      <c r="DKU2" s="148"/>
      <c r="DKV2" s="148"/>
      <c r="DKW2" s="148"/>
      <c r="DKX2" s="148"/>
      <c r="DKY2" s="148"/>
      <c r="DKZ2" s="148"/>
      <c r="DLA2" s="148"/>
      <c r="DLB2" s="148"/>
      <c r="DLC2" s="148"/>
      <c r="DLD2" s="148"/>
      <c r="DLE2" s="148"/>
      <c r="DLF2" s="148"/>
      <c r="DLG2" s="148"/>
      <c r="DLH2" s="148"/>
      <c r="DLI2" s="148"/>
      <c r="DLJ2" s="148"/>
      <c r="DLK2" s="148"/>
      <c r="DLL2" s="148"/>
      <c r="DLM2" s="148"/>
      <c r="DLN2" s="148"/>
      <c r="DLO2" s="148"/>
      <c r="DLP2" s="148"/>
      <c r="DLQ2" s="148"/>
      <c r="DLR2" s="148"/>
      <c r="DLS2" s="148"/>
      <c r="DLT2" s="148"/>
      <c r="DLU2" s="148"/>
      <c r="DLV2" s="148"/>
      <c r="DLW2" s="148"/>
      <c r="DLX2" s="148"/>
      <c r="DLY2" s="148"/>
      <c r="DLZ2" s="148"/>
      <c r="DMA2" s="148"/>
      <c r="DMB2" s="148"/>
      <c r="DMC2" s="148"/>
      <c r="DMD2" s="148"/>
      <c r="DME2" s="148"/>
      <c r="DMF2" s="148"/>
      <c r="DMG2" s="148"/>
      <c r="DMH2" s="148"/>
      <c r="DMI2" s="148"/>
      <c r="DMJ2" s="148"/>
      <c r="DMK2" s="148"/>
      <c r="DML2" s="148"/>
      <c r="DMM2" s="148"/>
      <c r="DMN2" s="148"/>
      <c r="DMO2" s="148"/>
      <c r="DMP2" s="148"/>
      <c r="DMQ2" s="148"/>
      <c r="DMR2" s="148"/>
      <c r="DMS2" s="148"/>
      <c r="DMT2" s="148"/>
      <c r="DMU2" s="148"/>
      <c r="DMV2" s="148"/>
      <c r="DMW2" s="148"/>
      <c r="DMX2" s="148"/>
      <c r="DMY2" s="148"/>
      <c r="DMZ2" s="148"/>
      <c r="DNA2" s="148"/>
      <c r="DNB2" s="148"/>
      <c r="DNC2" s="148"/>
      <c r="DND2" s="148"/>
      <c r="DNE2" s="148"/>
      <c r="DNF2" s="148"/>
      <c r="DNG2" s="148"/>
      <c r="DNH2" s="148"/>
      <c r="DNI2" s="148"/>
      <c r="DNJ2" s="148"/>
      <c r="DNK2" s="148"/>
      <c r="DNL2" s="148"/>
      <c r="DNM2" s="148"/>
      <c r="DNN2" s="148"/>
      <c r="DNO2" s="148"/>
      <c r="DNP2" s="148"/>
      <c r="DNQ2" s="148"/>
      <c r="DNR2" s="148"/>
      <c r="DNS2" s="148"/>
      <c r="DNT2" s="148"/>
      <c r="DNU2" s="148"/>
      <c r="DNV2" s="148"/>
      <c r="DNW2" s="148"/>
      <c r="DNX2" s="148"/>
      <c r="DNY2" s="148"/>
      <c r="DNZ2" s="148"/>
      <c r="DOA2" s="148"/>
      <c r="DOB2" s="148"/>
      <c r="DOC2" s="148"/>
      <c r="DOD2" s="148"/>
      <c r="DOE2" s="148"/>
      <c r="DOF2" s="148"/>
      <c r="DOG2" s="148"/>
      <c r="DOH2" s="148"/>
      <c r="DOI2" s="148"/>
      <c r="DOJ2" s="148"/>
      <c r="DOK2" s="148"/>
      <c r="DOL2" s="148"/>
      <c r="DOM2" s="148"/>
      <c r="DON2" s="148"/>
      <c r="DOO2" s="148"/>
      <c r="DOP2" s="148"/>
      <c r="DOQ2" s="148"/>
      <c r="DOR2" s="148"/>
      <c r="DOS2" s="148"/>
      <c r="DOT2" s="148"/>
      <c r="DOU2" s="148"/>
      <c r="DOV2" s="148"/>
      <c r="DOW2" s="148"/>
      <c r="DOX2" s="148"/>
      <c r="DOY2" s="148"/>
      <c r="DOZ2" s="148"/>
      <c r="DPA2" s="148"/>
      <c r="DPB2" s="148"/>
      <c r="DPC2" s="148"/>
      <c r="DPD2" s="148"/>
      <c r="DPE2" s="148"/>
      <c r="DPF2" s="148"/>
      <c r="DPG2" s="148"/>
      <c r="DPH2" s="148"/>
      <c r="DPI2" s="148"/>
      <c r="DPJ2" s="148"/>
      <c r="DPK2" s="148"/>
      <c r="DPL2" s="148"/>
      <c r="DPM2" s="148"/>
      <c r="DPN2" s="148"/>
      <c r="DPO2" s="148"/>
      <c r="DPP2" s="148"/>
      <c r="DPQ2" s="148"/>
      <c r="DPR2" s="148"/>
      <c r="DPS2" s="148"/>
      <c r="DPT2" s="148"/>
      <c r="DPU2" s="148"/>
      <c r="DPV2" s="148"/>
      <c r="DPW2" s="148"/>
      <c r="DPX2" s="148"/>
      <c r="DPY2" s="148"/>
      <c r="DPZ2" s="148"/>
      <c r="DQA2" s="148"/>
      <c r="DQB2" s="148"/>
      <c r="DQC2" s="148"/>
      <c r="DQD2" s="148"/>
      <c r="DQE2" s="148"/>
      <c r="DQF2" s="148"/>
      <c r="DQG2" s="148"/>
      <c r="DQH2" s="148"/>
      <c r="DQI2" s="148"/>
      <c r="DQJ2" s="148"/>
      <c r="DQK2" s="148"/>
      <c r="DQL2" s="148"/>
      <c r="DQM2" s="148"/>
      <c r="DQN2" s="148"/>
      <c r="DQO2" s="148"/>
      <c r="DQP2" s="148"/>
      <c r="DQQ2" s="148"/>
      <c r="DQR2" s="148"/>
      <c r="DQS2" s="148"/>
      <c r="DQT2" s="148"/>
      <c r="DQU2" s="148"/>
      <c r="DQV2" s="148"/>
      <c r="DQW2" s="148"/>
      <c r="DQX2" s="148"/>
      <c r="DQY2" s="148"/>
      <c r="DQZ2" s="148"/>
      <c r="DRA2" s="148"/>
      <c r="DRB2" s="148"/>
      <c r="DRC2" s="148"/>
      <c r="DRD2" s="148"/>
      <c r="DRE2" s="148"/>
      <c r="DRF2" s="148"/>
      <c r="DRG2" s="148"/>
      <c r="DRH2" s="148"/>
      <c r="DRI2" s="148"/>
      <c r="DRJ2" s="148"/>
      <c r="DRK2" s="148"/>
      <c r="DRL2" s="148"/>
      <c r="DRM2" s="148"/>
      <c r="DRN2" s="148"/>
      <c r="DRO2" s="148"/>
      <c r="DRP2" s="148"/>
      <c r="DRQ2" s="148"/>
      <c r="DRR2" s="148"/>
      <c r="DRS2" s="148"/>
      <c r="DRT2" s="148"/>
      <c r="DRU2" s="148"/>
      <c r="DRV2" s="148"/>
      <c r="DRW2" s="148"/>
      <c r="DRX2" s="148"/>
      <c r="DRY2" s="148"/>
      <c r="DRZ2" s="148"/>
      <c r="DSA2" s="148"/>
      <c r="DSB2" s="148"/>
      <c r="DSC2" s="148"/>
      <c r="DSD2" s="148"/>
      <c r="DSE2" s="148"/>
      <c r="DSF2" s="148"/>
      <c r="DSG2" s="148"/>
      <c r="DSH2" s="148"/>
      <c r="DSI2" s="148"/>
      <c r="DSJ2" s="148"/>
      <c r="DSK2" s="148"/>
      <c r="DSL2" s="148"/>
      <c r="DSM2" s="148"/>
      <c r="DSN2" s="148"/>
      <c r="DSO2" s="148"/>
      <c r="DSP2" s="148"/>
      <c r="DSQ2" s="148"/>
      <c r="DSR2" s="148"/>
      <c r="DSS2" s="148"/>
      <c r="DST2" s="148"/>
      <c r="DSU2" s="148"/>
      <c r="DSV2" s="148"/>
      <c r="DSW2" s="148"/>
      <c r="DSX2" s="148"/>
      <c r="DSY2" s="148"/>
      <c r="DSZ2" s="148"/>
      <c r="DTA2" s="148"/>
      <c r="DTB2" s="148"/>
      <c r="DTC2" s="148"/>
      <c r="DTD2" s="148"/>
      <c r="DTE2" s="148"/>
      <c r="DTF2" s="148"/>
      <c r="DTG2" s="148"/>
      <c r="DTH2" s="148"/>
      <c r="DTI2" s="148"/>
      <c r="DTJ2" s="148"/>
      <c r="DTK2" s="148"/>
      <c r="DTL2" s="148"/>
      <c r="DTM2" s="148"/>
      <c r="DTN2" s="148"/>
      <c r="DTO2" s="148"/>
      <c r="DTP2" s="148"/>
      <c r="DTQ2" s="148"/>
      <c r="DTR2" s="148"/>
      <c r="DTS2" s="148"/>
      <c r="DTT2" s="148"/>
      <c r="DTU2" s="148"/>
      <c r="DTV2" s="148"/>
      <c r="DTW2" s="148"/>
      <c r="DTX2" s="148"/>
      <c r="DTY2" s="148"/>
      <c r="DTZ2" s="148"/>
      <c r="DUA2" s="148"/>
      <c r="DUB2" s="148"/>
      <c r="DUC2" s="148"/>
      <c r="DUD2" s="148"/>
      <c r="DUE2" s="148"/>
      <c r="DUF2" s="148"/>
      <c r="DUG2" s="148"/>
      <c r="DUH2" s="148"/>
      <c r="DUI2" s="148"/>
      <c r="DUJ2" s="148"/>
      <c r="DUK2" s="148"/>
      <c r="DUL2" s="148"/>
      <c r="DUM2" s="148"/>
      <c r="DUN2" s="148"/>
      <c r="DUO2" s="148"/>
      <c r="DUP2" s="148"/>
      <c r="DUQ2" s="148"/>
      <c r="DUR2" s="148"/>
      <c r="DUS2" s="148"/>
      <c r="DUT2" s="148"/>
      <c r="DUU2" s="148"/>
      <c r="DUV2" s="148"/>
      <c r="DUW2" s="148"/>
      <c r="DUX2" s="148"/>
      <c r="DUY2" s="148"/>
      <c r="DUZ2" s="148"/>
      <c r="DVA2" s="148"/>
      <c r="DVB2" s="148"/>
      <c r="DVC2" s="148"/>
      <c r="DVD2" s="148"/>
      <c r="DVE2" s="148"/>
      <c r="DVF2" s="148"/>
      <c r="DVG2" s="148"/>
      <c r="DVH2" s="148"/>
      <c r="DVI2" s="148"/>
      <c r="DVJ2" s="148"/>
      <c r="DVK2" s="148"/>
      <c r="DVL2" s="148"/>
      <c r="DVM2" s="148"/>
      <c r="DVN2" s="148"/>
      <c r="DVO2" s="148"/>
      <c r="DVP2" s="148"/>
      <c r="DVQ2" s="148"/>
      <c r="DVR2" s="148"/>
      <c r="DVS2" s="148"/>
      <c r="DVT2" s="148"/>
      <c r="DVU2" s="148"/>
      <c r="DVV2" s="148"/>
      <c r="DVW2" s="148"/>
      <c r="DVX2" s="148"/>
      <c r="DVY2" s="148"/>
      <c r="DVZ2" s="148"/>
      <c r="DWA2" s="148"/>
      <c r="DWB2" s="148"/>
      <c r="DWC2" s="148"/>
      <c r="DWD2" s="148"/>
      <c r="DWE2" s="148"/>
      <c r="DWF2" s="148"/>
      <c r="DWG2" s="148"/>
      <c r="DWH2" s="148"/>
      <c r="DWI2" s="148"/>
      <c r="DWJ2" s="148"/>
      <c r="DWK2" s="148"/>
      <c r="DWL2" s="148"/>
      <c r="DWM2" s="148"/>
      <c r="DWN2" s="148"/>
      <c r="DWO2" s="148"/>
      <c r="DWP2" s="148"/>
      <c r="DWQ2" s="148"/>
      <c r="DWR2" s="148"/>
      <c r="DWS2" s="148"/>
      <c r="DWT2" s="148"/>
      <c r="DWU2" s="148"/>
      <c r="DWV2" s="148"/>
      <c r="DWW2" s="148"/>
      <c r="DWX2" s="148"/>
      <c r="DWY2" s="148"/>
      <c r="DWZ2" s="148"/>
      <c r="DXA2" s="148"/>
      <c r="DXB2" s="148"/>
      <c r="DXC2" s="148"/>
      <c r="DXD2" s="148"/>
      <c r="DXE2" s="148"/>
      <c r="DXF2" s="148"/>
      <c r="DXG2" s="148"/>
      <c r="DXH2" s="148"/>
      <c r="DXI2" s="148"/>
      <c r="DXJ2" s="148"/>
      <c r="DXK2" s="148"/>
      <c r="DXL2" s="148"/>
      <c r="DXM2" s="148"/>
      <c r="DXN2" s="148"/>
      <c r="DXO2" s="148"/>
      <c r="DXP2" s="148"/>
      <c r="DXQ2" s="148"/>
      <c r="DXR2" s="148"/>
      <c r="DXS2" s="148"/>
      <c r="DXT2" s="148"/>
      <c r="DXU2" s="148"/>
      <c r="DXV2" s="148"/>
      <c r="DXW2" s="148"/>
      <c r="DXX2" s="148"/>
      <c r="DXY2" s="148"/>
      <c r="DXZ2" s="148"/>
      <c r="DYA2" s="148"/>
      <c r="DYB2" s="148"/>
      <c r="DYC2" s="148"/>
      <c r="DYD2" s="148"/>
      <c r="DYE2" s="148"/>
      <c r="DYF2" s="148"/>
      <c r="DYG2" s="148"/>
      <c r="DYH2" s="148"/>
      <c r="DYI2" s="148"/>
      <c r="DYJ2" s="148"/>
      <c r="DYK2" s="148"/>
      <c r="DYL2" s="148"/>
      <c r="DYM2" s="148"/>
      <c r="DYN2" s="148"/>
      <c r="DYO2" s="148"/>
      <c r="DYP2" s="148"/>
      <c r="DYQ2" s="148"/>
      <c r="DYR2" s="148"/>
      <c r="DYS2" s="148"/>
      <c r="DYT2" s="148"/>
      <c r="DYU2" s="148"/>
      <c r="DYV2" s="148"/>
      <c r="DYW2" s="148"/>
      <c r="DYX2" s="148"/>
      <c r="DYY2" s="148"/>
      <c r="DYZ2" s="148"/>
      <c r="DZA2" s="148"/>
      <c r="DZB2" s="148"/>
      <c r="DZC2" s="148"/>
      <c r="DZD2" s="148"/>
      <c r="DZE2" s="148"/>
      <c r="DZF2" s="148"/>
      <c r="DZG2" s="148"/>
      <c r="DZH2" s="148"/>
      <c r="DZI2" s="148"/>
      <c r="DZJ2" s="148"/>
      <c r="DZK2" s="148"/>
      <c r="DZL2" s="148"/>
      <c r="DZM2" s="148"/>
      <c r="DZN2" s="148"/>
      <c r="DZO2" s="148"/>
      <c r="DZP2" s="148"/>
      <c r="DZQ2" s="148"/>
      <c r="DZR2" s="148"/>
      <c r="DZS2" s="148"/>
      <c r="DZT2" s="148"/>
      <c r="DZU2" s="148"/>
      <c r="DZV2" s="148"/>
      <c r="DZW2" s="148"/>
      <c r="DZX2" s="148"/>
      <c r="DZY2" s="148"/>
      <c r="DZZ2" s="148"/>
      <c r="EAA2" s="148"/>
      <c r="EAB2" s="148"/>
      <c r="EAC2" s="148"/>
      <c r="EAD2" s="148"/>
      <c r="EAE2" s="148"/>
      <c r="EAF2" s="148"/>
      <c r="EAG2" s="148"/>
      <c r="EAH2" s="148"/>
      <c r="EAI2" s="148"/>
      <c r="EAJ2" s="148"/>
      <c r="EAK2" s="148"/>
      <c r="EAL2" s="148"/>
      <c r="EAM2" s="148"/>
      <c r="EAN2" s="148"/>
      <c r="EAO2" s="148"/>
      <c r="EAP2" s="148"/>
      <c r="EAQ2" s="148"/>
      <c r="EAR2" s="148"/>
      <c r="EAS2" s="148"/>
      <c r="EAT2" s="148"/>
      <c r="EAU2" s="148"/>
      <c r="EAV2" s="148"/>
      <c r="EAW2" s="148"/>
      <c r="EAX2" s="148"/>
      <c r="EAY2" s="148"/>
      <c r="EAZ2" s="148"/>
      <c r="EBA2" s="148"/>
      <c r="EBB2" s="148"/>
      <c r="EBC2" s="148"/>
      <c r="EBD2" s="148"/>
      <c r="EBE2" s="148"/>
      <c r="EBF2" s="148"/>
      <c r="EBG2" s="148"/>
      <c r="EBH2" s="148"/>
      <c r="EBI2" s="148"/>
      <c r="EBJ2" s="148"/>
      <c r="EBK2" s="148"/>
      <c r="EBL2" s="148"/>
      <c r="EBM2" s="148"/>
      <c r="EBN2" s="148"/>
      <c r="EBO2" s="148"/>
      <c r="EBP2" s="148"/>
      <c r="EBQ2" s="148"/>
      <c r="EBR2" s="148"/>
      <c r="EBS2" s="148"/>
      <c r="EBT2" s="148"/>
      <c r="EBU2" s="148"/>
      <c r="EBV2" s="148"/>
      <c r="EBW2" s="148"/>
      <c r="EBX2" s="148"/>
      <c r="EBY2" s="148"/>
      <c r="EBZ2" s="148"/>
      <c r="ECA2" s="148"/>
      <c r="ECB2" s="148"/>
      <c r="ECC2" s="148"/>
      <c r="ECD2" s="148"/>
      <c r="ECE2" s="148"/>
      <c r="ECF2" s="148"/>
      <c r="ECG2" s="148"/>
      <c r="ECH2" s="148"/>
      <c r="ECI2" s="148"/>
      <c r="ECJ2" s="148"/>
      <c r="ECK2" s="148"/>
      <c r="ECL2" s="148"/>
      <c r="ECM2" s="148"/>
      <c r="ECN2" s="148"/>
      <c r="ECO2" s="148"/>
      <c r="ECP2" s="148"/>
      <c r="ECQ2" s="148"/>
      <c r="ECR2" s="148"/>
      <c r="ECS2" s="148"/>
      <c r="ECT2" s="148"/>
      <c r="ECU2" s="148"/>
      <c r="ECV2" s="148"/>
      <c r="ECW2" s="148"/>
      <c r="ECX2" s="148"/>
      <c r="ECY2" s="148"/>
      <c r="ECZ2" s="148"/>
      <c r="EDA2" s="148"/>
      <c r="EDB2" s="148"/>
      <c r="EDC2" s="148"/>
      <c r="EDD2" s="148"/>
      <c r="EDE2" s="148"/>
      <c r="EDF2" s="148"/>
      <c r="EDG2" s="148"/>
      <c r="EDH2" s="148"/>
      <c r="EDI2" s="148"/>
      <c r="EDJ2" s="148"/>
      <c r="EDK2" s="148"/>
      <c r="EDL2" s="148"/>
      <c r="EDM2" s="148"/>
      <c r="EDN2" s="148"/>
      <c r="EDO2" s="148"/>
      <c r="EDP2" s="148"/>
      <c r="EDQ2" s="148"/>
      <c r="EDR2" s="148"/>
      <c r="EDS2" s="148"/>
      <c r="EDT2" s="148"/>
      <c r="EDU2" s="148"/>
      <c r="EDV2" s="148"/>
      <c r="EDW2" s="148"/>
      <c r="EDX2" s="148"/>
      <c r="EDY2" s="148"/>
      <c r="EDZ2" s="148"/>
      <c r="EEA2" s="148"/>
      <c r="EEB2" s="148"/>
      <c r="EEC2" s="148"/>
      <c r="EED2" s="148"/>
      <c r="EEE2" s="148"/>
      <c r="EEF2" s="148"/>
      <c r="EEG2" s="148"/>
      <c r="EEH2" s="148"/>
      <c r="EEI2" s="148"/>
      <c r="EEJ2" s="148"/>
      <c r="EEK2" s="148"/>
      <c r="EEL2" s="148"/>
      <c r="EEM2" s="148"/>
      <c r="EEN2" s="148"/>
      <c r="EEO2" s="148"/>
      <c r="EEP2" s="148"/>
      <c r="EEQ2" s="148"/>
      <c r="EER2" s="148"/>
      <c r="EES2" s="148"/>
      <c r="EET2" s="148"/>
      <c r="EEU2" s="148"/>
      <c r="EEV2" s="148"/>
      <c r="EEW2" s="148"/>
      <c r="EEX2" s="148"/>
      <c r="EEY2" s="148"/>
      <c r="EEZ2" s="148"/>
      <c r="EFA2" s="148"/>
      <c r="EFB2" s="148"/>
      <c r="EFC2" s="148"/>
      <c r="EFD2" s="148"/>
      <c r="EFE2" s="148"/>
      <c r="EFF2" s="148"/>
      <c r="EFG2" s="148"/>
      <c r="EFH2" s="148"/>
      <c r="EFI2" s="148"/>
      <c r="EFJ2" s="148"/>
      <c r="EFK2" s="148"/>
      <c r="EFL2" s="148"/>
      <c r="EFM2" s="148"/>
      <c r="EFN2" s="148"/>
      <c r="EFO2" s="148"/>
      <c r="EFP2" s="148"/>
      <c r="EFQ2" s="148"/>
      <c r="EFR2" s="148"/>
      <c r="EFS2" s="148"/>
      <c r="EFT2" s="148"/>
      <c r="EFU2" s="148"/>
      <c r="EFV2" s="148"/>
      <c r="EFW2" s="148"/>
      <c r="EFX2" s="148"/>
      <c r="EFY2" s="148"/>
      <c r="EFZ2" s="148"/>
      <c r="EGA2" s="148"/>
      <c r="EGB2" s="148"/>
      <c r="EGC2" s="148"/>
      <c r="EGD2" s="148"/>
      <c r="EGE2" s="148"/>
      <c r="EGF2" s="148"/>
      <c r="EGG2" s="148"/>
      <c r="EGH2" s="148"/>
      <c r="EGI2" s="148"/>
      <c r="EGJ2" s="148"/>
      <c r="EGK2" s="148"/>
      <c r="EGL2" s="148"/>
      <c r="EGM2" s="148"/>
      <c r="EGN2" s="148"/>
      <c r="EGO2" s="148"/>
      <c r="EGP2" s="148"/>
      <c r="EGQ2" s="148"/>
      <c r="EGR2" s="148"/>
      <c r="EGS2" s="148"/>
      <c r="EGT2" s="148"/>
      <c r="EGU2" s="148"/>
      <c r="EGV2" s="148"/>
      <c r="EGW2" s="148"/>
      <c r="EGX2" s="148"/>
      <c r="EGY2" s="148"/>
      <c r="EGZ2" s="148"/>
      <c r="EHA2" s="148"/>
      <c r="EHB2" s="148"/>
      <c r="EHC2" s="148"/>
      <c r="EHD2" s="148"/>
      <c r="EHE2" s="148"/>
      <c r="EHF2" s="148"/>
      <c r="EHG2" s="148"/>
      <c r="EHH2" s="148"/>
      <c r="EHI2" s="148"/>
      <c r="EHJ2" s="148"/>
      <c r="EHK2" s="148"/>
      <c r="EHL2" s="148"/>
      <c r="EHM2" s="148"/>
      <c r="EHN2" s="148"/>
      <c r="EHO2" s="148"/>
      <c r="EHP2" s="148"/>
      <c r="EHQ2" s="148"/>
      <c r="EHR2" s="148"/>
      <c r="EHS2" s="148"/>
      <c r="EHT2" s="148"/>
      <c r="EHU2" s="148"/>
      <c r="EHV2" s="148"/>
      <c r="EHW2" s="148"/>
      <c r="EHX2" s="148"/>
      <c r="EHY2" s="148"/>
      <c r="EHZ2" s="148"/>
      <c r="EIA2" s="148"/>
      <c r="EIB2" s="148"/>
      <c r="EIC2" s="148"/>
      <c r="EID2" s="148"/>
      <c r="EIE2" s="148"/>
      <c r="EIF2" s="148"/>
      <c r="EIG2" s="148"/>
      <c r="EIH2" s="148"/>
      <c r="EII2" s="148"/>
      <c r="EIJ2" s="148"/>
      <c r="EIK2" s="148"/>
      <c r="EIL2" s="148"/>
      <c r="EIM2" s="148"/>
      <c r="EIN2" s="148"/>
      <c r="EIO2" s="148"/>
      <c r="EIP2" s="148"/>
      <c r="EIQ2" s="148"/>
      <c r="EIR2" s="148"/>
      <c r="EIS2" s="148"/>
      <c r="EIT2" s="148"/>
      <c r="EIU2" s="148"/>
      <c r="EIV2" s="148"/>
      <c r="EIW2" s="148"/>
      <c r="EIX2" s="148"/>
      <c r="EIY2" s="148"/>
      <c r="EIZ2" s="148"/>
      <c r="EJA2" s="148"/>
      <c r="EJB2" s="148"/>
      <c r="EJC2" s="148"/>
      <c r="EJD2" s="148"/>
      <c r="EJE2" s="148"/>
      <c r="EJF2" s="148"/>
      <c r="EJG2" s="148"/>
      <c r="EJH2" s="148"/>
      <c r="EJI2" s="148"/>
      <c r="EJJ2" s="148"/>
      <c r="EJK2" s="148"/>
      <c r="EJL2" s="148"/>
      <c r="EJM2" s="148"/>
      <c r="EJN2" s="148"/>
      <c r="EJO2" s="148"/>
      <c r="EJP2" s="148"/>
      <c r="EJQ2" s="148"/>
      <c r="EJR2" s="148"/>
      <c r="EJS2" s="148"/>
      <c r="EJT2" s="148"/>
      <c r="EJU2" s="148"/>
      <c r="EJV2" s="148"/>
      <c r="EJW2" s="148"/>
      <c r="EJX2" s="148"/>
      <c r="EJY2" s="148"/>
      <c r="EJZ2" s="148"/>
      <c r="EKA2" s="148"/>
      <c r="EKB2" s="148"/>
      <c r="EKC2" s="148"/>
      <c r="EKD2" s="148"/>
      <c r="EKE2" s="148"/>
      <c r="EKF2" s="148"/>
      <c r="EKG2" s="148"/>
      <c r="EKH2" s="148"/>
      <c r="EKI2" s="148"/>
      <c r="EKJ2" s="148"/>
      <c r="EKK2" s="148"/>
      <c r="EKL2" s="148"/>
      <c r="EKM2" s="148"/>
      <c r="EKN2" s="148"/>
      <c r="EKO2" s="148"/>
      <c r="EKP2" s="148"/>
      <c r="EKQ2" s="148"/>
      <c r="EKR2" s="148"/>
      <c r="EKS2" s="148"/>
      <c r="EKT2" s="148"/>
      <c r="EKU2" s="148"/>
      <c r="EKV2" s="148"/>
      <c r="EKW2" s="148"/>
      <c r="EKX2" s="148"/>
      <c r="EKY2" s="148"/>
      <c r="EKZ2" s="148"/>
      <c r="ELA2" s="148"/>
      <c r="ELB2" s="148"/>
      <c r="ELC2" s="148"/>
      <c r="ELD2" s="148"/>
      <c r="ELE2" s="148"/>
      <c r="ELF2" s="148"/>
      <c r="ELG2" s="148"/>
      <c r="ELH2" s="148"/>
      <c r="ELI2" s="148"/>
      <c r="ELJ2" s="148"/>
      <c r="ELK2" s="148"/>
      <c r="ELL2" s="148"/>
      <c r="ELM2" s="148"/>
      <c r="ELN2" s="148"/>
      <c r="ELO2" s="148"/>
      <c r="ELP2" s="148"/>
      <c r="ELQ2" s="148"/>
      <c r="ELR2" s="148"/>
      <c r="ELS2" s="148"/>
      <c r="ELT2" s="148"/>
      <c r="ELU2" s="148"/>
      <c r="ELV2" s="148"/>
      <c r="ELW2" s="148"/>
      <c r="ELX2" s="148"/>
      <c r="ELY2" s="148"/>
      <c r="ELZ2" s="148"/>
      <c r="EMA2" s="148"/>
      <c r="EMB2" s="148"/>
      <c r="EMC2" s="148"/>
      <c r="EMD2" s="148"/>
      <c r="EME2" s="148"/>
      <c r="EMF2" s="148"/>
      <c r="EMG2" s="148"/>
      <c r="EMH2" s="148"/>
      <c r="EMI2" s="148"/>
      <c r="EMJ2" s="148"/>
      <c r="EMK2" s="148"/>
      <c r="EML2" s="148"/>
      <c r="EMM2" s="148"/>
      <c r="EMN2" s="148"/>
      <c r="EMO2" s="148"/>
      <c r="EMP2" s="148"/>
      <c r="EMQ2" s="148"/>
      <c r="EMR2" s="148"/>
      <c r="EMS2" s="148"/>
      <c r="EMT2" s="148"/>
      <c r="EMU2" s="148"/>
      <c r="EMV2" s="148"/>
      <c r="EMW2" s="148"/>
      <c r="EMX2" s="148"/>
      <c r="EMY2" s="148"/>
      <c r="EMZ2" s="148"/>
      <c r="ENA2" s="148"/>
      <c r="ENB2" s="148"/>
      <c r="ENC2" s="148"/>
      <c r="END2" s="148"/>
      <c r="ENE2" s="148"/>
      <c r="ENF2" s="148"/>
      <c r="ENG2" s="148"/>
      <c r="ENH2" s="148"/>
      <c r="ENI2" s="148"/>
      <c r="ENJ2" s="148"/>
      <c r="ENK2" s="148"/>
      <c r="ENL2" s="148"/>
      <c r="ENM2" s="148"/>
      <c r="ENN2" s="148"/>
      <c r="ENO2" s="148"/>
      <c r="ENP2" s="148"/>
      <c r="ENQ2" s="148"/>
      <c r="ENR2" s="148"/>
      <c r="ENS2" s="148"/>
      <c r="ENT2" s="148"/>
      <c r="ENU2" s="148"/>
      <c r="ENV2" s="148"/>
      <c r="ENW2" s="148"/>
      <c r="ENX2" s="148"/>
      <c r="ENY2" s="148"/>
      <c r="ENZ2" s="148"/>
      <c r="EOA2" s="148"/>
      <c r="EOB2" s="148"/>
      <c r="EOC2" s="148"/>
      <c r="EOD2" s="148"/>
      <c r="EOE2" s="148"/>
      <c r="EOF2" s="148"/>
      <c r="EOG2" s="148"/>
      <c r="EOH2" s="148"/>
      <c r="EOI2" s="148"/>
      <c r="EOJ2" s="148"/>
      <c r="EOK2" s="148"/>
      <c r="EOL2" s="148"/>
      <c r="EOM2" s="148"/>
      <c r="EON2" s="148"/>
      <c r="EOO2" s="148"/>
      <c r="EOP2" s="148"/>
      <c r="EOQ2" s="148"/>
      <c r="EOR2" s="148"/>
      <c r="EOS2" s="148"/>
      <c r="EOT2" s="148"/>
      <c r="EOU2" s="148"/>
      <c r="EOV2" s="148"/>
      <c r="EOW2" s="148"/>
      <c r="EOX2" s="148"/>
      <c r="EOY2" s="148"/>
      <c r="EOZ2" s="148"/>
      <c r="EPA2" s="148"/>
      <c r="EPB2" s="148"/>
      <c r="EPC2" s="148"/>
      <c r="EPD2" s="148"/>
      <c r="EPE2" s="148"/>
      <c r="EPF2" s="148"/>
      <c r="EPG2" s="148"/>
      <c r="EPH2" s="148"/>
      <c r="EPI2" s="148"/>
      <c r="EPJ2" s="148"/>
      <c r="EPK2" s="148"/>
      <c r="EPL2" s="148"/>
      <c r="EPM2" s="148"/>
      <c r="EPN2" s="148"/>
      <c r="EPO2" s="148"/>
      <c r="EPP2" s="148"/>
      <c r="EPQ2" s="148"/>
      <c r="EPR2" s="148"/>
      <c r="EPS2" s="148"/>
      <c r="EPT2" s="148"/>
      <c r="EPU2" s="148"/>
      <c r="EPV2" s="148"/>
      <c r="EPW2" s="148"/>
      <c r="EPX2" s="148"/>
      <c r="EPY2" s="148"/>
      <c r="EPZ2" s="148"/>
      <c r="EQA2" s="148"/>
      <c r="EQB2" s="148"/>
      <c r="EQC2" s="148"/>
      <c r="EQD2" s="148"/>
      <c r="EQE2" s="148"/>
      <c r="EQF2" s="148"/>
      <c r="EQG2" s="148"/>
      <c r="EQH2" s="148"/>
      <c r="EQI2" s="148"/>
      <c r="EQJ2" s="148"/>
      <c r="EQK2" s="148"/>
      <c r="EQL2" s="148"/>
      <c r="EQM2" s="148"/>
      <c r="EQN2" s="148"/>
      <c r="EQO2" s="148"/>
      <c r="EQP2" s="148"/>
      <c r="EQQ2" s="148"/>
      <c r="EQR2" s="148"/>
      <c r="EQS2" s="148"/>
      <c r="EQT2" s="148"/>
      <c r="EQU2" s="148"/>
      <c r="EQV2" s="148"/>
      <c r="EQW2" s="148"/>
      <c r="EQX2" s="148"/>
      <c r="EQY2" s="148"/>
      <c r="EQZ2" s="148"/>
      <c r="ERA2" s="148"/>
      <c r="ERB2" s="148"/>
      <c r="ERC2" s="148"/>
      <c r="ERD2" s="148"/>
      <c r="ERE2" s="148"/>
      <c r="ERF2" s="148"/>
      <c r="ERG2" s="148"/>
      <c r="ERH2" s="148"/>
      <c r="ERI2" s="148"/>
      <c r="ERJ2" s="148"/>
      <c r="ERK2" s="148"/>
      <c r="ERL2" s="148"/>
      <c r="ERM2" s="148"/>
      <c r="ERN2" s="148"/>
      <c r="ERO2" s="148"/>
      <c r="ERP2" s="148"/>
      <c r="ERQ2" s="148"/>
      <c r="ERR2" s="148"/>
      <c r="ERS2" s="148"/>
      <c r="ERT2" s="148"/>
      <c r="ERU2" s="148"/>
      <c r="ERV2" s="148"/>
      <c r="ERW2" s="148"/>
      <c r="ERX2" s="148"/>
      <c r="ERY2" s="148"/>
      <c r="ERZ2" s="148"/>
      <c r="ESA2" s="148"/>
      <c r="ESB2" s="148"/>
      <c r="ESC2" s="148"/>
      <c r="ESD2" s="148"/>
      <c r="ESE2" s="148"/>
      <c r="ESF2" s="148"/>
      <c r="ESG2" s="148"/>
      <c r="ESH2" s="148"/>
      <c r="ESI2" s="148"/>
      <c r="ESJ2" s="148"/>
      <c r="ESK2" s="148"/>
      <c r="ESL2" s="148"/>
      <c r="ESM2" s="148"/>
      <c r="ESN2" s="148"/>
      <c r="ESO2" s="148"/>
      <c r="ESP2" s="148"/>
      <c r="ESQ2" s="148"/>
      <c r="ESR2" s="148"/>
      <c r="ESS2" s="148"/>
      <c r="EST2" s="148"/>
      <c r="ESU2" s="148"/>
      <c r="ESV2" s="148"/>
      <c r="ESW2" s="148"/>
      <c r="ESX2" s="148"/>
      <c r="ESY2" s="148"/>
      <c r="ESZ2" s="148"/>
      <c r="ETA2" s="148"/>
      <c r="ETB2" s="148"/>
      <c r="ETC2" s="148"/>
      <c r="ETD2" s="148"/>
      <c r="ETE2" s="148"/>
      <c r="ETF2" s="148"/>
      <c r="ETG2" s="148"/>
      <c r="ETH2" s="148"/>
      <c r="ETI2" s="148"/>
      <c r="ETJ2" s="148"/>
      <c r="ETK2" s="148"/>
      <c r="ETL2" s="148"/>
      <c r="ETM2" s="148"/>
      <c r="ETN2" s="148"/>
      <c r="ETO2" s="148"/>
      <c r="ETP2" s="148"/>
      <c r="ETQ2" s="148"/>
      <c r="ETR2" s="148"/>
      <c r="ETS2" s="148"/>
      <c r="ETT2" s="148"/>
      <c r="ETU2" s="148"/>
      <c r="ETV2" s="148"/>
      <c r="ETW2" s="148"/>
      <c r="ETX2" s="148"/>
      <c r="ETY2" s="148"/>
      <c r="ETZ2" s="148"/>
      <c r="EUA2" s="148"/>
      <c r="EUB2" s="148"/>
      <c r="EUC2" s="148"/>
      <c r="EUD2" s="148"/>
      <c r="EUE2" s="148"/>
      <c r="EUF2" s="148"/>
      <c r="EUG2" s="148"/>
      <c r="EUH2" s="148"/>
      <c r="EUI2" s="148"/>
      <c r="EUJ2" s="148"/>
      <c r="EUK2" s="148"/>
      <c r="EUL2" s="148"/>
      <c r="EUM2" s="148"/>
      <c r="EUN2" s="148"/>
      <c r="EUO2" s="148"/>
      <c r="EUP2" s="148"/>
      <c r="EUQ2" s="148"/>
      <c r="EUR2" s="148"/>
      <c r="EUS2" s="148"/>
      <c r="EUT2" s="148"/>
      <c r="EUU2" s="148"/>
      <c r="EUV2" s="148"/>
      <c r="EUW2" s="148"/>
      <c r="EUX2" s="148"/>
      <c r="EUY2" s="148"/>
      <c r="EUZ2" s="148"/>
      <c r="EVA2" s="148"/>
      <c r="EVB2" s="148"/>
      <c r="EVC2" s="148"/>
      <c r="EVD2" s="148"/>
      <c r="EVE2" s="148"/>
      <c r="EVF2" s="148"/>
      <c r="EVG2" s="148"/>
      <c r="EVH2" s="148"/>
      <c r="EVI2" s="148"/>
      <c r="EVJ2" s="148"/>
      <c r="EVK2" s="148"/>
      <c r="EVL2" s="148"/>
      <c r="EVM2" s="148"/>
      <c r="EVN2" s="148"/>
      <c r="EVO2" s="148"/>
      <c r="EVP2" s="148"/>
      <c r="EVQ2" s="148"/>
      <c r="EVR2" s="148"/>
      <c r="EVS2" s="148"/>
      <c r="EVT2" s="148"/>
      <c r="EVU2" s="148"/>
      <c r="EVV2" s="148"/>
      <c r="EVW2" s="148"/>
      <c r="EVX2" s="148"/>
      <c r="EVY2" s="148"/>
      <c r="EVZ2" s="148"/>
      <c r="EWA2" s="148"/>
      <c r="EWB2" s="148"/>
      <c r="EWC2" s="148"/>
      <c r="EWD2" s="148"/>
      <c r="EWE2" s="148"/>
      <c r="EWF2" s="148"/>
      <c r="EWG2" s="148"/>
      <c r="EWH2" s="148"/>
      <c r="EWI2" s="148"/>
      <c r="EWJ2" s="148"/>
      <c r="EWK2" s="148"/>
      <c r="EWL2" s="148"/>
      <c r="EWM2" s="148"/>
      <c r="EWN2" s="148"/>
      <c r="EWO2" s="148"/>
      <c r="EWP2" s="148"/>
      <c r="EWQ2" s="148"/>
      <c r="EWR2" s="148"/>
      <c r="EWS2" s="148"/>
      <c r="EWT2" s="148"/>
      <c r="EWU2" s="148"/>
      <c r="EWV2" s="148"/>
      <c r="EWW2" s="148"/>
      <c r="EWX2" s="148"/>
      <c r="EWY2" s="148"/>
      <c r="EWZ2" s="148"/>
      <c r="EXA2" s="148"/>
      <c r="EXB2" s="148"/>
      <c r="EXC2" s="148"/>
      <c r="EXD2" s="148"/>
      <c r="EXE2" s="148"/>
      <c r="EXF2" s="148"/>
      <c r="EXG2" s="148"/>
      <c r="EXH2" s="148"/>
      <c r="EXI2" s="148"/>
      <c r="EXJ2" s="148"/>
      <c r="EXK2" s="148"/>
      <c r="EXL2" s="148"/>
      <c r="EXM2" s="148"/>
      <c r="EXN2" s="148"/>
      <c r="EXO2" s="148"/>
      <c r="EXP2" s="148"/>
      <c r="EXQ2" s="148"/>
      <c r="EXR2" s="148"/>
      <c r="EXS2" s="148"/>
      <c r="EXT2" s="148"/>
      <c r="EXU2" s="148"/>
      <c r="EXV2" s="148"/>
      <c r="EXW2" s="148"/>
      <c r="EXX2" s="148"/>
      <c r="EXY2" s="148"/>
      <c r="EXZ2" s="148"/>
      <c r="EYA2" s="148"/>
      <c r="EYB2" s="148"/>
      <c r="EYC2" s="148"/>
      <c r="EYD2" s="148"/>
      <c r="EYE2" s="148"/>
      <c r="EYF2" s="148"/>
      <c r="EYG2" s="148"/>
      <c r="EYH2" s="148"/>
      <c r="EYI2" s="148"/>
      <c r="EYJ2" s="148"/>
      <c r="EYK2" s="148"/>
      <c r="EYL2" s="148"/>
      <c r="EYM2" s="148"/>
      <c r="EYN2" s="148"/>
      <c r="EYO2" s="148"/>
      <c r="EYP2" s="148"/>
      <c r="EYQ2" s="148"/>
      <c r="EYR2" s="148"/>
      <c r="EYS2" s="148"/>
      <c r="EYT2" s="148"/>
      <c r="EYU2" s="148"/>
      <c r="EYV2" s="148"/>
      <c r="EYW2" s="148"/>
      <c r="EYX2" s="148"/>
      <c r="EYY2" s="148"/>
      <c r="EYZ2" s="148"/>
      <c r="EZA2" s="148"/>
      <c r="EZB2" s="148"/>
      <c r="EZC2" s="148"/>
      <c r="EZD2" s="148"/>
      <c r="EZE2" s="148"/>
      <c r="EZF2" s="148"/>
      <c r="EZG2" s="148"/>
      <c r="EZH2" s="148"/>
      <c r="EZI2" s="148"/>
      <c r="EZJ2" s="148"/>
      <c r="EZK2" s="148"/>
      <c r="EZL2" s="148"/>
      <c r="EZM2" s="148"/>
      <c r="EZN2" s="148"/>
      <c r="EZO2" s="148"/>
      <c r="EZP2" s="148"/>
      <c r="EZQ2" s="148"/>
      <c r="EZR2" s="148"/>
      <c r="EZS2" s="148"/>
      <c r="EZT2" s="148"/>
      <c r="EZU2" s="148"/>
      <c r="EZV2" s="148"/>
      <c r="EZW2" s="148"/>
      <c r="EZX2" s="148"/>
      <c r="EZY2" s="148"/>
      <c r="EZZ2" s="148"/>
      <c r="FAA2" s="148"/>
      <c r="FAB2" s="148"/>
      <c r="FAC2" s="148"/>
      <c r="FAD2" s="148"/>
      <c r="FAE2" s="148"/>
      <c r="FAF2" s="148"/>
      <c r="FAG2" s="148"/>
      <c r="FAH2" s="148"/>
      <c r="FAI2" s="148"/>
      <c r="FAJ2" s="148"/>
      <c r="FAK2" s="148"/>
      <c r="FAL2" s="148"/>
      <c r="FAM2" s="148"/>
      <c r="FAN2" s="148"/>
      <c r="FAO2" s="148"/>
      <c r="FAP2" s="148"/>
      <c r="FAQ2" s="148"/>
      <c r="FAR2" s="148"/>
      <c r="FAS2" s="148"/>
      <c r="FAT2" s="148"/>
      <c r="FAU2" s="148"/>
      <c r="FAV2" s="148"/>
      <c r="FAW2" s="148"/>
      <c r="FAX2" s="148"/>
      <c r="FAY2" s="148"/>
      <c r="FAZ2" s="148"/>
      <c r="FBA2" s="148"/>
      <c r="FBB2" s="148"/>
      <c r="FBC2" s="148"/>
      <c r="FBD2" s="148"/>
      <c r="FBE2" s="148"/>
      <c r="FBF2" s="148"/>
      <c r="FBG2" s="148"/>
      <c r="FBH2" s="148"/>
      <c r="FBI2" s="148"/>
      <c r="FBJ2" s="148"/>
      <c r="FBK2" s="148"/>
      <c r="FBL2" s="148"/>
      <c r="FBM2" s="148"/>
      <c r="FBN2" s="148"/>
      <c r="FBO2" s="148"/>
      <c r="FBP2" s="148"/>
      <c r="FBQ2" s="148"/>
      <c r="FBR2" s="148"/>
      <c r="FBS2" s="148"/>
      <c r="FBT2" s="148"/>
      <c r="FBU2" s="148"/>
      <c r="FBV2" s="148"/>
      <c r="FBW2" s="148"/>
      <c r="FBX2" s="148"/>
      <c r="FBY2" s="148"/>
      <c r="FBZ2" s="148"/>
      <c r="FCA2" s="148"/>
      <c r="FCB2" s="148"/>
      <c r="FCC2" s="148"/>
      <c r="FCD2" s="148"/>
      <c r="FCE2" s="148"/>
      <c r="FCF2" s="148"/>
      <c r="FCG2" s="148"/>
      <c r="FCH2" s="148"/>
      <c r="FCI2" s="148"/>
      <c r="FCJ2" s="148"/>
      <c r="FCK2" s="148"/>
      <c r="FCL2" s="148"/>
      <c r="FCM2" s="148"/>
      <c r="FCN2" s="148"/>
      <c r="FCO2" s="148"/>
      <c r="FCP2" s="148"/>
      <c r="FCQ2" s="148"/>
      <c r="FCR2" s="148"/>
      <c r="FCS2" s="148"/>
      <c r="FCT2" s="148"/>
      <c r="FCU2" s="148"/>
      <c r="FCV2" s="148"/>
      <c r="FCW2" s="148"/>
      <c r="FCX2" s="148"/>
      <c r="FCY2" s="148"/>
      <c r="FCZ2" s="148"/>
      <c r="FDA2" s="148"/>
      <c r="FDB2" s="148"/>
      <c r="FDC2" s="148"/>
      <c r="FDD2" s="148"/>
      <c r="FDE2" s="148"/>
      <c r="FDF2" s="148"/>
      <c r="FDG2" s="148"/>
      <c r="FDH2" s="148"/>
      <c r="FDI2" s="148"/>
      <c r="FDJ2" s="148"/>
      <c r="FDK2" s="148"/>
      <c r="FDL2" s="148"/>
      <c r="FDM2" s="148"/>
      <c r="FDN2" s="148"/>
      <c r="FDO2" s="148"/>
      <c r="FDP2" s="148"/>
      <c r="FDQ2" s="148"/>
      <c r="FDR2" s="148"/>
      <c r="FDS2" s="148"/>
      <c r="FDT2" s="148"/>
      <c r="FDU2" s="148"/>
      <c r="FDV2" s="148"/>
      <c r="FDW2" s="148"/>
      <c r="FDX2" s="148"/>
      <c r="FDY2" s="148"/>
      <c r="FDZ2" s="148"/>
      <c r="FEA2" s="148"/>
      <c r="FEB2" s="148"/>
      <c r="FEC2" s="148"/>
      <c r="FED2" s="148"/>
      <c r="FEE2" s="148"/>
      <c r="FEF2" s="148"/>
      <c r="FEG2" s="148"/>
      <c r="FEH2" s="148"/>
      <c r="FEI2" s="148"/>
      <c r="FEJ2" s="148"/>
      <c r="FEK2" s="148"/>
      <c r="FEL2" s="148"/>
      <c r="FEM2" s="148"/>
      <c r="FEN2" s="148"/>
      <c r="FEO2" s="148"/>
      <c r="FEP2" s="148"/>
      <c r="FEQ2" s="148"/>
      <c r="FER2" s="148"/>
      <c r="FES2" s="148"/>
      <c r="FET2" s="148"/>
      <c r="FEU2" s="148"/>
      <c r="FEV2" s="148"/>
      <c r="FEW2" s="148"/>
      <c r="FEX2" s="148"/>
      <c r="FEY2" s="148"/>
      <c r="FEZ2" s="148"/>
      <c r="FFA2" s="148"/>
      <c r="FFB2" s="148"/>
      <c r="FFC2" s="148"/>
      <c r="FFD2" s="148"/>
      <c r="FFE2" s="148"/>
      <c r="FFF2" s="148"/>
      <c r="FFG2" s="148"/>
      <c r="FFH2" s="148"/>
      <c r="FFI2" s="148"/>
      <c r="FFJ2" s="148"/>
      <c r="FFK2" s="148"/>
      <c r="FFL2" s="148"/>
      <c r="FFM2" s="148"/>
      <c r="FFN2" s="148"/>
      <c r="FFO2" s="148"/>
      <c r="FFP2" s="148"/>
      <c r="FFQ2" s="148"/>
      <c r="FFR2" s="148"/>
      <c r="FFS2" s="148"/>
      <c r="FFT2" s="148"/>
      <c r="FFU2" s="148"/>
      <c r="FFV2" s="148"/>
      <c r="FFW2" s="148"/>
      <c r="FFX2" s="148"/>
      <c r="FFY2" s="148"/>
      <c r="FFZ2" s="148"/>
      <c r="FGA2" s="148"/>
      <c r="FGB2" s="148"/>
      <c r="FGC2" s="148"/>
      <c r="FGD2" s="148"/>
      <c r="FGE2" s="148"/>
      <c r="FGF2" s="148"/>
      <c r="FGG2" s="148"/>
      <c r="FGH2" s="148"/>
      <c r="FGI2" s="148"/>
      <c r="FGJ2" s="148"/>
      <c r="FGK2" s="148"/>
      <c r="FGL2" s="148"/>
      <c r="FGM2" s="148"/>
      <c r="FGN2" s="148"/>
      <c r="FGO2" s="148"/>
      <c r="FGP2" s="148"/>
      <c r="FGQ2" s="148"/>
      <c r="FGR2" s="148"/>
      <c r="FGS2" s="148"/>
      <c r="FGT2" s="148"/>
      <c r="FGU2" s="148"/>
      <c r="FGV2" s="148"/>
      <c r="FGW2" s="148"/>
      <c r="FGX2" s="148"/>
      <c r="FGY2" s="148"/>
      <c r="FGZ2" s="148"/>
      <c r="FHA2" s="148"/>
      <c r="FHB2" s="148"/>
      <c r="FHC2" s="148"/>
      <c r="FHD2" s="148"/>
      <c r="FHE2" s="148"/>
      <c r="FHF2" s="148"/>
      <c r="FHG2" s="148"/>
      <c r="FHH2" s="148"/>
      <c r="FHI2" s="148"/>
      <c r="FHJ2" s="148"/>
      <c r="FHK2" s="148"/>
      <c r="FHL2" s="148"/>
      <c r="FHM2" s="148"/>
      <c r="FHN2" s="148"/>
      <c r="FHO2" s="148"/>
      <c r="FHP2" s="148"/>
      <c r="FHQ2" s="148"/>
      <c r="FHR2" s="148"/>
      <c r="FHS2" s="148"/>
      <c r="FHT2" s="148"/>
      <c r="FHU2" s="148"/>
      <c r="FHV2" s="148"/>
      <c r="FHW2" s="148"/>
      <c r="FHX2" s="148"/>
      <c r="FHY2" s="148"/>
      <c r="FHZ2" s="148"/>
      <c r="FIA2" s="148"/>
      <c r="FIB2" s="148"/>
      <c r="FIC2" s="148"/>
      <c r="FID2" s="148"/>
      <c r="FIE2" s="148"/>
      <c r="FIF2" s="148"/>
      <c r="FIG2" s="148"/>
      <c r="FIH2" s="148"/>
      <c r="FII2" s="148"/>
      <c r="FIJ2" s="148"/>
      <c r="FIK2" s="148"/>
      <c r="FIL2" s="148"/>
      <c r="FIM2" s="148"/>
      <c r="FIN2" s="148"/>
      <c r="FIO2" s="148"/>
      <c r="FIP2" s="148"/>
      <c r="FIQ2" s="148"/>
      <c r="FIR2" s="148"/>
      <c r="FIS2" s="148"/>
      <c r="FIT2" s="148"/>
      <c r="FIU2" s="148"/>
      <c r="FIV2" s="148"/>
      <c r="FIW2" s="148"/>
      <c r="FIX2" s="148"/>
      <c r="FIY2" s="148"/>
      <c r="FIZ2" s="148"/>
      <c r="FJA2" s="148"/>
      <c r="FJB2" s="148"/>
      <c r="FJC2" s="148"/>
      <c r="FJD2" s="148"/>
      <c r="FJE2" s="148"/>
      <c r="FJF2" s="148"/>
      <c r="FJG2" s="148"/>
      <c r="FJH2" s="148"/>
      <c r="FJI2" s="148"/>
      <c r="FJJ2" s="148"/>
      <c r="FJK2" s="148"/>
      <c r="FJL2" s="148"/>
      <c r="FJM2" s="148"/>
      <c r="FJN2" s="148"/>
      <c r="FJO2" s="148"/>
      <c r="FJP2" s="148"/>
      <c r="FJQ2" s="148"/>
      <c r="FJR2" s="148"/>
      <c r="FJS2" s="148"/>
      <c r="FJT2" s="148"/>
      <c r="FJU2" s="148"/>
      <c r="FJV2" s="148"/>
      <c r="FJW2" s="148"/>
      <c r="FJX2" s="148"/>
      <c r="FJY2" s="148"/>
      <c r="FJZ2" s="148"/>
      <c r="FKA2" s="148"/>
      <c r="FKB2" s="148"/>
      <c r="FKC2" s="148"/>
      <c r="FKD2" s="148"/>
      <c r="FKE2" s="148"/>
      <c r="FKF2" s="148"/>
      <c r="FKG2" s="148"/>
      <c r="FKH2" s="148"/>
      <c r="FKI2" s="148"/>
      <c r="FKJ2" s="148"/>
      <c r="FKK2" s="148"/>
      <c r="FKL2" s="148"/>
      <c r="FKM2" s="148"/>
      <c r="FKN2" s="148"/>
      <c r="FKO2" s="148"/>
      <c r="FKP2" s="148"/>
      <c r="FKQ2" s="148"/>
      <c r="FKR2" s="148"/>
      <c r="FKS2" s="148"/>
      <c r="FKT2" s="148"/>
      <c r="FKU2" s="148"/>
      <c r="FKV2" s="148"/>
      <c r="FKW2" s="148"/>
      <c r="FKX2" s="148"/>
      <c r="FKY2" s="148"/>
      <c r="FKZ2" s="148"/>
      <c r="FLA2" s="148"/>
      <c r="FLB2" s="148"/>
      <c r="FLC2" s="148"/>
      <c r="FLD2" s="148"/>
      <c r="FLE2" s="148"/>
      <c r="FLF2" s="148"/>
      <c r="FLG2" s="148"/>
      <c r="FLH2" s="148"/>
      <c r="FLI2" s="148"/>
      <c r="FLJ2" s="148"/>
      <c r="FLK2" s="148"/>
      <c r="FLL2" s="148"/>
      <c r="FLM2" s="148"/>
      <c r="FLN2" s="148"/>
      <c r="FLO2" s="148"/>
      <c r="FLP2" s="148"/>
      <c r="FLQ2" s="148"/>
      <c r="FLR2" s="148"/>
      <c r="FLS2" s="148"/>
      <c r="FLT2" s="148"/>
      <c r="FLU2" s="148"/>
      <c r="FLV2" s="148"/>
      <c r="FLW2" s="148"/>
      <c r="FLX2" s="148"/>
      <c r="FLY2" s="148"/>
      <c r="FLZ2" s="148"/>
      <c r="FMA2" s="148"/>
      <c r="FMB2" s="148"/>
      <c r="FMC2" s="148"/>
      <c r="FMD2" s="148"/>
      <c r="FME2" s="148"/>
      <c r="FMF2" s="148"/>
      <c r="FMG2" s="148"/>
      <c r="FMH2" s="148"/>
      <c r="FMI2" s="148"/>
      <c r="FMJ2" s="148"/>
      <c r="FMK2" s="148"/>
      <c r="FML2" s="148"/>
      <c r="FMM2" s="148"/>
      <c r="FMN2" s="148"/>
      <c r="FMO2" s="148"/>
      <c r="FMP2" s="148"/>
      <c r="FMQ2" s="148"/>
      <c r="FMR2" s="148"/>
      <c r="FMS2" s="148"/>
      <c r="FMT2" s="148"/>
      <c r="FMU2" s="148"/>
      <c r="FMV2" s="148"/>
      <c r="FMW2" s="148"/>
      <c r="FMX2" s="148"/>
      <c r="FMY2" s="148"/>
      <c r="FMZ2" s="148"/>
      <c r="FNA2" s="148"/>
      <c r="FNB2" s="148"/>
      <c r="FNC2" s="148"/>
      <c r="FND2" s="148"/>
      <c r="FNE2" s="148"/>
      <c r="FNF2" s="148"/>
      <c r="FNG2" s="148"/>
      <c r="FNH2" s="148"/>
      <c r="FNI2" s="148"/>
      <c r="FNJ2" s="148"/>
      <c r="FNK2" s="148"/>
      <c r="FNL2" s="148"/>
      <c r="FNM2" s="148"/>
      <c r="FNN2" s="148"/>
      <c r="FNO2" s="148"/>
      <c r="FNP2" s="148"/>
      <c r="FNQ2" s="148"/>
      <c r="FNR2" s="148"/>
      <c r="FNS2" s="148"/>
      <c r="FNT2" s="148"/>
      <c r="FNU2" s="148"/>
      <c r="FNV2" s="148"/>
      <c r="FNW2" s="148"/>
      <c r="FNX2" s="148"/>
      <c r="FNY2" s="148"/>
      <c r="FNZ2" s="148"/>
      <c r="FOA2" s="148"/>
      <c r="FOB2" s="148"/>
      <c r="FOC2" s="148"/>
      <c r="FOD2" s="148"/>
      <c r="FOE2" s="148"/>
      <c r="FOF2" s="148"/>
      <c r="FOG2" s="148"/>
      <c r="FOH2" s="148"/>
      <c r="FOI2" s="148"/>
      <c r="FOJ2" s="148"/>
      <c r="FOK2" s="148"/>
      <c r="FOL2" s="148"/>
      <c r="FOM2" s="148"/>
      <c r="FON2" s="148"/>
      <c r="FOO2" s="148"/>
      <c r="FOP2" s="148"/>
      <c r="FOQ2" s="148"/>
      <c r="FOR2" s="148"/>
      <c r="FOS2" s="148"/>
      <c r="FOT2" s="148"/>
      <c r="FOU2" s="148"/>
      <c r="FOV2" s="148"/>
      <c r="FOW2" s="148"/>
      <c r="FOX2" s="148"/>
      <c r="FOY2" s="148"/>
      <c r="FOZ2" s="148"/>
      <c r="FPA2" s="148"/>
      <c r="FPB2" s="148"/>
      <c r="FPC2" s="148"/>
      <c r="FPD2" s="148"/>
      <c r="FPE2" s="148"/>
      <c r="FPF2" s="148"/>
      <c r="FPG2" s="148"/>
      <c r="FPH2" s="148"/>
      <c r="FPI2" s="148"/>
      <c r="FPJ2" s="148"/>
      <c r="FPK2" s="148"/>
      <c r="FPL2" s="148"/>
      <c r="FPM2" s="148"/>
      <c r="FPN2" s="148"/>
      <c r="FPO2" s="148"/>
      <c r="FPP2" s="148"/>
      <c r="FPQ2" s="148"/>
      <c r="FPR2" s="148"/>
      <c r="FPS2" s="148"/>
      <c r="FPT2" s="148"/>
      <c r="FPU2" s="148"/>
      <c r="FPV2" s="148"/>
      <c r="FPW2" s="148"/>
      <c r="FPX2" s="148"/>
      <c r="FPY2" s="148"/>
      <c r="FPZ2" s="148"/>
      <c r="FQA2" s="148"/>
      <c r="FQB2" s="148"/>
      <c r="FQC2" s="148"/>
      <c r="FQD2" s="148"/>
      <c r="FQE2" s="148"/>
      <c r="FQF2" s="148"/>
      <c r="FQG2" s="148"/>
      <c r="FQH2" s="148"/>
      <c r="FQI2" s="148"/>
      <c r="FQJ2" s="148"/>
      <c r="FQK2" s="148"/>
      <c r="FQL2" s="148"/>
      <c r="FQM2" s="148"/>
      <c r="FQN2" s="148"/>
      <c r="FQO2" s="148"/>
      <c r="FQP2" s="148"/>
      <c r="FQQ2" s="148"/>
      <c r="FQR2" s="148"/>
      <c r="FQS2" s="148"/>
      <c r="FQT2" s="148"/>
      <c r="FQU2" s="148"/>
      <c r="FQV2" s="148"/>
      <c r="FQW2" s="148"/>
      <c r="FQX2" s="148"/>
      <c r="FQY2" s="148"/>
      <c r="FQZ2" s="148"/>
      <c r="FRA2" s="148"/>
      <c r="FRB2" s="148"/>
      <c r="FRC2" s="148"/>
      <c r="FRD2" s="148"/>
      <c r="FRE2" s="148"/>
      <c r="FRF2" s="148"/>
      <c r="FRG2" s="148"/>
      <c r="FRH2" s="148"/>
      <c r="FRI2" s="148"/>
      <c r="FRJ2" s="148"/>
      <c r="FRK2" s="148"/>
      <c r="FRL2" s="148"/>
      <c r="FRM2" s="148"/>
      <c r="FRN2" s="148"/>
      <c r="FRO2" s="148"/>
      <c r="FRP2" s="148"/>
      <c r="FRQ2" s="148"/>
      <c r="FRR2" s="148"/>
      <c r="FRS2" s="148"/>
      <c r="FRT2" s="148"/>
      <c r="FRU2" s="148"/>
      <c r="FRV2" s="148"/>
      <c r="FRW2" s="148"/>
      <c r="FRX2" s="148"/>
      <c r="FRY2" s="148"/>
      <c r="FRZ2" s="148"/>
      <c r="FSA2" s="148"/>
      <c r="FSB2" s="148"/>
      <c r="FSC2" s="148"/>
      <c r="FSD2" s="148"/>
      <c r="FSE2" s="148"/>
      <c r="FSF2" s="148"/>
      <c r="FSG2" s="148"/>
      <c r="FSH2" s="148"/>
      <c r="FSI2" s="148"/>
      <c r="FSJ2" s="148"/>
      <c r="FSK2" s="148"/>
      <c r="FSL2" s="148"/>
      <c r="FSM2" s="148"/>
      <c r="FSN2" s="148"/>
      <c r="FSO2" s="148"/>
      <c r="FSP2" s="148"/>
      <c r="FSQ2" s="148"/>
      <c r="FSR2" s="148"/>
      <c r="FSS2" s="148"/>
      <c r="FST2" s="148"/>
      <c r="FSU2" s="148"/>
      <c r="FSV2" s="148"/>
      <c r="FSW2" s="148"/>
      <c r="FSX2" s="148"/>
      <c r="FSY2" s="148"/>
      <c r="FSZ2" s="148"/>
      <c r="FTA2" s="148"/>
      <c r="FTB2" s="148"/>
      <c r="FTC2" s="148"/>
      <c r="FTD2" s="148"/>
      <c r="FTE2" s="148"/>
      <c r="FTF2" s="148"/>
      <c r="FTG2" s="148"/>
      <c r="FTH2" s="148"/>
      <c r="FTI2" s="148"/>
      <c r="FTJ2" s="148"/>
      <c r="FTK2" s="148"/>
      <c r="FTL2" s="148"/>
      <c r="FTM2" s="148"/>
      <c r="FTN2" s="148"/>
      <c r="FTO2" s="148"/>
      <c r="FTP2" s="148"/>
      <c r="FTQ2" s="148"/>
      <c r="FTR2" s="148"/>
      <c r="FTS2" s="148"/>
      <c r="FTT2" s="148"/>
      <c r="FTU2" s="148"/>
      <c r="FTV2" s="148"/>
      <c r="FTW2" s="148"/>
      <c r="FTX2" s="148"/>
      <c r="FTY2" s="148"/>
      <c r="FTZ2" s="148"/>
      <c r="FUA2" s="148"/>
      <c r="FUB2" s="148"/>
      <c r="FUC2" s="148"/>
      <c r="FUD2" s="148"/>
      <c r="FUE2" s="148"/>
      <c r="FUF2" s="148"/>
      <c r="FUG2" s="148"/>
      <c r="FUH2" s="148"/>
      <c r="FUI2" s="148"/>
      <c r="FUJ2" s="148"/>
      <c r="FUK2" s="148"/>
      <c r="FUL2" s="148"/>
      <c r="FUM2" s="148"/>
      <c r="FUN2" s="148"/>
      <c r="FUO2" s="148"/>
      <c r="FUP2" s="148"/>
      <c r="FUQ2" s="148"/>
      <c r="FUR2" s="148"/>
      <c r="FUS2" s="148"/>
      <c r="FUT2" s="148"/>
      <c r="FUU2" s="148"/>
      <c r="FUV2" s="148"/>
      <c r="FUW2" s="148"/>
      <c r="FUX2" s="148"/>
      <c r="FUY2" s="148"/>
      <c r="FUZ2" s="148"/>
      <c r="FVA2" s="148"/>
      <c r="FVB2" s="148"/>
      <c r="FVC2" s="148"/>
      <c r="FVD2" s="148"/>
      <c r="FVE2" s="148"/>
      <c r="FVF2" s="148"/>
      <c r="FVG2" s="148"/>
      <c r="FVH2" s="148"/>
      <c r="FVI2" s="148"/>
      <c r="FVJ2" s="148"/>
      <c r="FVK2" s="148"/>
      <c r="FVL2" s="148"/>
      <c r="FVM2" s="148"/>
      <c r="FVN2" s="148"/>
      <c r="FVO2" s="148"/>
      <c r="FVP2" s="148"/>
      <c r="FVQ2" s="148"/>
      <c r="FVR2" s="148"/>
      <c r="FVS2" s="148"/>
      <c r="FVT2" s="148"/>
      <c r="FVU2" s="148"/>
      <c r="FVV2" s="148"/>
      <c r="FVW2" s="148"/>
      <c r="FVX2" s="148"/>
      <c r="FVY2" s="148"/>
      <c r="FVZ2" s="148"/>
      <c r="FWA2" s="148"/>
      <c r="FWB2" s="148"/>
      <c r="FWC2" s="148"/>
      <c r="FWD2" s="148"/>
      <c r="FWE2" s="148"/>
      <c r="FWF2" s="148"/>
      <c r="FWG2" s="148"/>
      <c r="FWH2" s="148"/>
      <c r="FWI2" s="148"/>
      <c r="FWJ2" s="148"/>
      <c r="FWK2" s="148"/>
      <c r="FWL2" s="148"/>
      <c r="FWM2" s="148"/>
      <c r="FWN2" s="148"/>
      <c r="FWO2" s="148"/>
      <c r="FWP2" s="148"/>
      <c r="FWQ2" s="148"/>
      <c r="FWR2" s="148"/>
      <c r="FWS2" s="148"/>
      <c r="FWT2" s="148"/>
      <c r="FWU2" s="148"/>
      <c r="FWV2" s="148"/>
      <c r="FWW2" s="148"/>
      <c r="FWX2" s="148"/>
      <c r="FWY2" s="148"/>
      <c r="FWZ2" s="148"/>
      <c r="FXA2" s="148"/>
      <c r="FXB2" s="148"/>
      <c r="FXC2" s="148"/>
      <c r="FXD2" s="148"/>
      <c r="FXE2" s="148"/>
      <c r="FXF2" s="148"/>
      <c r="FXG2" s="148"/>
      <c r="FXH2" s="148"/>
      <c r="FXI2" s="148"/>
      <c r="FXJ2" s="148"/>
      <c r="FXK2" s="148"/>
      <c r="FXL2" s="148"/>
      <c r="FXM2" s="148"/>
      <c r="FXN2" s="148"/>
      <c r="FXO2" s="148"/>
      <c r="FXP2" s="148"/>
      <c r="FXQ2" s="148"/>
      <c r="FXR2" s="148"/>
      <c r="FXS2" s="148"/>
      <c r="FXT2" s="148"/>
      <c r="FXU2" s="148"/>
      <c r="FXV2" s="148"/>
      <c r="FXW2" s="148"/>
      <c r="FXX2" s="148"/>
      <c r="FXY2" s="148"/>
      <c r="FXZ2" s="148"/>
      <c r="FYA2" s="148"/>
      <c r="FYB2" s="148"/>
      <c r="FYC2" s="148"/>
      <c r="FYD2" s="148"/>
      <c r="FYE2" s="148"/>
      <c r="FYF2" s="148"/>
      <c r="FYG2" s="148"/>
      <c r="FYH2" s="148"/>
      <c r="FYI2" s="148"/>
      <c r="FYJ2" s="148"/>
      <c r="FYK2" s="148"/>
      <c r="FYL2" s="148"/>
      <c r="FYM2" s="148"/>
      <c r="FYN2" s="148"/>
      <c r="FYO2" s="148"/>
      <c r="FYP2" s="148"/>
      <c r="FYQ2" s="148"/>
      <c r="FYR2" s="148"/>
      <c r="FYS2" s="148"/>
      <c r="FYT2" s="148"/>
      <c r="FYU2" s="148"/>
      <c r="FYV2" s="148"/>
      <c r="FYW2" s="148"/>
      <c r="FYX2" s="148"/>
      <c r="FYY2" s="148"/>
      <c r="FYZ2" s="148"/>
      <c r="FZA2" s="148"/>
      <c r="FZB2" s="148"/>
      <c r="FZC2" s="148"/>
      <c r="FZD2" s="148"/>
      <c r="FZE2" s="148"/>
      <c r="FZF2" s="148"/>
      <c r="FZG2" s="148"/>
      <c r="FZH2" s="148"/>
      <c r="FZI2" s="148"/>
      <c r="FZJ2" s="148"/>
      <c r="FZK2" s="148"/>
      <c r="FZL2" s="148"/>
      <c r="FZM2" s="148"/>
      <c r="FZN2" s="148"/>
      <c r="FZO2" s="148"/>
      <c r="FZP2" s="148"/>
      <c r="FZQ2" s="148"/>
      <c r="FZR2" s="148"/>
      <c r="FZS2" s="148"/>
      <c r="FZT2" s="148"/>
      <c r="FZU2" s="148"/>
      <c r="FZV2" s="148"/>
      <c r="FZW2" s="148"/>
      <c r="FZX2" s="148"/>
      <c r="FZY2" s="148"/>
      <c r="FZZ2" s="148"/>
      <c r="GAA2" s="148"/>
      <c r="GAB2" s="148"/>
      <c r="GAC2" s="148"/>
      <c r="GAD2" s="148"/>
      <c r="GAE2" s="148"/>
      <c r="GAF2" s="148"/>
      <c r="GAG2" s="148"/>
      <c r="GAH2" s="148"/>
      <c r="GAI2" s="148"/>
      <c r="GAJ2" s="148"/>
      <c r="GAK2" s="148"/>
      <c r="GAL2" s="148"/>
      <c r="GAM2" s="148"/>
      <c r="GAN2" s="148"/>
      <c r="GAO2" s="148"/>
      <c r="GAP2" s="148"/>
      <c r="GAQ2" s="148"/>
      <c r="GAR2" s="148"/>
      <c r="GAS2" s="148"/>
      <c r="GAT2" s="148"/>
      <c r="GAU2" s="148"/>
      <c r="GAV2" s="148"/>
      <c r="GAW2" s="148"/>
      <c r="GAX2" s="148"/>
      <c r="GAY2" s="148"/>
      <c r="GAZ2" s="148"/>
      <c r="GBA2" s="148"/>
      <c r="GBB2" s="148"/>
      <c r="GBC2" s="148"/>
      <c r="GBD2" s="148"/>
      <c r="GBE2" s="148"/>
      <c r="GBF2" s="148"/>
      <c r="GBG2" s="148"/>
      <c r="GBH2" s="148"/>
      <c r="GBI2" s="148"/>
      <c r="GBJ2" s="148"/>
      <c r="GBK2" s="148"/>
      <c r="GBL2" s="148"/>
      <c r="GBM2" s="148"/>
      <c r="GBN2" s="148"/>
      <c r="GBO2" s="148"/>
      <c r="GBP2" s="148"/>
      <c r="GBQ2" s="148"/>
      <c r="GBR2" s="148"/>
      <c r="GBS2" s="148"/>
      <c r="GBT2" s="148"/>
      <c r="GBU2" s="148"/>
      <c r="GBV2" s="148"/>
      <c r="GBW2" s="148"/>
      <c r="GBX2" s="148"/>
      <c r="GBY2" s="148"/>
      <c r="GBZ2" s="148"/>
      <c r="GCA2" s="148"/>
      <c r="GCB2" s="148"/>
      <c r="GCC2" s="148"/>
      <c r="GCD2" s="148"/>
      <c r="GCE2" s="148"/>
      <c r="GCF2" s="148"/>
      <c r="GCG2" s="148"/>
      <c r="GCH2" s="148"/>
      <c r="GCI2" s="148"/>
      <c r="GCJ2" s="148"/>
      <c r="GCK2" s="148"/>
      <c r="GCL2" s="148"/>
      <c r="GCM2" s="148"/>
      <c r="GCN2" s="148"/>
      <c r="GCO2" s="148"/>
      <c r="GCP2" s="148"/>
      <c r="GCQ2" s="148"/>
      <c r="GCR2" s="148"/>
      <c r="GCS2" s="148"/>
      <c r="GCT2" s="148"/>
      <c r="GCU2" s="148"/>
      <c r="GCV2" s="148"/>
      <c r="GCW2" s="148"/>
      <c r="GCX2" s="148"/>
      <c r="GCY2" s="148"/>
      <c r="GCZ2" s="148"/>
      <c r="GDA2" s="148"/>
      <c r="GDB2" s="148"/>
      <c r="GDC2" s="148"/>
      <c r="GDD2" s="148"/>
      <c r="GDE2" s="148"/>
      <c r="GDF2" s="148"/>
      <c r="GDG2" s="148"/>
      <c r="GDH2" s="148"/>
      <c r="GDI2" s="148"/>
      <c r="GDJ2" s="148"/>
      <c r="GDK2" s="148"/>
      <c r="GDL2" s="148"/>
      <c r="GDM2" s="148"/>
      <c r="GDN2" s="148"/>
      <c r="GDO2" s="148"/>
      <c r="GDP2" s="148"/>
      <c r="GDQ2" s="148"/>
      <c r="GDR2" s="148"/>
      <c r="GDS2" s="148"/>
      <c r="GDT2" s="148"/>
      <c r="GDU2" s="148"/>
      <c r="GDV2" s="148"/>
      <c r="GDW2" s="148"/>
      <c r="GDX2" s="148"/>
      <c r="GDY2" s="148"/>
      <c r="GDZ2" s="148"/>
      <c r="GEA2" s="148"/>
      <c r="GEB2" s="148"/>
      <c r="GEC2" s="148"/>
      <c r="GED2" s="148"/>
      <c r="GEE2" s="148"/>
      <c r="GEF2" s="148"/>
      <c r="GEG2" s="148"/>
      <c r="GEH2" s="148"/>
      <c r="GEI2" s="148"/>
      <c r="GEJ2" s="148"/>
      <c r="GEK2" s="148"/>
      <c r="GEL2" s="148"/>
      <c r="GEM2" s="148"/>
      <c r="GEN2" s="148"/>
      <c r="GEO2" s="148"/>
      <c r="GEP2" s="148"/>
      <c r="GEQ2" s="148"/>
      <c r="GER2" s="148"/>
      <c r="GES2" s="148"/>
      <c r="GET2" s="148"/>
      <c r="GEU2" s="148"/>
      <c r="GEV2" s="148"/>
      <c r="GEW2" s="148"/>
      <c r="GEX2" s="148"/>
      <c r="GEY2" s="148"/>
      <c r="GEZ2" s="148"/>
      <c r="GFA2" s="148"/>
      <c r="GFB2" s="148"/>
      <c r="GFC2" s="148"/>
      <c r="GFD2" s="148"/>
      <c r="GFE2" s="148"/>
      <c r="GFF2" s="148"/>
      <c r="GFG2" s="148"/>
      <c r="GFH2" s="148"/>
      <c r="GFI2" s="148"/>
      <c r="GFJ2" s="148"/>
      <c r="GFK2" s="148"/>
      <c r="GFL2" s="148"/>
      <c r="GFM2" s="148"/>
      <c r="GFN2" s="148"/>
      <c r="GFO2" s="148"/>
      <c r="GFP2" s="148"/>
      <c r="GFQ2" s="148"/>
      <c r="GFR2" s="148"/>
      <c r="GFS2" s="148"/>
      <c r="GFT2" s="148"/>
      <c r="GFU2" s="148"/>
      <c r="GFV2" s="148"/>
      <c r="GFW2" s="148"/>
      <c r="GFX2" s="148"/>
      <c r="GFY2" s="148"/>
      <c r="GFZ2" s="148"/>
      <c r="GGA2" s="148"/>
      <c r="GGB2" s="148"/>
      <c r="GGC2" s="148"/>
      <c r="GGD2" s="148"/>
      <c r="GGE2" s="148"/>
      <c r="GGF2" s="148"/>
      <c r="GGG2" s="148"/>
      <c r="GGH2" s="148"/>
      <c r="GGI2" s="148"/>
      <c r="GGJ2" s="148"/>
      <c r="GGK2" s="148"/>
      <c r="GGL2" s="148"/>
      <c r="GGM2" s="148"/>
      <c r="GGN2" s="148"/>
      <c r="GGO2" s="148"/>
      <c r="GGP2" s="148"/>
      <c r="GGQ2" s="148"/>
      <c r="GGR2" s="148"/>
      <c r="GGS2" s="148"/>
      <c r="GGT2" s="148"/>
      <c r="GGU2" s="148"/>
      <c r="GGV2" s="148"/>
      <c r="GGW2" s="148"/>
      <c r="GGX2" s="148"/>
      <c r="GGY2" s="148"/>
      <c r="GGZ2" s="148"/>
      <c r="GHA2" s="148"/>
      <c r="GHB2" s="148"/>
      <c r="GHC2" s="148"/>
      <c r="GHD2" s="148"/>
      <c r="GHE2" s="148"/>
      <c r="GHF2" s="148"/>
      <c r="GHG2" s="148"/>
      <c r="GHH2" s="148"/>
      <c r="GHI2" s="148"/>
      <c r="GHJ2" s="148"/>
      <c r="GHK2" s="148"/>
      <c r="GHL2" s="148"/>
      <c r="GHM2" s="148"/>
      <c r="GHN2" s="148"/>
      <c r="GHO2" s="148"/>
      <c r="GHP2" s="148"/>
      <c r="GHQ2" s="148"/>
      <c r="GHR2" s="148"/>
      <c r="GHS2" s="148"/>
      <c r="GHT2" s="148"/>
      <c r="GHU2" s="148"/>
      <c r="GHV2" s="148"/>
      <c r="GHW2" s="148"/>
      <c r="GHX2" s="148"/>
      <c r="GHY2" s="148"/>
      <c r="GHZ2" s="148"/>
      <c r="GIA2" s="148"/>
      <c r="GIB2" s="148"/>
      <c r="GIC2" s="148"/>
      <c r="GID2" s="148"/>
      <c r="GIE2" s="148"/>
      <c r="GIF2" s="148"/>
      <c r="GIG2" s="148"/>
      <c r="GIH2" s="148"/>
      <c r="GII2" s="148"/>
      <c r="GIJ2" s="148"/>
      <c r="GIK2" s="148"/>
      <c r="GIL2" s="148"/>
      <c r="GIM2" s="148"/>
      <c r="GIN2" s="148"/>
      <c r="GIO2" s="148"/>
      <c r="GIP2" s="148"/>
      <c r="GIQ2" s="148"/>
      <c r="GIR2" s="148"/>
      <c r="GIS2" s="148"/>
      <c r="GIT2" s="148"/>
      <c r="GIU2" s="148"/>
      <c r="GIV2" s="148"/>
      <c r="GIW2" s="148"/>
      <c r="GIX2" s="148"/>
      <c r="GIY2" s="148"/>
      <c r="GIZ2" s="148"/>
      <c r="GJA2" s="148"/>
      <c r="GJB2" s="148"/>
      <c r="GJC2" s="148"/>
      <c r="GJD2" s="148"/>
      <c r="GJE2" s="148"/>
      <c r="GJF2" s="148"/>
      <c r="GJG2" s="148"/>
      <c r="GJH2" s="148"/>
      <c r="GJI2" s="148"/>
      <c r="GJJ2" s="148"/>
      <c r="GJK2" s="148"/>
      <c r="GJL2" s="148"/>
      <c r="GJM2" s="148"/>
      <c r="GJN2" s="148"/>
      <c r="GJO2" s="148"/>
      <c r="GJP2" s="148"/>
      <c r="GJQ2" s="148"/>
      <c r="GJR2" s="148"/>
      <c r="GJS2" s="148"/>
      <c r="GJT2" s="148"/>
      <c r="GJU2" s="148"/>
      <c r="GJV2" s="148"/>
      <c r="GJW2" s="148"/>
      <c r="GJX2" s="148"/>
      <c r="GJY2" s="148"/>
      <c r="GJZ2" s="148"/>
      <c r="GKA2" s="148"/>
      <c r="GKB2" s="148"/>
      <c r="GKC2" s="148"/>
      <c r="GKD2" s="148"/>
      <c r="GKE2" s="148"/>
      <c r="GKF2" s="148"/>
      <c r="GKG2" s="148"/>
      <c r="GKH2" s="148"/>
      <c r="GKI2" s="148"/>
      <c r="GKJ2" s="148"/>
      <c r="GKK2" s="148"/>
      <c r="GKL2" s="148"/>
      <c r="GKM2" s="148"/>
      <c r="GKN2" s="148"/>
      <c r="GKO2" s="148"/>
      <c r="GKP2" s="148"/>
      <c r="GKQ2" s="148"/>
      <c r="GKR2" s="148"/>
      <c r="GKS2" s="148"/>
      <c r="GKT2" s="148"/>
      <c r="GKU2" s="148"/>
      <c r="GKV2" s="148"/>
      <c r="GKW2" s="148"/>
      <c r="GKX2" s="148"/>
      <c r="GKY2" s="148"/>
      <c r="GKZ2" s="148"/>
      <c r="GLA2" s="148"/>
      <c r="GLB2" s="148"/>
      <c r="GLC2" s="148"/>
      <c r="GLD2" s="148"/>
      <c r="GLE2" s="148"/>
      <c r="GLF2" s="148"/>
      <c r="GLG2" s="148"/>
      <c r="GLH2" s="148"/>
      <c r="GLI2" s="148"/>
      <c r="GLJ2" s="148"/>
      <c r="GLK2" s="148"/>
      <c r="GLL2" s="148"/>
      <c r="GLM2" s="148"/>
      <c r="GLN2" s="148"/>
      <c r="GLO2" s="148"/>
      <c r="GLP2" s="148"/>
      <c r="GLQ2" s="148"/>
      <c r="GLR2" s="148"/>
      <c r="GLS2" s="148"/>
      <c r="GLT2" s="148"/>
      <c r="GLU2" s="148"/>
      <c r="GLV2" s="148"/>
      <c r="GLW2" s="148"/>
      <c r="GLX2" s="148"/>
      <c r="GLY2" s="148"/>
      <c r="GLZ2" s="148"/>
      <c r="GMA2" s="148"/>
      <c r="GMB2" s="148"/>
      <c r="GMC2" s="148"/>
      <c r="GMD2" s="148"/>
      <c r="GME2" s="148"/>
      <c r="GMF2" s="148"/>
      <c r="GMG2" s="148"/>
      <c r="GMH2" s="148"/>
      <c r="GMI2" s="148"/>
      <c r="GMJ2" s="148"/>
      <c r="GMK2" s="148"/>
      <c r="GML2" s="148"/>
      <c r="GMM2" s="148"/>
      <c r="GMN2" s="148"/>
      <c r="GMO2" s="148"/>
      <c r="GMP2" s="148"/>
      <c r="GMQ2" s="148"/>
      <c r="GMR2" s="148"/>
      <c r="GMS2" s="148"/>
      <c r="GMT2" s="148"/>
      <c r="GMU2" s="148"/>
      <c r="GMV2" s="148"/>
      <c r="GMW2" s="148"/>
      <c r="GMX2" s="148"/>
      <c r="GMY2" s="148"/>
      <c r="GMZ2" s="148"/>
      <c r="GNA2" s="148"/>
      <c r="GNB2" s="148"/>
      <c r="GNC2" s="148"/>
      <c r="GND2" s="148"/>
      <c r="GNE2" s="148"/>
      <c r="GNF2" s="148"/>
      <c r="GNG2" s="148"/>
      <c r="GNH2" s="148"/>
      <c r="GNI2" s="148"/>
      <c r="GNJ2" s="148"/>
      <c r="GNK2" s="148"/>
      <c r="GNL2" s="148"/>
      <c r="GNM2" s="148"/>
      <c r="GNN2" s="148"/>
      <c r="GNO2" s="148"/>
      <c r="GNP2" s="148"/>
      <c r="GNQ2" s="148"/>
      <c r="GNR2" s="148"/>
      <c r="GNS2" s="148"/>
      <c r="GNT2" s="148"/>
      <c r="GNU2" s="148"/>
      <c r="GNV2" s="148"/>
      <c r="GNW2" s="148"/>
      <c r="GNX2" s="148"/>
      <c r="GNY2" s="148"/>
      <c r="GNZ2" s="148"/>
      <c r="GOA2" s="148"/>
      <c r="GOB2" s="148"/>
      <c r="GOC2" s="148"/>
      <c r="GOD2" s="148"/>
      <c r="GOE2" s="148"/>
      <c r="GOF2" s="148"/>
      <c r="GOG2" s="148"/>
      <c r="GOH2" s="148"/>
      <c r="GOI2" s="148"/>
      <c r="GOJ2" s="148"/>
      <c r="GOK2" s="148"/>
      <c r="GOL2" s="148"/>
      <c r="GOM2" s="148"/>
      <c r="GON2" s="148"/>
      <c r="GOO2" s="148"/>
      <c r="GOP2" s="148"/>
      <c r="GOQ2" s="148"/>
      <c r="GOR2" s="148"/>
      <c r="GOS2" s="148"/>
      <c r="GOT2" s="148"/>
      <c r="GOU2" s="148"/>
      <c r="GOV2" s="148"/>
      <c r="GOW2" s="148"/>
      <c r="GOX2" s="148"/>
      <c r="GOY2" s="148"/>
      <c r="GOZ2" s="148"/>
      <c r="GPA2" s="148"/>
      <c r="GPB2" s="148"/>
      <c r="GPC2" s="148"/>
      <c r="GPD2" s="148"/>
      <c r="GPE2" s="148"/>
      <c r="GPF2" s="148"/>
      <c r="GPG2" s="148"/>
      <c r="GPH2" s="148"/>
      <c r="GPI2" s="148"/>
      <c r="GPJ2" s="148"/>
      <c r="GPK2" s="148"/>
      <c r="GPL2" s="148"/>
      <c r="GPM2" s="148"/>
      <c r="GPN2" s="148"/>
      <c r="GPO2" s="148"/>
      <c r="GPP2" s="148"/>
      <c r="GPQ2" s="148"/>
      <c r="GPR2" s="148"/>
      <c r="GPS2" s="148"/>
      <c r="GPT2" s="148"/>
      <c r="GPU2" s="148"/>
      <c r="GPV2" s="148"/>
      <c r="GPW2" s="148"/>
      <c r="GPX2" s="148"/>
      <c r="GPY2" s="148"/>
      <c r="GPZ2" s="148"/>
      <c r="GQA2" s="148"/>
      <c r="GQB2" s="148"/>
      <c r="GQC2" s="148"/>
      <c r="GQD2" s="148"/>
      <c r="GQE2" s="148"/>
      <c r="GQF2" s="148"/>
      <c r="GQG2" s="148"/>
      <c r="GQH2" s="148"/>
      <c r="GQI2" s="148"/>
      <c r="GQJ2" s="148"/>
      <c r="GQK2" s="148"/>
      <c r="GQL2" s="148"/>
      <c r="GQM2" s="148"/>
      <c r="GQN2" s="148"/>
      <c r="GQO2" s="148"/>
      <c r="GQP2" s="148"/>
      <c r="GQQ2" s="148"/>
      <c r="GQR2" s="148"/>
      <c r="GQS2" s="148"/>
      <c r="GQT2" s="148"/>
      <c r="GQU2" s="148"/>
      <c r="GQV2" s="148"/>
      <c r="GQW2" s="148"/>
      <c r="GQX2" s="148"/>
      <c r="GQY2" s="148"/>
      <c r="GQZ2" s="148"/>
      <c r="GRA2" s="148"/>
      <c r="GRB2" s="148"/>
      <c r="GRC2" s="148"/>
      <c r="GRD2" s="148"/>
      <c r="GRE2" s="148"/>
      <c r="GRF2" s="148"/>
      <c r="GRG2" s="148"/>
      <c r="GRH2" s="148"/>
      <c r="GRI2" s="148"/>
      <c r="GRJ2" s="148"/>
      <c r="GRK2" s="148"/>
      <c r="GRL2" s="148"/>
      <c r="GRM2" s="148"/>
      <c r="GRN2" s="148"/>
      <c r="GRO2" s="148"/>
      <c r="GRP2" s="148"/>
      <c r="GRQ2" s="148"/>
      <c r="GRR2" s="148"/>
      <c r="GRS2" s="148"/>
      <c r="GRT2" s="148"/>
      <c r="GRU2" s="148"/>
      <c r="GRV2" s="148"/>
      <c r="GRW2" s="148"/>
      <c r="GRX2" s="148"/>
      <c r="GRY2" s="148"/>
      <c r="GRZ2" s="148"/>
      <c r="GSA2" s="148"/>
      <c r="GSB2" s="148"/>
      <c r="GSC2" s="148"/>
      <c r="GSD2" s="148"/>
      <c r="GSE2" s="148"/>
      <c r="GSF2" s="148"/>
      <c r="GSG2" s="148"/>
      <c r="GSH2" s="148"/>
      <c r="GSI2" s="148"/>
      <c r="GSJ2" s="148"/>
      <c r="GSK2" s="148"/>
      <c r="GSL2" s="148"/>
      <c r="GSM2" s="148"/>
      <c r="GSN2" s="148"/>
      <c r="GSO2" s="148"/>
      <c r="GSP2" s="148"/>
      <c r="GSQ2" s="148"/>
      <c r="GSR2" s="148"/>
      <c r="GSS2" s="148"/>
      <c r="GST2" s="148"/>
      <c r="GSU2" s="148"/>
      <c r="GSV2" s="148"/>
      <c r="GSW2" s="148"/>
      <c r="GSX2" s="148"/>
      <c r="GSY2" s="148"/>
      <c r="GSZ2" s="148"/>
      <c r="GTA2" s="148"/>
      <c r="GTB2" s="148"/>
      <c r="GTC2" s="148"/>
      <c r="GTD2" s="148"/>
      <c r="GTE2" s="148"/>
      <c r="GTF2" s="148"/>
      <c r="GTG2" s="148"/>
      <c r="GTH2" s="148"/>
      <c r="GTI2" s="148"/>
      <c r="GTJ2" s="148"/>
      <c r="GTK2" s="148"/>
      <c r="GTL2" s="148"/>
      <c r="GTM2" s="148"/>
      <c r="GTN2" s="148"/>
      <c r="GTO2" s="148"/>
      <c r="GTP2" s="148"/>
      <c r="GTQ2" s="148"/>
      <c r="GTR2" s="148"/>
      <c r="GTS2" s="148"/>
      <c r="GTT2" s="148"/>
      <c r="GTU2" s="148"/>
      <c r="GTV2" s="148"/>
      <c r="GTW2" s="148"/>
      <c r="GTX2" s="148"/>
      <c r="GTY2" s="148"/>
      <c r="GTZ2" s="148"/>
      <c r="GUA2" s="148"/>
      <c r="GUB2" s="148"/>
      <c r="GUC2" s="148"/>
      <c r="GUD2" s="148"/>
      <c r="GUE2" s="148"/>
      <c r="GUF2" s="148"/>
      <c r="GUG2" s="148"/>
      <c r="GUH2" s="148"/>
      <c r="GUI2" s="148"/>
      <c r="GUJ2" s="148"/>
      <c r="GUK2" s="148"/>
      <c r="GUL2" s="148"/>
      <c r="GUM2" s="148"/>
      <c r="GUN2" s="148"/>
      <c r="GUO2" s="148"/>
      <c r="GUP2" s="148"/>
      <c r="GUQ2" s="148"/>
      <c r="GUR2" s="148"/>
      <c r="GUS2" s="148"/>
      <c r="GUT2" s="148"/>
      <c r="GUU2" s="148"/>
      <c r="GUV2" s="148"/>
      <c r="GUW2" s="148"/>
      <c r="GUX2" s="148"/>
      <c r="GUY2" s="148"/>
      <c r="GUZ2" s="148"/>
      <c r="GVA2" s="148"/>
      <c r="GVB2" s="148"/>
      <c r="GVC2" s="148"/>
      <c r="GVD2" s="148"/>
      <c r="GVE2" s="148"/>
      <c r="GVF2" s="148"/>
      <c r="GVG2" s="148"/>
      <c r="GVH2" s="148"/>
      <c r="GVI2" s="148"/>
      <c r="GVJ2" s="148"/>
      <c r="GVK2" s="148"/>
      <c r="GVL2" s="148"/>
      <c r="GVM2" s="148"/>
      <c r="GVN2" s="148"/>
      <c r="GVO2" s="148"/>
      <c r="GVP2" s="148"/>
      <c r="GVQ2" s="148"/>
      <c r="GVR2" s="148"/>
      <c r="GVS2" s="148"/>
      <c r="GVT2" s="148"/>
      <c r="GVU2" s="148"/>
      <c r="GVV2" s="148"/>
      <c r="GVW2" s="148"/>
      <c r="GVX2" s="148"/>
      <c r="GVY2" s="148"/>
      <c r="GVZ2" s="148"/>
      <c r="GWA2" s="148"/>
      <c r="GWB2" s="148"/>
      <c r="GWC2" s="148"/>
      <c r="GWD2" s="148"/>
      <c r="GWE2" s="148"/>
      <c r="GWF2" s="148"/>
      <c r="GWG2" s="148"/>
      <c r="GWH2" s="148"/>
      <c r="GWI2" s="148"/>
      <c r="GWJ2" s="148"/>
      <c r="GWK2" s="148"/>
      <c r="GWL2" s="148"/>
      <c r="GWM2" s="148"/>
      <c r="GWN2" s="148"/>
      <c r="GWO2" s="148"/>
      <c r="GWP2" s="148"/>
      <c r="GWQ2" s="148"/>
      <c r="GWR2" s="148"/>
      <c r="GWS2" s="148"/>
      <c r="GWT2" s="148"/>
      <c r="GWU2" s="148"/>
      <c r="GWV2" s="148"/>
      <c r="GWW2" s="148"/>
      <c r="GWX2" s="148"/>
      <c r="GWY2" s="148"/>
      <c r="GWZ2" s="148"/>
      <c r="GXA2" s="148"/>
      <c r="GXB2" s="148"/>
      <c r="GXC2" s="148"/>
      <c r="GXD2" s="148"/>
      <c r="GXE2" s="148"/>
      <c r="GXF2" s="148"/>
      <c r="GXG2" s="148"/>
      <c r="GXH2" s="148"/>
      <c r="GXI2" s="148"/>
      <c r="GXJ2" s="148"/>
      <c r="GXK2" s="148"/>
      <c r="GXL2" s="148"/>
      <c r="GXM2" s="148"/>
      <c r="GXN2" s="148"/>
      <c r="GXO2" s="148"/>
      <c r="GXP2" s="148"/>
      <c r="GXQ2" s="148"/>
      <c r="GXR2" s="148"/>
      <c r="GXS2" s="148"/>
      <c r="GXT2" s="148"/>
      <c r="GXU2" s="148"/>
      <c r="GXV2" s="148"/>
      <c r="GXW2" s="148"/>
      <c r="GXX2" s="148"/>
      <c r="GXY2" s="148"/>
      <c r="GXZ2" s="148"/>
      <c r="GYA2" s="148"/>
      <c r="GYB2" s="148"/>
      <c r="GYC2" s="148"/>
      <c r="GYD2" s="148"/>
      <c r="GYE2" s="148"/>
      <c r="GYF2" s="148"/>
      <c r="GYG2" s="148"/>
      <c r="GYH2" s="148"/>
      <c r="GYI2" s="148"/>
      <c r="GYJ2" s="148"/>
      <c r="GYK2" s="148"/>
      <c r="GYL2" s="148"/>
      <c r="GYM2" s="148"/>
      <c r="GYN2" s="148"/>
      <c r="GYO2" s="148"/>
      <c r="GYP2" s="148"/>
      <c r="GYQ2" s="148"/>
      <c r="GYR2" s="148"/>
      <c r="GYS2" s="148"/>
      <c r="GYT2" s="148"/>
      <c r="GYU2" s="148"/>
      <c r="GYV2" s="148"/>
      <c r="GYW2" s="148"/>
      <c r="GYX2" s="148"/>
      <c r="GYY2" s="148"/>
      <c r="GYZ2" s="148"/>
      <c r="GZA2" s="148"/>
      <c r="GZB2" s="148"/>
      <c r="GZC2" s="148"/>
      <c r="GZD2" s="148"/>
      <c r="GZE2" s="148"/>
      <c r="GZF2" s="148"/>
      <c r="GZG2" s="148"/>
      <c r="GZH2" s="148"/>
      <c r="GZI2" s="148"/>
      <c r="GZJ2" s="148"/>
      <c r="GZK2" s="148"/>
      <c r="GZL2" s="148"/>
      <c r="GZM2" s="148"/>
      <c r="GZN2" s="148"/>
      <c r="GZO2" s="148"/>
      <c r="GZP2" s="148"/>
      <c r="GZQ2" s="148"/>
      <c r="GZR2" s="148"/>
      <c r="GZS2" s="148"/>
      <c r="GZT2" s="148"/>
      <c r="GZU2" s="148"/>
      <c r="GZV2" s="148"/>
      <c r="GZW2" s="148"/>
      <c r="GZX2" s="148"/>
      <c r="GZY2" s="148"/>
      <c r="GZZ2" s="148"/>
      <c r="HAA2" s="148"/>
      <c r="HAB2" s="148"/>
      <c r="HAC2" s="148"/>
      <c r="HAD2" s="148"/>
      <c r="HAE2" s="148"/>
      <c r="HAF2" s="148"/>
      <c r="HAG2" s="148"/>
      <c r="HAH2" s="148"/>
      <c r="HAI2" s="148"/>
      <c r="HAJ2" s="148"/>
      <c r="HAK2" s="148"/>
      <c r="HAL2" s="148"/>
      <c r="HAM2" s="148"/>
      <c r="HAN2" s="148"/>
      <c r="HAO2" s="148"/>
      <c r="HAP2" s="148"/>
      <c r="HAQ2" s="148"/>
      <c r="HAR2" s="148"/>
      <c r="HAS2" s="148"/>
      <c r="HAT2" s="148"/>
      <c r="HAU2" s="148"/>
      <c r="HAV2" s="148"/>
      <c r="HAW2" s="148"/>
      <c r="HAX2" s="148"/>
      <c r="HAY2" s="148"/>
      <c r="HAZ2" s="148"/>
      <c r="HBA2" s="148"/>
      <c r="HBB2" s="148"/>
      <c r="HBC2" s="148"/>
      <c r="HBD2" s="148"/>
      <c r="HBE2" s="148"/>
      <c r="HBF2" s="148"/>
      <c r="HBG2" s="148"/>
      <c r="HBH2" s="148"/>
      <c r="HBI2" s="148"/>
      <c r="HBJ2" s="148"/>
      <c r="HBK2" s="148"/>
      <c r="HBL2" s="148"/>
      <c r="HBM2" s="148"/>
      <c r="HBN2" s="148"/>
      <c r="HBO2" s="148"/>
      <c r="HBP2" s="148"/>
      <c r="HBQ2" s="148"/>
      <c r="HBR2" s="148"/>
      <c r="HBS2" s="148"/>
      <c r="HBT2" s="148"/>
      <c r="HBU2" s="148"/>
      <c r="HBV2" s="148"/>
      <c r="HBW2" s="148"/>
      <c r="HBX2" s="148"/>
      <c r="HBY2" s="148"/>
      <c r="HBZ2" s="148"/>
      <c r="HCA2" s="148"/>
      <c r="HCB2" s="148"/>
      <c r="HCC2" s="148"/>
      <c r="HCD2" s="148"/>
      <c r="HCE2" s="148"/>
      <c r="HCF2" s="148"/>
      <c r="HCG2" s="148"/>
      <c r="HCH2" s="148"/>
      <c r="HCI2" s="148"/>
      <c r="HCJ2" s="148"/>
      <c r="HCK2" s="148"/>
      <c r="HCL2" s="148"/>
      <c r="HCM2" s="148"/>
      <c r="HCN2" s="148"/>
      <c r="HCO2" s="148"/>
      <c r="HCP2" s="148"/>
      <c r="HCQ2" s="148"/>
      <c r="HCR2" s="148"/>
      <c r="HCS2" s="148"/>
      <c r="HCT2" s="148"/>
      <c r="HCU2" s="148"/>
      <c r="HCV2" s="148"/>
      <c r="HCW2" s="148"/>
      <c r="HCX2" s="148"/>
      <c r="HCY2" s="148"/>
      <c r="HCZ2" s="148"/>
      <c r="HDA2" s="148"/>
      <c r="HDB2" s="148"/>
      <c r="HDC2" s="148"/>
      <c r="HDD2" s="148"/>
      <c r="HDE2" s="148"/>
      <c r="HDF2" s="148"/>
      <c r="HDG2" s="148"/>
      <c r="HDH2" s="148"/>
      <c r="HDI2" s="148"/>
      <c r="HDJ2" s="148"/>
      <c r="HDK2" s="148"/>
      <c r="HDL2" s="148"/>
      <c r="HDM2" s="148"/>
      <c r="HDN2" s="148"/>
      <c r="HDO2" s="148"/>
      <c r="HDP2" s="148"/>
      <c r="HDQ2" s="148"/>
      <c r="HDR2" s="148"/>
      <c r="HDS2" s="148"/>
      <c r="HDT2" s="148"/>
      <c r="HDU2" s="148"/>
      <c r="HDV2" s="148"/>
      <c r="HDW2" s="148"/>
      <c r="HDX2" s="148"/>
      <c r="HDY2" s="148"/>
      <c r="HDZ2" s="148"/>
      <c r="HEA2" s="148"/>
      <c r="HEB2" s="148"/>
      <c r="HEC2" s="148"/>
      <c r="HED2" s="148"/>
      <c r="HEE2" s="148"/>
      <c r="HEF2" s="148"/>
      <c r="HEG2" s="148"/>
      <c r="HEH2" s="148"/>
      <c r="HEI2" s="148"/>
      <c r="HEJ2" s="148"/>
      <c r="HEK2" s="148"/>
      <c r="HEL2" s="148"/>
      <c r="HEM2" s="148"/>
      <c r="HEN2" s="148"/>
      <c r="HEO2" s="148"/>
      <c r="HEP2" s="148"/>
      <c r="HEQ2" s="148"/>
      <c r="HER2" s="148"/>
      <c r="HES2" s="148"/>
      <c r="HET2" s="148"/>
      <c r="HEU2" s="148"/>
      <c r="HEV2" s="148"/>
      <c r="HEW2" s="148"/>
      <c r="HEX2" s="148"/>
      <c r="HEY2" s="148"/>
      <c r="HEZ2" s="148"/>
      <c r="HFA2" s="148"/>
      <c r="HFB2" s="148"/>
      <c r="HFC2" s="148"/>
      <c r="HFD2" s="148"/>
      <c r="HFE2" s="148"/>
      <c r="HFF2" s="148"/>
      <c r="HFG2" s="148"/>
      <c r="HFH2" s="148"/>
      <c r="HFI2" s="148"/>
      <c r="HFJ2" s="148"/>
      <c r="HFK2" s="148"/>
      <c r="HFL2" s="148"/>
      <c r="HFM2" s="148"/>
      <c r="HFN2" s="148"/>
      <c r="HFO2" s="148"/>
      <c r="HFP2" s="148"/>
      <c r="HFQ2" s="148"/>
      <c r="HFR2" s="148"/>
      <c r="HFS2" s="148"/>
      <c r="HFT2" s="148"/>
      <c r="HFU2" s="148"/>
      <c r="HFV2" s="148"/>
      <c r="HFW2" s="148"/>
      <c r="HFX2" s="148"/>
      <c r="HFY2" s="148"/>
      <c r="HFZ2" s="148"/>
      <c r="HGA2" s="148"/>
      <c r="HGB2" s="148"/>
      <c r="HGC2" s="148"/>
      <c r="HGD2" s="148"/>
      <c r="HGE2" s="148"/>
      <c r="HGF2" s="148"/>
      <c r="HGG2" s="148"/>
      <c r="HGH2" s="148"/>
      <c r="HGI2" s="148"/>
      <c r="HGJ2" s="148"/>
      <c r="HGK2" s="148"/>
      <c r="HGL2" s="148"/>
      <c r="HGM2" s="148"/>
      <c r="HGN2" s="148"/>
      <c r="HGO2" s="148"/>
      <c r="HGP2" s="148"/>
      <c r="HGQ2" s="148"/>
      <c r="HGR2" s="148"/>
      <c r="HGS2" s="148"/>
      <c r="HGT2" s="148"/>
      <c r="HGU2" s="148"/>
      <c r="HGV2" s="148"/>
      <c r="HGW2" s="148"/>
      <c r="HGX2" s="148"/>
      <c r="HGY2" s="148"/>
      <c r="HGZ2" s="148"/>
      <c r="HHA2" s="148"/>
      <c r="HHB2" s="148"/>
      <c r="HHC2" s="148"/>
      <c r="HHD2" s="148"/>
      <c r="HHE2" s="148"/>
      <c r="HHF2" s="148"/>
      <c r="HHG2" s="148"/>
      <c r="HHH2" s="148"/>
      <c r="HHI2" s="148"/>
      <c r="HHJ2" s="148"/>
      <c r="HHK2" s="148"/>
      <c r="HHL2" s="148"/>
      <c r="HHM2" s="148"/>
      <c r="HHN2" s="148"/>
      <c r="HHO2" s="148"/>
      <c r="HHP2" s="148"/>
      <c r="HHQ2" s="148"/>
      <c r="HHR2" s="148"/>
      <c r="HHS2" s="148"/>
      <c r="HHT2" s="148"/>
      <c r="HHU2" s="148"/>
      <c r="HHV2" s="148"/>
      <c r="HHW2" s="148"/>
      <c r="HHX2" s="148"/>
      <c r="HHY2" s="148"/>
      <c r="HHZ2" s="148"/>
      <c r="HIA2" s="148"/>
      <c r="HIB2" s="148"/>
      <c r="HIC2" s="148"/>
      <c r="HID2" s="148"/>
      <c r="HIE2" s="148"/>
      <c r="HIF2" s="148"/>
      <c r="HIG2" s="148"/>
      <c r="HIH2" s="148"/>
      <c r="HII2" s="148"/>
      <c r="HIJ2" s="148"/>
      <c r="HIK2" s="148"/>
      <c r="HIL2" s="148"/>
      <c r="HIM2" s="148"/>
      <c r="HIN2" s="148"/>
      <c r="HIO2" s="148"/>
      <c r="HIP2" s="148"/>
      <c r="HIQ2" s="148"/>
      <c r="HIR2" s="148"/>
      <c r="HIS2" s="148"/>
      <c r="HIT2" s="148"/>
      <c r="HIU2" s="148"/>
      <c r="HIV2" s="148"/>
      <c r="HIW2" s="148"/>
      <c r="HIX2" s="148"/>
      <c r="HIY2" s="148"/>
      <c r="HIZ2" s="148"/>
      <c r="HJA2" s="148"/>
      <c r="HJB2" s="148"/>
      <c r="HJC2" s="148"/>
      <c r="HJD2" s="148"/>
      <c r="HJE2" s="148"/>
      <c r="HJF2" s="148"/>
      <c r="HJG2" s="148"/>
      <c r="HJH2" s="148"/>
      <c r="HJI2" s="148"/>
      <c r="HJJ2" s="148"/>
      <c r="HJK2" s="148"/>
      <c r="HJL2" s="148"/>
      <c r="HJM2" s="148"/>
      <c r="HJN2" s="148"/>
      <c r="HJO2" s="148"/>
      <c r="HJP2" s="148"/>
      <c r="HJQ2" s="148"/>
      <c r="HJR2" s="148"/>
      <c r="HJS2" s="148"/>
      <c r="HJT2" s="148"/>
      <c r="HJU2" s="148"/>
      <c r="HJV2" s="148"/>
      <c r="HJW2" s="148"/>
      <c r="HJX2" s="148"/>
      <c r="HJY2" s="148"/>
      <c r="HJZ2" s="148"/>
      <c r="HKA2" s="148"/>
      <c r="HKB2" s="148"/>
      <c r="HKC2" s="148"/>
      <c r="HKD2" s="148"/>
      <c r="HKE2" s="148"/>
      <c r="HKF2" s="148"/>
      <c r="HKG2" s="148"/>
      <c r="HKH2" s="148"/>
      <c r="HKI2" s="148"/>
      <c r="HKJ2" s="148"/>
      <c r="HKK2" s="148"/>
      <c r="HKL2" s="148"/>
      <c r="HKM2" s="148"/>
      <c r="HKN2" s="148"/>
      <c r="HKO2" s="148"/>
      <c r="HKP2" s="148"/>
      <c r="HKQ2" s="148"/>
      <c r="HKR2" s="148"/>
      <c r="HKS2" s="148"/>
      <c r="HKT2" s="148"/>
      <c r="HKU2" s="148"/>
      <c r="HKV2" s="148"/>
      <c r="HKW2" s="148"/>
      <c r="HKX2" s="148"/>
      <c r="HKY2" s="148"/>
      <c r="HKZ2" s="148"/>
      <c r="HLA2" s="148"/>
      <c r="HLB2" s="148"/>
      <c r="HLC2" s="148"/>
      <c r="HLD2" s="148"/>
      <c r="HLE2" s="148"/>
      <c r="HLF2" s="148"/>
      <c r="HLG2" s="148"/>
      <c r="HLH2" s="148"/>
      <c r="HLI2" s="148"/>
      <c r="HLJ2" s="148"/>
      <c r="HLK2" s="148"/>
      <c r="HLL2" s="148"/>
      <c r="HLM2" s="148"/>
      <c r="HLN2" s="148"/>
      <c r="HLO2" s="148"/>
      <c r="HLP2" s="148"/>
      <c r="HLQ2" s="148"/>
      <c r="HLR2" s="148"/>
      <c r="HLS2" s="148"/>
      <c r="HLT2" s="148"/>
      <c r="HLU2" s="148"/>
      <c r="HLV2" s="148"/>
      <c r="HLW2" s="148"/>
      <c r="HLX2" s="148"/>
      <c r="HLY2" s="148"/>
      <c r="HLZ2" s="148"/>
      <c r="HMA2" s="148"/>
      <c r="HMB2" s="148"/>
      <c r="HMC2" s="148"/>
      <c r="HMD2" s="148"/>
      <c r="HME2" s="148"/>
      <c r="HMF2" s="148"/>
      <c r="HMG2" s="148"/>
      <c r="HMH2" s="148"/>
      <c r="HMI2" s="148"/>
      <c r="HMJ2" s="148"/>
      <c r="HMK2" s="148"/>
      <c r="HML2" s="148"/>
      <c r="HMM2" s="148"/>
      <c r="HMN2" s="148"/>
      <c r="HMO2" s="148"/>
      <c r="HMP2" s="148"/>
      <c r="HMQ2" s="148"/>
      <c r="HMR2" s="148"/>
      <c r="HMS2" s="148"/>
      <c r="HMT2" s="148"/>
      <c r="HMU2" s="148"/>
      <c r="HMV2" s="148"/>
      <c r="HMW2" s="148"/>
      <c r="HMX2" s="148"/>
      <c r="HMY2" s="148"/>
      <c r="HMZ2" s="148"/>
      <c r="HNA2" s="148"/>
      <c r="HNB2" s="148"/>
      <c r="HNC2" s="148"/>
      <c r="HND2" s="148"/>
      <c r="HNE2" s="148"/>
      <c r="HNF2" s="148"/>
      <c r="HNG2" s="148"/>
      <c r="HNH2" s="148"/>
      <c r="HNI2" s="148"/>
      <c r="HNJ2" s="148"/>
      <c r="HNK2" s="148"/>
      <c r="HNL2" s="148"/>
      <c r="HNM2" s="148"/>
      <c r="HNN2" s="148"/>
      <c r="HNO2" s="148"/>
      <c r="HNP2" s="148"/>
      <c r="HNQ2" s="148"/>
      <c r="HNR2" s="148"/>
      <c r="HNS2" s="148"/>
      <c r="HNT2" s="148"/>
      <c r="HNU2" s="148"/>
      <c r="HNV2" s="148"/>
      <c r="HNW2" s="148"/>
      <c r="HNX2" s="148"/>
      <c r="HNY2" s="148"/>
      <c r="HNZ2" s="148"/>
      <c r="HOA2" s="148"/>
      <c r="HOB2" s="148"/>
      <c r="HOC2" s="148"/>
      <c r="HOD2" s="148"/>
      <c r="HOE2" s="148"/>
      <c r="HOF2" s="148"/>
      <c r="HOG2" s="148"/>
      <c r="HOH2" s="148"/>
      <c r="HOI2" s="148"/>
      <c r="HOJ2" s="148"/>
      <c r="HOK2" s="148"/>
      <c r="HOL2" s="148"/>
      <c r="HOM2" s="148"/>
      <c r="HON2" s="148"/>
      <c r="HOO2" s="148"/>
      <c r="HOP2" s="148"/>
      <c r="HOQ2" s="148"/>
      <c r="HOR2" s="148"/>
      <c r="HOS2" s="148"/>
      <c r="HOT2" s="148"/>
      <c r="HOU2" s="148"/>
      <c r="HOV2" s="148"/>
      <c r="HOW2" s="148"/>
      <c r="HOX2" s="148"/>
      <c r="HOY2" s="148"/>
      <c r="HOZ2" s="148"/>
      <c r="HPA2" s="148"/>
      <c r="HPB2" s="148"/>
      <c r="HPC2" s="148"/>
      <c r="HPD2" s="148"/>
      <c r="HPE2" s="148"/>
      <c r="HPF2" s="148"/>
      <c r="HPG2" s="148"/>
      <c r="HPH2" s="148"/>
      <c r="HPI2" s="148"/>
      <c r="HPJ2" s="148"/>
      <c r="HPK2" s="148"/>
      <c r="HPL2" s="148"/>
      <c r="HPM2" s="148"/>
      <c r="HPN2" s="148"/>
      <c r="HPO2" s="148"/>
      <c r="HPP2" s="148"/>
      <c r="HPQ2" s="148"/>
      <c r="HPR2" s="148"/>
      <c r="HPS2" s="148"/>
      <c r="HPT2" s="148"/>
      <c r="HPU2" s="148"/>
      <c r="HPV2" s="148"/>
      <c r="HPW2" s="148"/>
      <c r="HPX2" s="148"/>
      <c r="HPY2" s="148"/>
      <c r="HPZ2" s="148"/>
      <c r="HQA2" s="148"/>
      <c r="HQB2" s="148"/>
      <c r="HQC2" s="148"/>
      <c r="HQD2" s="148"/>
      <c r="HQE2" s="148"/>
      <c r="HQF2" s="148"/>
      <c r="HQG2" s="148"/>
      <c r="HQH2" s="148"/>
      <c r="HQI2" s="148"/>
      <c r="HQJ2" s="148"/>
      <c r="HQK2" s="148"/>
      <c r="HQL2" s="148"/>
      <c r="HQM2" s="148"/>
      <c r="HQN2" s="148"/>
      <c r="HQO2" s="148"/>
      <c r="HQP2" s="148"/>
      <c r="HQQ2" s="148"/>
      <c r="HQR2" s="148"/>
      <c r="HQS2" s="148"/>
      <c r="HQT2" s="148"/>
      <c r="HQU2" s="148"/>
      <c r="HQV2" s="148"/>
      <c r="HQW2" s="148"/>
      <c r="HQX2" s="148"/>
      <c r="HQY2" s="148"/>
      <c r="HQZ2" s="148"/>
      <c r="HRA2" s="148"/>
      <c r="HRB2" s="148"/>
      <c r="HRC2" s="148"/>
      <c r="HRD2" s="148"/>
      <c r="HRE2" s="148"/>
      <c r="HRF2" s="148"/>
      <c r="HRG2" s="148"/>
      <c r="HRH2" s="148"/>
      <c r="HRI2" s="148"/>
      <c r="HRJ2" s="148"/>
      <c r="HRK2" s="148"/>
      <c r="HRL2" s="148"/>
      <c r="HRM2" s="148"/>
      <c r="HRN2" s="148"/>
      <c r="HRO2" s="148"/>
      <c r="HRP2" s="148"/>
      <c r="HRQ2" s="148"/>
      <c r="HRR2" s="148"/>
      <c r="HRS2" s="148"/>
      <c r="HRT2" s="148"/>
      <c r="HRU2" s="148"/>
      <c r="HRV2" s="148"/>
      <c r="HRW2" s="148"/>
      <c r="HRX2" s="148"/>
      <c r="HRY2" s="148"/>
      <c r="HRZ2" s="148"/>
      <c r="HSA2" s="148"/>
      <c r="HSB2" s="148"/>
      <c r="HSC2" s="148"/>
      <c r="HSD2" s="148"/>
      <c r="HSE2" s="148"/>
      <c r="HSF2" s="148"/>
      <c r="HSG2" s="148"/>
      <c r="HSH2" s="148"/>
      <c r="HSI2" s="148"/>
      <c r="HSJ2" s="148"/>
      <c r="HSK2" s="148"/>
      <c r="HSL2" s="148"/>
      <c r="HSM2" s="148"/>
      <c r="HSN2" s="148"/>
      <c r="HSO2" s="148"/>
      <c r="HSP2" s="148"/>
      <c r="HSQ2" s="148"/>
      <c r="HSR2" s="148"/>
      <c r="HSS2" s="148"/>
      <c r="HST2" s="148"/>
      <c r="HSU2" s="148"/>
      <c r="HSV2" s="148"/>
      <c r="HSW2" s="148"/>
      <c r="HSX2" s="148"/>
      <c r="HSY2" s="148"/>
      <c r="HSZ2" s="148"/>
      <c r="HTA2" s="148"/>
      <c r="HTB2" s="148"/>
      <c r="HTC2" s="148"/>
      <c r="HTD2" s="148"/>
      <c r="HTE2" s="148"/>
      <c r="HTF2" s="148"/>
      <c r="HTG2" s="148"/>
      <c r="HTH2" s="148"/>
      <c r="HTI2" s="148"/>
      <c r="HTJ2" s="148"/>
      <c r="HTK2" s="148"/>
      <c r="HTL2" s="148"/>
      <c r="HTM2" s="148"/>
      <c r="HTN2" s="148"/>
      <c r="HTO2" s="148"/>
      <c r="HTP2" s="148"/>
      <c r="HTQ2" s="148"/>
      <c r="HTR2" s="148"/>
      <c r="HTS2" s="148"/>
      <c r="HTT2" s="148"/>
      <c r="HTU2" s="148"/>
      <c r="HTV2" s="148"/>
      <c r="HTW2" s="148"/>
      <c r="HTX2" s="148"/>
      <c r="HTY2" s="148"/>
      <c r="HTZ2" s="148"/>
      <c r="HUA2" s="148"/>
      <c r="HUB2" s="148"/>
      <c r="HUC2" s="148"/>
      <c r="HUD2" s="148"/>
      <c r="HUE2" s="148"/>
      <c r="HUF2" s="148"/>
      <c r="HUG2" s="148"/>
      <c r="HUH2" s="148"/>
      <c r="HUI2" s="148"/>
      <c r="HUJ2" s="148"/>
      <c r="HUK2" s="148"/>
      <c r="HUL2" s="148"/>
      <c r="HUM2" s="148"/>
      <c r="HUN2" s="148"/>
      <c r="HUO2" s="148"/>
      <c r="HUP2" s="148"/>
      <c r="HUQ2" s="148"/>
      <c r="HUR2" s="148"/>
      <c r="HUS2" s="148"/>
      <c r="HUT2" s="148"/>
      <c r="HUU2" s="148"/>
      <c r="HUV2" s="148"/>
      <c r="HUW2" s="148"/>
      <c r="HUX2" s="148"/>
      <c r="HUY2" s="148"/>
      <c r="HUZ2" s="148"/>
      <c r="HVA2" s="148"/>
      <c r="HVB2" s="148"/>
      <c r="HVC2" s="148"/>
      <c r="HVD2" s="148"/>
      <c r="HVE2" s="148"/>
      <c r="HVF2" s="148"/>
      <c r="HVG2" s="148"/>
      <c r="HVH2" s="148"/>
      <c r="HVI2" s="148"/>
      <c r="HVJ2" s="148"/>
      <c r="HVK2" s="148"/>
      <c r="HVL2" s="148"/>
      <c r="HVM2" s="148"/>
      <c r="HVN2" s="148"/>
      <c r="HVO2" s="148"/>
      <c r="HVP2" s="148"/>
      <c r="HVQ2" s="148"/>
      <c r="HVR2" s="148"/>
      <c r="HVS2" s="148"/>
      <c r="HVT2" s="148"/>
      <c r="HVU2" s="148"/>
      <c r="HVV2" s="148"/>
      <c r="HVW2" s="148"/>
      <c r="HVX2" s="148"/>
      <c r="HVY2" s="148"/>
      <c r="HVZ2" s="148"/>
      <c r="HWA2" s="148"/>
      <c r="HWB2" s="148"/>
      <c r="HWC2" s="148"/>
      <c r="HWD2" s="148"/>
      <c r="HWE2" s="148"/>
      <c r="HWF2" s="148"/>
      <c r="HWG2" s="148"/>
      <c r="HWH2" s="148"/>
      <c r="HWI2" s="148"/>
      <c r="HWJ2" s="148"/>
      <c r="HWK2" s="148"/>
      <c r="HWL2" s="148"/>
      <c r="HWM2" s="148"/>
      <c r="HWN2" s="148"/>
      <c r="HWO2" s="148"/>
      <c r="HWP2" s="148"/>
      <c r="HWQ2" s="148"/>
      <c r="HWR2" s="148"/>
      <c r="HWS2" s="148"/>
      <c r="HWT2" s="148"/>
      <c r="HWU2" s="148"/>
      <c r="HWV2" s="148"/>
      <c r="HWW2" s="148"/>
      <c r="HWX2" s="148"/>
      <c r="HWY2" s="148"/>
      <c r="HWZ2" s="148"/>
      <c r="HXA2" s="148"/>
      <c r="HXB2" s="148"/>
      <c r="HXC2" s="148"/>
      <c r="HXD2" s="148"/>
      <c r="HXE2" s="148"/>
      <c r="HXF2" s="148"/>
      <c r="HXG2" s="148"/>
      <c r="HXH2" s="148"/>
      <c r="HXI2" s="148"/>
      <c r="HXJ2" s="148"/>
      <c r="HXK2" s="148"/>
      <c r="HXL2" s="148"/>
      <c r="HXM2" s="148"/>
      <c r="HXN2" s="148"/>
      <c r="HXO2" s="148"/>
      <c r="HXP2" s="148"/>
      <c r="HXQ2" s="148"/>
      <c r="HXR2" s="148"/>
      <c r="HXS2" s="148"/>
      <c r="HXT2" s="148"/>
      <c r="HXU2" s="148"/>
      <c r="HXV2" s="148"/>
      <c r="HXW2" s="148"/>
      <c r="HXX2" s="148"/>
      <c r="HXY2" s="148"/>
      <c r="HXZ2" s="148"/>
      <c r="HYA2" s="148"/>
      <c r="HYB2" s="148"/>
      <c r="HYC2" s="148"/>
      <c r="HYD2" s="148"/>
      <c r="HYE2" s="148"/>
      <c r="HYF2" s="148"/>
      <c r="HYG2" s="148"/>
      <c r="HYH2" s="148"/>
      <c r="HYI2" s="148"/>
      <c r="HYJ2" s="148"/>
      <c r="HYK2" s="148"/>
      <c r="HYL2" s="148"/>
      <c r="HYM2" s="148"/>
      <c r="HYN2" s="148"/>
      <c r="HYO2" s="148"/>
      <c r="HYP2" s="148"/>
      <c r="HYQ2" s="148"/>
      <c r="HYR2" s="148"/>
      <c r="HYS2" s="148"/>
      <c r="HYT2" s="148"/>
      <c r="HYU2" s="148"/>
      <c r="HYV2" s="148"/>
      <c r="HYW2" s="148"/>
      <c r="HYX2" s="148"/>
      <c r="HYY2" s="148"/>
      <c r="HYZ2" s="148"/>
      <c r="HZA2" s="148"/>
      <c r="HZB2" s="148"/>
      <c r="HZC2" s="148"/>
      <c r="HZD2" s="148"/>
      <c r="HZE2" s="148"/>
      <c r="HZF2" s="148"/>
      <c r="HZG2" s="148"/>
      <c r="HZH2" s="148"/>
      <c r="HZI2" s="148"/>
      <c r="HZJ2" s="148"/>
      <c r="HZK2" s="148"/>
      <c r="HZL2" s="148"/>
      <c r="HZM2" s="148"/>
      <c r="HZN2" s="148"/>
      <c r="HZO2" s="148"/>
      <c r="HZP2" s="148"/>
      <c r="HZQ2" s="148"/>
      <c r="HZR2" s="148"/>
      <c r="HZS2" s="148"/>
      <c r="HZT2" s="148"/>
      <c r="HZU2" s="148"/>
      <c r="HZV2" s="148"/>
      <c r="HZW2" s="148"/>
      <c r="HZX2" s="148"/>
      <c r="HZY2" s="148"/>
      <c r="HZZ2" s="148"/>
      <c r="IAA2" s="148"/>
      <c r="IAB2" s="148"/>
      <c r="IAC2" s="148"/>
      <c r="IAD2" s="148"/>
      <c r="IAE2" s="148"/>
      <c r="IAF2" s="148"/>
      <c r="IAG2" s="148"/>
      <c r="IAH2" s="148"/>
      <c r="IAI2" s="148"/>
      <c r="IAJ2" s="148"/>
      <c r="IAK2" s="148"/>
      <c r="IAL2" s="148"/>
      <c r="IAM2" s="148"/>
      <c r="IAN2" s="148"/>
      <c r="IAO2" s="148"/>
      <c r="IAP2" s="148"/>
      <c r="IAQ2" s="148"/>
      <c r="IAR2" s="148"/>
      <c r="IAS2" s="148"/>
      <c r="IAT2" s="148"/>
      <c r="IAU2" s="148"/>
      <c r="IAV2" s="148"/>
      <c r="IAW2" s="148"/>
      <c r="IAX2" s="148"/>
      <c r="IAY2" s="148"/>
      <c r="IAZ2" s="148"/>
      <c r="IBA2" s="148"/>
      <c r="IBB2" s="148"/>
      <c r="IBC2" s="148"/>
      <c r="IBD2" s="148"/>
      <c r="IBE2" s="148"/>
      <c r="IBF2" s="148"/>
      <c r="IBG2" s="148"/>
      <c r="IBH2" s="148"/>
      <c r="IBI2" s="148"/>
      <c r="IBJ2" s="148"/>
      <c r="IBK2" s="148"/>
      <c r="IBL2" s="148"/>
      <c r="IBM2" s="148"/>
      <c r="IBN2" s="148"/>
      <c r="IBO2" s="148"/>
      <c r="IBP2" s="148"/>
      <c r="IBQ2" s="148"/>
      <c r="IBR2" s="148"/>
      <c r="IBS2" s="148"/>
      <c r="IBT2" s="148"/>
      <c r="IBU2" s="148"/>
      <c r="IBV2" s="148"/>
      <c r="IBW2" s="148"/>
      <c r="IBX2" s="148"/>
      <c r="IBY2" s="148"/>
      <c r="IBZ2" s="148"/>
      <c r="ICA2" s="148"/>
      <c r="ICB2" s="148"/>
      <c r="ICC2" s="148"/>
      <c r="ICD2" s="148"/>
      <c r="ICE2" s="148"/>
      <c r="ICF2" s="148"/>
      <c r="ICG2" s="148"/>
      <c r="ICH2" s="148"/>
      <c r="ICI2" s="148"/>
      <c r="ICJ2" s="148"/>
      <c r="ICK2" s="148"/>
      <c r="ICL2" s="148"/>
      <c r="ICM2" s="148"/>
      <c r="ICN2" s="148"/>
      <c r="ICO2" s="148"/>
      <c r="ICP2" s="148"/>
      <c r="ICQ2" s="148"/>
      <c r="ICR2" s="148"/>
      <c r="ICS2" s="148"/>
      <c r="ICT2" s="148"/>
      <c r="ICU2" s="148"/>
      <c r="ICV2" s="148"/>
      <c r="ICW2" s="148"/>
      <c r="ICX2" s="148"/>
      <c r="ICY2" s="148"/>
      <c r="ICZ2" s="148"/>
      <c r="IDA2" s="148"/>
      <c r="IDB2" s="148"/>
      <c r="IDC2" s="148"/>
      <c r="IDD2" s="148"/>
      <c r="IDE2" s="148"/>
      <c r="IDF2" s="148"/>
      <c r="IDG2" s="148"/>
      <c r="IDH2" s="148"/>
      <c r="IDI2" s="148"/>
      <c r="IDJ2" s="148"/>
      <c r="IDK2" s="148"/>
      <c r="IDL2" s="148"/>
      <c r="IDM2" s="148"/>
      <c r="IDN2" s="148"/>
      <c r="IDO2" s="148"/>
      <c r="IDP2" s="148"/>
      <c r="IDQ2" s="148"/>
      <c r="IDR2" s="148"/>
      <c r="IDS2" s="148"/>
      <c r="IDT2" s="148"/>
      <c r="IDU2" s="148"/>
      <c r="IDV2" s="148"/>
      <c r="IDW2" s="148"/>
      <c r="IDX2" s="148"/>
      <c r="IDY2" s="148"/>
      <c r="IDZ2" s="148"/>
      <c r="IEA2" s="148"/>
      <c r="IEB2" s="148"/>
      <c r="IEC2" s="148"/>
      <c r="IED2" s="148"/>
      <c r="IEE2" s="148"/>
      <c r="IEF2" s="148"/>
      <c r="IEG2" s="148"/>
      <c r="IEH2" s="148"/>
      <c r="IEI2" s="148"/>
      <c r="IEJ2" s="148"/>
      <c r="IEK2" s="148"/>
      <c r="IEL2" s="148"/>
      <c r="IEM2" s="148"/>
      <c r="IEN2" s="148"/>
      <c r="IEO2" s="148"/>
      <c r="IEP2" s="148"/>
      <c r="IEQ2" s="148"/>
      <c r="IER2" s="148"/>
      <c r="IES2" s="148"/>
      <c r="IET2" s="148"/>
      <c r="IEU2" s="148"/>
      <c r="IEV2" s="148"/>
      <c r="IEW2" s="148"/>
      <c r="IEX2" s="148"/>
      <c r="IEY2" s="148"/>
      <c r="IEZ2" s="148"/>
      <c r="IFA2" s="148"/>
      <c r="IFB2" s="148"/>
      <c r="IFC2" s="148"/>
      <c r="IFD2" s="148"/>
      <c r="IFE2" s="148"/>
      <c r="IFF2" s="148"/>
      <c r="IFG2" s="148"/>
      <c r="IFH2" s="148"/>
      <c r="IFI2" s="148"/>
      <c r="IFJ2" s="148"/>
      <c r="IFK2" s="148"/>
      <c r="IFL2" s="148"/>
      <c r="IFM2" s="148"/>
      <c r="IFN2" s="148"/>
      <c r="IFO2" s="148"/>
      <c r="IFP2" s="148"/>
      <c r="IFQ2" s="148"/>
      <c r="IFR2" s="148"/>
      <c r="IFS2" s="148"/>
      <c r="IFT2" s="148"/>
      <c r="IFU2" s="148"/>
      <c r="IFV2" s="148"/>
      <c r="IFW2" s="148"/>
      <c r="IFX2" s="148"/>
      <c r="IFY2" s="148"/>
      <c r="IFZ2" s="148"/>
      <c r="IGA2" s="148"/>
      <c r="IGB2" s="148"/>
      <c r="IGC2" s="148"/>
      <c r="IGD2" s="148"/>
      <c r="IGE2" s="148"/>
      <c r="IGF2" s="148"/>
      <c r="IGG2" s="148"/>
      <c r="IGH2" s="148"/>
      <c r="IGI2" s="148"/>
      <c r="IGJ2" s="148"/>
      <c r="IGK2" s="148"/>
      <c r="IGL2" s="148"/>
      <c r="IGM2" s="148"/>
      <c r="IGN2" s="148"/>
      <c r="IGO2" s="148"/>
      <c r="IGP2" s="148"/>
      <c r="IGQ2" s="148"/>
      <c r="IGR2" s="148"/>
      <c r="IGS2" s="148"/>
      <c r="IGT2" s="148"/>
      <c r="IGU2" s="148"/>
      <c r="IGV2" s="148"/>
      <c r="IGW2" s="148"/>
      <c r="IGX2" s="148"/>
      <c r="IGY2" s="148"/>
      <c r="IGZ2" s="148"/>
      <c r="IHA2" s="148"/>
      <c r="IHB2" s="148"/>
      <c r="IHC2" s="148"/>
      <c r="IHD2" s="148"/>
      <c r="IHE2" s="148"/>
      <c r="IHF2" s="148"/>
      <c r="IHG2" s="148"/>
      <c r="IHH2" s="148"/>
      <c r="IHI2" s="148"/>
      <c r="IHJ2" s="148"/>
      <c r="IHK2" s="148"/>
      <c r="IHL2" s="148"/>
      <c r="IHM2" s="148"/>
      <c r="IHN2" s="148"/>
      <c r="IHO2" s="148"/>
      <c r="IHP2" s="148"/>
      <c r="IHQ2" s="148"/>
      <c r="IHR2" s="148"/>
      <c r="IHS2" s="148"/>
      <c r="IHT2" s="148"/>
      <c r="IHU2" s="148"/>
      <c r="IHV2" s="148"/>
      <c r="IHW2" s="148"/>
      <c r="IHX2" s="148"/>
      <c r="IHY2" s="148"/>
      <c r="IHZ2" s="148"/>
      <c r="IIA2" s="148"/>
      <c r="IIB2" s="148"/>
      <c r="IIC2" s="148"/>
      <c r="IID2" s="148"/>
      <c r="IIE2" s="148"/>
      <c r="IIF2" s="148"/>
      <c r="IIG2" s="148"/>
      <c r="IIH2" s="148"/>
      <c r="III2" s="148"/>
      <c r="IIJ2" s="148"/>
      <c r="IIK2" s="148"/>
      <c r="IIL2" s="148"/>
      <c r="IIM2" s="148"/>
      <c r="IIN2" s="148"/>
      <c r="IIO2" s="148"/>
      <c r="IIP2" s="148"/>
      <c r="IIQ2" s="148"/>
      <c r="IIR2" s="148"/>
      <c r="IIS2" s="148"/>
      <c r="IIT2" s="148"/>
      <c r="IIU2" s="148"/>
      <c r="IIV2" s="148"/>
      <c r="IIW2" s="148"/>
      <c r="IIX2" s="148"/>
      <c r="IIY2" s="148"/>
      <c r="IIZ2" s="148"/>
      <c r="IJA2" s="148"/>
      <c r="IJB2" s="148"/>
      <c r="IJC2" s="148"/>
      <c r="IJD2" s="148"/>
      <c r="IJE2" s="148"/>
      <c r="IJF2" s="148"/>
      <c r="IJG2" s="148"/>
      <c r="IJH2" s="148"/>
      <c r="IJI2" s="148"/>
      <c r="IJJ2" s="148"/>
      <c r="IJK2" s="148"/>
      <c r="IJL2" s="148"/>
      <c r="IJM2" s="148"/>
      <c r="IJN2" s="148"/>
      <c r="IJO2" s="148"/>
      <c r="IJP2" s="148"/>
      <c r="IJQ2" s="148"/>
      <c r="IJR2" s="148"/>
      <c r="IJS2" s="148"/>
      <c r="IJT2" s="148"/>
      <c r="IJU2" s="148"/>
      <c r="IJV2" s="148"/>
      <c r="IJW2" s="148"/>
      <c r="IJX2" s="148"/>
      <c r="IJY2" s="148"/>
      <c r="IJZ2" s="148"/>
      <c r="IKA2" s="148"/>
      <c r="IKB2" s="148"/>
      <c r="IKC2" s="148"/>
      <c r="IKD2" s="148"/>
      <c r="IKE2" s="148"/>
      <c r="IKF2" s="148"/>
      <c r="IKG2" s="148"/>
      <c r="IKH2" s="148"/>
      <c r="IKI2" s="148"/>
      <c r="IKJ2" s="148"/>
      <c r="IKK2" s="148"/>
      <c r="IKL2" s="148"/>
      <c r="IKM2" s="148"/>
      <c r="IKN2" s="148"/>
      <c r="IKO2" s="148"/>
      <c r="IKP2" s="148"/>
      <c r="IKQ2" s="148"/>
      <c r="IKR2" s="148"/>
      <c r="IKS2" s="148"/>
      <c r="IKT2" s="148"/>
      <c r="IKU2" s="148"/>
      <c r="IKV2" s="148"/>
      <c r="IKW2" s="148"/>
      <c r="IKX2" s="148"/>
      <c r="IKY2" s="148"/>
      <c r="IKZ2" s="148"/>
      <c r="ILA2" s="148"/>
      <c r="ILB2" s="148"/>
      <c r="ILC2" s="148"/>
      <c r="ILD2" s="148"/>
      <c r="ILE2" s="148"/>
      <c r="ILF2" s="148"/>
      <c r="ILG2" s="148"/>
      <c r="ILH2" s="148"/>
      <c r="ILI2" s="148"/>
      <c r="ILJ2" s="148"/>
      <c r="ILK2" s="148"/>
      <c r="ILL2" s="148"/>
      <c r="ILM2" s="148"/>
      <c r="ILN2" s="148"/>
      <c r="ILO2" s="148"/>
      <c r="ILP2" s="148"/>
      <c r="ILQ2" s="148"/>
      <c r="ILR2" s="148"/>
      <c r="ILS2" s="148"/>
      <c r="ILT2" s="148"/>
      <c r="ILU2" s="148"/>
      <c r="ILV2" s="148"/>
      <c r="ILW2" s="148"/>
      <c r="ILX2" s="148"/>
      <c r="ILY2" s="148"/>
      <c r="ILZ2" s="148"/>
      <c r="IMA2" s="148"/>
      <c r="IMB2" s="148"/>
      <c r="IMC2" s="148"/>
      <c r="IMD2" s="148"/>
      <c r="IME2" s="148"/>
      <c r="IMF2" s="148"/>
      <c r="IMG2" s="148"/>
      <c r="IMH2" s="148"/>
      <c r="IMI2" s="148"/>
      <c r="IMJ2" s="148"/>
      <c r="IMK2" s="148"/>
      <c r="IML2" s="148"/>
      <c r="IMM2" s="148"/>
      <c r="IMN2" s="148"/>
      <c r="IMO2" s="148"/>
      <c r="IMP2" s="148"/>
      <c r="IMQ2" s="148"/>
      <c r="IMR2" s="148"/>
      <c r="IMS2" s="148"/>
      <c r="IMT2" s="148"/>
      <c r="IMU2" s="148"/>
      <c r="IMV2" s="148"/>
      <c r="IMW2" s="148"/>
      <c r="IMX2" s="148"/>
      <c r="IMY2" s="148"/>
      <c r="IMZ2" s="148"/>
      <c r="INA2" s="148"/>
      <c r="INB2" s="148"/>
      <c r="INC2" s="148"/>
      <c r="IND2" s="148"/>
      <c r="INE2" s="148"/>
      <c r="INF2" s="148"/>
      <c r="ING2" s="148"/>
      <c r="INH2" s="148"/>
      <c r="INI2" s="148"/>
      <c r="INJ2" s="148"/>
      <c r="INK2" s="148"/>
      <c r="INL2" s="148"/>
      <c r="INM2" s="148"/>
      <c r="INN2" s="148"/>
      <c r="INO2" s="148"/>
      <c r="INP2" s="148"/>
      <c r="INQ2" s="148"/>
      <c r="INR2" s="148"/>
      <c r="INS2" s="148"/>
      <c r="INT2" s="148"/>
      <c r="INU2" s="148"/>
      <c r="INV2" s="148"/>
      <c r="INW2" s="148"/>
      <c r="INX2" s="148"/>
      <c r="INY2" s="148"/>
      <c r="INZ2" s="148"/>
      <c r="IOA2" s="148"/>
      <c r="IOB2" s="148"/>
      <c r="IOC2" s="148"/>
      <c r="IOD2" s="148"/>
      <c r="IOE2" s="148"/>
      <c r="IOF2" s="148"/>
      <c r="IOG2" s="148"/>
      <c r="IOH2" s="148"/>
      <c r="IOI2" s="148"/>
      <c r="IOJ2" s="148"/>
      <c r="IOK2" s="148"/>
      <c r="IOL2" s="148"/>
      <c r="IOM2" s="148"/>
      <c r="ION2" s="148"/>
      <c r="IOO2" s="148"/>
      <c r="IOP2" s="148"/>
      <c r="IOQ2" s="148"/>
      <c r="IOR2" s="148"/>
      <c r="IOS2" s="148"/>
      <c r="IOT2" s="148"/>
      <c r="IOU2" s="148"/>
      <c r="IOV2" s="148"/>
      <c r="IOW2" s="148"/>
      <c r="IOX2" s="148"/>
      <c r="IOY2" s="148"/>
      <c r="IOZ2" s="148"/>
      <c r="IPA2" s="148"/>
      <c r="IPB2" s="148"/>
      <c r="IPC2" s="148"/>
      <c r="IPD2" s="148"/>
      <c r="IPE2" s="148"/>
      <c r="IPF2" s="148"/>
      <c r="IPG2" s="148"/>
      <c r="IPH2" s="148"/>
      <c r="IPI2" s="148"/>
      <c r="IPJ2" s="148"/>
      <c r="IPK2" s="148"/>
      <c r="IPL2" s="148"/>
      <c r="IPM2" s="148"/>
      <c r="IPN2" s="148"/>
      <c r="IPO2" s="148"/>
      <c r="IPP2" s="148"/>
      <c r="IPQ2" s="148"/>
      <c r="IPR2" s="148"/>
      <c r="IPS2" s="148"/>
      <c r="IPT2" s="148"/>
      <c r="IPU2" s="148"/>
      <c r="IPV2" s="148"/>
      <c r="IPW2" s="148"/>
      <c r="IPX2" s="148"/>
      <c r="IPY2" s="148"/>
      <c r="IPZ2" s="148"/>
      <c r="IQA2" s="148"/>
      <c r="IQB2" s="148"/>
      <c r="IQC2" s="148"/>
      <c r="IQD2" s="148"/>
      <c r="IQE2" s="148"/>
      <c r="IQF2" s="148"/>
      <c r="IQG2" s="148"/>
      <c r="IQH2" s="148"/>
      <c r="IQI2" s="148"/>
      <c r="IQJ2" s="148"/>
      <c r="IQK2" s="148"/>
      <c r="IQL2" s="148"/>
      <c r="IQM2" s="148"/>
      <c r="IQN2" s="148"/>
      <c r="IQO2" s="148"/>
      <c r="IQP2" s="148"/>
      <c r="IQQ2" s="148"/>
      <c r="IQR2" s="148"/>
      <c r="IQS2" s="148"/>
      <c r="IQT2" s="148"/>
      <c r="IQU2" s="148"/>
      <c r="IQV2" s="148"/>
      <c r="IQW2" s="148"/>
      <c r="IQX2" s="148"/>
      <c r="IQY2" s="148"/>
      <c r="IQZ2" s="148"/>
      <c r="IRA2" s="148"/>
      <c r="IRB2" s="148"/>
      <c r="IRC2" s="148"/>
      <c r="IRD2" s="148"/>
      <c r="IRE2" s="148"/>
      <c r="IRF2" s="148"/>
      <c r="IRG2" s="148"/>
      <c r="IRH2" s="148"/>
      <c r="IRI2" s="148"/>
      <c r="IRJ2" s="148"/>
      <c r="IRK2" s="148"/>
      <c r="IRL2" s="148"/>
      <c r="IRM2" s="148"/>
      <c r="IRN2" s="148"/>
      <c r="IRO2" s="148"/>
      <c r="IRP2" s="148"/>
      <c r="IRQ2" s="148"/>
      <c r="IRR2" s="148"/>
      <c r="IRS2" s="148"/>
      <c r="IRT2" s="148"/>
      <c r="IRU2" s="148"/>
      <c r="IRV2" s="148"/>
      <c r="IRW2" s="148"/>
      <c r="IRX2" s="148"/>
      <c r="IRY2" s="148"/>
      <c r="IRZ2" s="148"/>
      <c r="ISA2" s="148"/>
      <c r="ISB2" s="148"/>
      <c r="ISC2" s="148"/>
      <c r="ISD2" s="148"/>
      <c r="ISE2" s="148"/>
      <c r="ISF2" s="148"/>
      <c r="ISG2" s="148"/>
      <c r="ISH2" s="148"/>
      <c r="ISI2" s="148"/>
      <c r="ISJ2" s="148"/>
      <c r="ISK2" s="148"/>
      <c r="ISL2" s="148"/>
      <c r="ISM2" s="148"/>
      <c r="ISN2" s="148"/>
      <c r="ISO2" s="148"/>
      <c r="ISP2" s="148"/>
      <c r="ISQ2" s="148"/>
      <c r="ISR2" s="148"/>
      <c r="ISS2" s="148"/>
      <c r="IST2" s="148"/>
      <c r="ISU2" s="148"/>
      <c r="ISV2" s="148"/>
      <c r="ISW2" s="148"/>
      <c r="ISX2" s="148"/>
      <c r="ISY2" s="148"/>
      <c r="ISZ2" s="148"/>
      <c r="ITA2" s="148"/>
      <c r="ITB2" s="148"/>
      <c r="ITC2" s="148"/>
      <c r="ITD2" s="148"/>
      <c r="ITE2" s="148"/>
      <c r="ITF2" s="148"/>
      <c r="ITG2" s="148"/>
      <c r="ITH2" s="148"/>
      <c r="ITI2" s="148"/>
      <c r="ITJ2" s="148"/>
      <c r="ITK2" s="148"/>
      <c r="ITL2" s="148"/>
      <c r="ITM2" s="148"/>
      <c r="ITN2" s="148"/>
      <c r="ITO2" s="148"/>
      <c r="ITP2" s="148"/>
      <c r="ITQ2" s="148"/>
      <c r="ITR2" s="148"/>
      <c r="ITS2" s="148"/>
      <c r="ITT2" s="148"/>
      <c r="ITU2" s="148"/>
      <c r="ITV2" s="148"/>
      <c r="ITW2" s="148"/>
      <c r="ITX2" s="148"/>
      <c r="ITY2" s="148"/>
      <c r="ITZ2" s="148"/>
      <c r="IUA2" s="148"/>
      <c r="IUB2" s="148"/>
      <c r="IUC2" s="148"/>
      <c r="IUD2" s="148"/>
      <c r="IUE2" s="148"/>
      <c r="IUF2" s="148"/>
      <c r="IUG2" s="148"/>
      <c r="IUH2" s="148"/>
      <c r="IUI2" s="148"/>
      <c r="IUJ2" s="148"/>
      <c r="IUK2" s="148"/>
      <c r="IUL2" s="148"/>
      <c r="IUM2" s="148"/>
      <c r="IUN2" s="148"/>
      <c r="IUO2" s="148"/>
      <c r="IUP2" s="148"/>
      <c r="IUQ2" s="148"/>
      <c r="IUR2" s="148"/>
      <c r="IUS2" s="148"/>
      <c r="IUT2" s="148"/>
      <c r="IUU2" s="148"/>
      <c r="IUV2" s="148"/>
      <c r="IUW2" s="148"/>
      <c r="IUX2" s="148"/>
      <c r="IUY2" s="148"/>
      <c r="IUZ2" s="148"/>
      <c r="IVA2" s="148"/>
      <c r="IVB2" s="148"/>
      <c r="IVC2" s="148"/>
      <c r="IVD2" s="148"/>
      <c r="IVE2" s="148"/>
      <c r="IVF2" s="148"/>
      <c r="IVG2" s="148"/>
      <c r="IVH2" s="148"/>
      <c r="IVI2" s="148"/>
      <c r="IVJ2" s="148"/>
      <c r="IVK2" s="148"/>
      <c r="IVL2" s="148"/>
      <c r="IVM2" s="148"/>
      <c r="IVN2" s="148"/>
      <c r="IVO2" s="148"/>
      <c r="IVP2" s="148"/>
      <c r="IVQ2" s="148"/>
      <c r="IVR2" s="148"/>
      <c r="IVS2" s="148"/>
      <c r="IVT2" s="148"/>
      <c r="IVU2" s="148"/>
      <c r="IVV2" s="148"/>
      <c r="IVW2" s="148"/>
      <c r="IVX2" s="148"/>
      <c r="IVY2" s="148"/>
      <c r="IVZ2" s="148"/>
      <c r="IWA2" s="148"/>
      <c r="IWB2" s="148"/>
      <c r="IWC2" s="148"/>
      <c r="IWD2" s="148"/>
      <c r="IWE2" s="148"/>
      <c r="IWF2" s="148"/>
      <c r="IWG2" s="148"/>
      <c r="IWH2" s="148"/>
      <c r="IWI2" s="148"/>
      <c r="IWJ2" s="148"/>
      <c r="IWK2" s="148"/>
      <c r="IWL2" s="148"/>
      <c r="IWM2" s="148"/>
      <c r="IWN2" s="148"/>
      <c r="IWO2" s="148"/>
      <c r="IWP2" s="148"/>
      <c r="IWQ2" s="148"/>
      <c r="IWR2" s="148"/>
      <c r="IWS2" s="148"/>
      <c r="IWT2" s="148"/>
      <c r="IWU2" s="148"/>
      <c r="IWV2" s="148"/>
      <c r="IWW2" s="148"/>
      <c r="IWX2" s="148"/>
      <c r="IWY2" s="148"/>
      <c r="IWZ2" s="148"/>
      <c r="IXA2" s="148"/>
      <c r="IXB2" s="148"/>
      <c r="IXC2" s="148"/>
      <c r="IXD2" s="148"/>
      <c r="IXE2" s="148"/>
      <c r="IXF2" s="148"/>
      <c r="IXG2" s="148"/>
      <c r="IXH2" s="148"/>
      <c r="IXI2" s="148"/>
      <c r="IXJ2" s="148"/>
      <c r="IXK2" s="148"/>
      <c r="IXL2" s="148"/>
      <c r="IXM2" s="148"/>
      <c r="IXN2" s="148"/>
      <c r="IXO2" s="148"/>
      <c r="IXP2" s="148"/>
      <c r="IXQ2" s="148"/>
      <c r="IXR2" s="148"/>
      <c r="IXS2" s="148"/>
      <c r="IXT2" s="148"/>
      <c r="IXU2" s="148"/>
      <c r="IXV2" s="148"/>
      <c r="IXW2" s="148"/>
      <c r="IXX2" s="148"/>
      <c r="IXY2" s="148"/>
      <c r="IXZ2" s="148"/>
      <c r="IYA2" s="148"/>
      <c r="IYB2" s="148"/>
      <c r="IYC2" s="148"/>
      <c r="IYD2" s="148"/>
      <c r="IYE2" s="148"/>
      <c r="IYF2" s="148"/>
      <c r="IYG2" s="148"/>
      <c r="IYH2" s="148"/>
      <c r="IYI2" s="148"/>
      <c r="IYJ2" s="148"/>
      <c r="IYK2" s="148"/>
      <c r="IYL2" s="148"/>
      <c r="IYM2" s="148"/>
      <c r="IYN2" s="148"/>
      <c r="IYO2" s="148"/>
      <c r="IYP2" s="148"/>
      <c r="IYQ2" s="148"/>
      <c r="IYR2" s="148"/>
      <c r="IYS2" s="148"/>
      <c r="IYT2" s="148"/>
      <c r="IYU2" s="148"/>
      <c r="IYV2" s="148"/>
      <c r="IYW2" s="148"/>
      <c r="IYX2" s="148"/>
      <c r="IYY2" s="148"/>
      <c r="IYZ2" s="148"/>
      <c r="IZA2" s="148"/>
      <c r="IZB2" s="148"/>
      <c r="IZC2" s="148"/>
      <c r="IZD2" s="148"/>
      <c r="IZE2" s="148"/>
      <c r="IZF2" s="148"/>
      <c r="IZG2" s="148"/>
      <c r="IZH2" s="148"/>
      <c r="IZI2" s="148"/>
      <c r="IZJ2" s="148"/>
      <c r="IZK2" s="148"/>
      <c r="IZL2" s="148"/>
      <c r="IZM2" s="148"/>
      <c r="IZN2" s="148"/>
      <c r="IZO2" s="148"/>
      <c r="IZP2" s="148"/>
      <c r="IZQ2" s="148"/>
      <c r="IZR2" s="148"/>
      <c r="IZS2" s="148"/>
      <c r="IZT2" s="148"/>
      <c r="IZU2" s="148"/>
      <c r="IZV2" s="148"/>
      <c r="IZW2" s="148"/>
      <c r="IZX2" s="148"/>
      <c r="IZY2" s="148"/>
      <c r="IZZ2" s="148"/>
      <c r="JAA2" s="148"/>
      <c r="JAB2" s="148"/>
      <c r="JAC2" s="148"/>
      <c r="JAD2" s="148"/>
      <c r="JAE2" s="148"/>
      <c r="JAF2" s="148"/>
      <c r="JAG2" s="148"/>
      <c r="JAH2" s="148"/>
      <c r="JAI2" s="148"/>
      <c r="JAJ2" s="148"/>
      <c r="JAK2" s="148"/>
      <c r="JAL2" s="148"/>
      <c r="JAM2" s="148"/>
      <c r="JAN2" s="148"/>
      <c r="JAO2" s="148"/>
      <c r="JAP2" s="148"/>
      <c r="JAQ2" s="148"/>
      <c r="JAR2" s="148"/>
      <c r="JAS2" s="148"/>
      <c r="JAT2" s="148"/>
      <c r="JAU2" s="148"/>
      <c r="JAV2" s="148"/>
      <c r="JAW2" s="148"/>
      <c r="JAX2" s="148"/>
      <c r="JAY2" s="148"/>
      <c r="JAZ2" s="148"/>
      <c r="JBA2" s="148"/>
      <c r="JBB2" s="148"/>
      <c r="JBC2" s="148"/>
      <c r="JBD2" s="148"/>
      <c r="JBE2" s="148"/>
      <c r="JBF2" s="148"/>
      <c r="JBG2" s="148"/>
      <c r="JBH2" s="148"/>
      <c r="JBI2" s="148"/>
      <c r="JBJ2" s="148"/>
      <c r="JBK2" s="148"/>
      <c r="JBL2" s="148"/>
      <c r="JBM2" s="148"/>
      <c r="JBN2" s="148"/>
      <c r="JBO2" s="148"/>
      <c r="JBP2" s="148"/>
      <c r="JBQ2" s="148"/>
      <c r="JBR2" s="148"/>
      <c r="JBS2" s="148"/>
      <c r="JBT2" s="148"/>
      <c r="JBU2" s="148"/>
      <c r="JBV2" s="148"/>
      <c r="JBW2" s="148"/>
      <c r="JBX2" s="148"/>
      <c r="JBY2" s="148"/>
      <c r="JBZ2" s="148"/>
      <c r="JCA2" s="148"/>
      <c r="JCB2" s="148"/>
      <c r="JCC2" s="148"/>
      <c r="JCD2" s="148"/>
      <c r="JCE2" s="148"/>
      <c r="JCF2" s="148"/>
      <c r="JCG2" s="148"/>
      <c r="JCH2" s="148"/>
      <c r="JCI2" s="148"/>
      <c r="JCJ2" s="148"/>
      <c r="JCK2" s="148"/>
      <c r="JCL2" s="148"/>
      <c r="JCM2" s="148"/>
      <c r="JCN2" s="148"/>
      <c r="JCO2" s="148"/>
      <c r="JCP2" s="148"/>
      <c r="JCQ2" s="148"/>
      <c r="JCR2" s="148"/>
      <c r="JCS2" s="148"/>
      <c r="JCT2" s="148"/>
      <c r="JCU2" s="148"/>
      <c r="JCV2" s="148"/>
      <c r="JCW2" s="148"/>
      <c r="JCX2" s="148"/>
      <c r="JCY2" s="148"/>
      <c r="JCZ2" s="148"/>
      <c r="JDA2" s="148"/>
      <c r="JDB2" s="148"/>
      <c r="JDC2" s="148"/>
      <c r="JDD2" s="148"/>
      <c r="JDE2" s="148"/>
      <c r="JDF2" s="148"/>
      <c r="JDG2" s="148"/>
      <c r="JDH2" s="148"/>
      <c r="JDI2" s="148"/>
      <c r="JDJ2" s="148"/>
      <c r="JDK2" s="148"/>
      <c r="JDL2" s="148"/>
      <c r="JDM2" s="148"/>
      <c r="JDN2" s="148"/>
      <c r="JDO2" s="148"/>
      <c r="JDP2" s="148"/>
      <c r="JDQ2" s="148"/>
      <c r="JDR2" s="148"/>
      <c r="JDS2" s="148"/>
      <c r="JDT2" s="148"/>
      <c r="JDU2" s="148"/>
      <c r="JDV2" s="148"/>
      <c r="JDW2" s="148"/>
      <c r="JDX2" s="148"/>
      <c r="JDY2" s="148"/>
      <c r="JDZ2" s="148"/>
      <c r="JEA2" s="148"/>
      <c r="JEB2" s="148"/>
      <c r="JEC2" s="148"/>
      <c r="JED2" s="148"/>
      <c r="JEE2" s="148"/>
      <c r="JEF2" s="148"/>
      <c r="JEG2" s="148"/>
      <c r="JEH2" s="148"/>
      <c r="JEI2" s="148"/>
      <c r="JEJ2" s="148"/>
      <c r="JEK2" s="148"/>
      <c r="JEL2" s="148"/>
      <c r="JEM2" s="148"/>
      <c r="JEN2" s="148"/>
      <c r="JEO2" s="148"/>
      <c r="JEP2" s="148"/>
      <c r="JEQ2" s="148"/>
      <c r="JER2" s="148"/>
      <c r="JES2" s="148"/>
      <c r="JET2" s="148"/>
      <c r="JEU2" s="148"/>
      <c r="JEV2" s="148"/>
      <c r="JEW2" s="148"/>
      <c r="JEX2" s="148"/>
      <c r="JEY2" s="148"/>
      <c r="JEZ2" s="148"/>
      <c r="JFA2" s="148"/>
      <c r="JFB2" s="148"/>
      <c r="JFC2" s="148"/>
      <c r="JFD2" s="148"/>
      <c r="JFE2" s="148"/>
      <c r="JFF2" s="148"/>
      <c r="JFG2" s="148"/>
      <c r="JFH2" s="148"/>
      <c r="JFI2" s="148"/>
      <c r="JFJ2" s="148"/>
      <c r="JFK2" s="148"/>
      <c r="JFL2" s="148"/>
      <c r="JFM2" s="148"/>
      <c r="JFN2" s="148"/>
      <c r="JFO2" s="148"/>
      <c r="JFP2" s="148"/>
      <c r="JFQ2" s="148"/>
      <c r="JFR2" s="148"/>
      <c r="JFS2" s="148"/>
      <c r="JFT2" s="148"/>
      <c r="JFU2" s="148"/>
      <c r="JFV2" s="148"/>
      <c r="JFW2" s="148"/>
      <c r="JFX2" s="148"/>
      <c r="JFY2" s="148"/>
      <c r="JFZ2" s="148"/>
      <c r="JGA2" s="148"/>
      <c r="JGB2" s="148"/>
      <c r="JGC2" s="148"/>
      <c r="JGD2" s="148"/>
      <c r="JGE2" s="148"/>
      <c r="JGF2" s="148"/>
      <c r="JGG2" s="148"/>
      <c r="JGH2" s="148"/>
      <c r="JGI2" s="148"/>
      <c r="JGJ2" s="148"/>
      <c r="JGK2" s="148"/>
      <c r="JGL2" s="148"/>
      <c r="JGM2" s="148"/>
      <c r="JGN2" s="148"/>
      <c r="JGO2" s="148"/>
      <c r="JGP2" s="148"/>
      <c r="JGQ2" s="148"/>
      <c r="JGR2" s="148"/>
      <c r="JGS2" s="148"/>
      <c r="JGT2" s="148"/>
      <c r="JGU2" s="148"/>
      <c r="JGV2" s="148"/>
      <c r="JGW2" s="148"/>
      <c r="JGX2" s="148"/>
      <c r="JGY2" s="148"/>
      <c r="JGZ2" s="148"/>
      <c r="JHA2" s="148"/>
      <c r="JHB2" s="148"/>
      <c r="JHC2" s="148"/>
      <c r="JHD2" s="148"/>
      <c r="JHE2" s="148"/>
      <c r="JHF2" s="148"/>
      <c r="JHG2" s="148"/>
      <c r="JHH2" s="148"/>
      <c r="JHI2" s="148"/>
      <c r="JHJ2" s="148"/>
      <c r="JHK2" s="148"/>
      <c r="JHL2" s="148"/>
      <c r="JHM2" s="148"/>
      <c r="JHN2" s="148"/>
      <c r="JHO2" s="148"/>
      <c r="JHP2" s="148"/>
      <c r="JHQ2" s="148"/>
      <c r="JHR2" s="148"/>
      <c r="JHS2" s="148"/>
      <c r="JHT2" s="148"/>
      <c r="JHU2" s="148"/>
      <c r="JHV2" s="148"/>
      <c r="JHW2" s="148"/>
      <c r="JHX2" s="148"/>
      <c r="JHY2" s="148"/>
      <c r="JHZ2" s="148"/>
      <c r="JIA2" s="148"/>
      <c r="JIB2" s="148"/>
      <c r="JIC2" s="148"/>
      <c r="JID2" s="148"/>
      <c r="JIE2" s="148"/>
      <c r="JIF2" s="148"/>
      <c r="JIG2" s="148"/>
      <c r="JIH2" s="148"/>
      <c r="JII2" s="148"/>
      <c r="JIJ2" s="148"/>
      <c r="JIK2" s="148"/>
      <c r="JIL2" s="148"/>
      <c r="JIM2" s="148"/>
      <c r="JIN2" s="148"/>
      <c r="JIO2" s="148"/>
      <c r="JIP2" s="148"/>
      <c r="JIQ2" s="148"/>
      <c r="JIR2" s="148"/>
      <c r="JIS2" s="148"/>
      <c r="JIT2" s="148"/>
      <c r="JIU2" s="148"/>
      <c r="JIV2" s="148"/>
      <c r="JIW2" s="148"/>
      <c r="JIX2" s="148"/>
      <c r="JIY2" s="148"/>
      <c r="JIZ2" s="148"/>
      <c r="JJA2" s="148"/>
      <c r="JJB2" s="148"/>
      <c r="JJC2" s="148"/>
      <c r="JJD2" s="148"/>
      <c r="JJE2" s="148"/>
      <c r="JJF2" s="148"/>
      <c r="JJG2" s="148"/>
      <c r="JJH2" s="148"/>
      <c r="JJI2" s="148"/>
      <c r="JJJ2" s="148"/>
      <c r="JJK2" s="148"/>
      <c r="JJL2" s="148"/>
      <c r="JJM2" s="148"/>
      <c r="JJN2" s="148"/>
      <c r="JJO2" s="148"/>
      <c r="JJP2" s="148"/>
      <c r="JJQ2" s="148"/>
      <c r="JJR2" s="148"/>
      <c r="JJS2" s="148"/>
      <c r="JJT2" s="148"/>
      <c r="JJU2" s="148"/>
      <c r="JJV2" s="148"/>
      <c r="JJW2" s="148"/>
      <c r="JJX2" s="148"/>
      <c r="JJY2" s="148"/>
      <c r="JJZ2" s="148"/>
      <c r="JKA2" s="148"/>
      <c r="JKB2" s="148"/>
      <c r="JKC2" s="148"/>
      <c r="JKD2" s="148"/>
      <c r="JKE2" s="148"/>
      <c r="JKF2" s="148"/>
      <c r="JKG2" s="148"/>
      <c r="JKH2" s="148"/>
      <c r="JKI2" s="148"/>
      <c r="JKJ2" s="148"/>
      <c r="JKK2" s="148"/>
      <c r="JKL2" s="148"/>
      <c r="JKM2" s="148"/>
      <c r="JKN2" s="148"/>
      <c r="JKO2" s="148"/>
      <c r="JKP2" s="148"/>
      <c r="JKQ2" s="148"/>
      <c r="JKR2" s="148"/>
      <c r="JKS2" s="148"/>
      <c r="JKT2" s="148"/>
      <c r="JKU2" s="148"/>
      <c r="JKV2" s="148"/>
      <c r="JKW2" s="148"/>
      <c r="JKX2" s="148"/>
      <c r="JKY2" s="148"/>
      <c r="JKZ2" s="148"/>
      <c r="JLA2" s="148"/>
      <c r="JLB2" s="148"/>
      <c r="JLC2" s="148"/>
      <c r="JLD2" s="148"/>
      <c r="JLE2" s="148"/>
      <c r="JLF2" s="148"/>
      <c r="JLG2" s="148"/>
      <c r="JLH2" s="148"/>
      <c r="JLI2" s="148"/>
      <c r="JLJ2" s="148"/>
      <c r="JLK2" s="148"/>
      <c r="JLL2" s="148"/>
      <c r="JLM2" s="148"/>
      <c r="JLN2" s="148"/>
      <c r="JLO2" s="148"/>
      <c r="JLP2" s="148"/>
      <c r="JLQ2" s="148"/>
      <c r="JLR2" s="148"/>
      <c r="JLS2" s="148"/>
      <c r="JLT2" s="148"/>
      <c r="JLU2" s="148"/>
      <c r="JLV2" s="148"/>
      <c r="JLW2" s="148"/>
      <c r="JLX2" s="148"/>
      <c r="JLY2" s="148"/>
      <c r="JLZ2" s="148"/>
      <c r="JMA2" s="148"/>
      <c r="JMB2" s="148"/>
      <c r="JMC2" s="148"/>
      <c r="JMD2" s="148"/>
      <c r="JME2" s="148"/>
      <c r="JMF2" s="148"/>
      <c r="JMG2" s="148"/>
      <c r="JMH2" s="148"/>
      <c r="JMI2" s="148"/>
      <c r="JMJ2" s="148"/>
      <c r="JMK2" s="148"/>
      <c r="JML2" s="148"/>
      <c r="JMM2" s="148"/>
      <c r="JMN2" s="148"/>
      <c r="JMO2" s="148"/>
      <c r="JMP2" s="148"/>
      <c r="JMQ2" s="148"/>
      <c r="JMR2" s="148"/>
      <c r="JMS2" s="148"/>
      <c r="JMT2" s="148"/>
      <c r="JMU2" s="148"/>
      <c r="JMV2" s="148"/>
      <c r="JMW2" s="148"/>
      <c r="JMX2" s="148"/>
      <c r="JMY2" s="148"/>
      <c r="JMZ2" s="148"/>
      <c r="JNA2" s="148"/>
      <c r="JNB2" s="148"/>
      <c r="JNC2" s="148"/>
      <c r="JND2" s="148"/>
      <c r="JNE2" s="148"/>
      <c r="JNF2" s="148"/>
      <c r="JNG2" s="148"/>
      <c r="JNH2" s="148"/>
      <c r="JNI2" s="148"/>
      <c r="JNJ2" s="148"/>
      <c r="JNK2" s="148"/>
      <c r="JNL2" s="148"/>
      <c r="JNM2" s="148"/>
      <c r="JNN2" s="148"/>
      <c r="JNO2" s="148"/>
      <c r="JNP2" s="148"/>
      <c r="JNQ2" s="148"/>
      <c r="JNR2" s="148"/>
      <c r="JNS2" s="148"/>
      <c r="JNT2" s="148"/>
      <c r="JNU2" s="148"/>
      <c r="JNV2" s="148"/>
      <c r="JNW2" s="148"/>
      <c r="JNX2" s="148"/>
      <c r="JNY2" s="148"/>
      <c r="JNZ2" s="148"/>
      <c r="JOA2" s="148"/>
      <c r="JOB2" s="148"/>
      <c r="JOC2" s="148"/>
      <c r="JOD2" s="148"/>
      <c r="JOE2" s="148"/>
      <c r="JOF2" s="148"/>
      <c r="JOG2" s="148"/>
      <c r="JOH2" s="148"/>
      <c r="JOI2" s="148"/>
      <c r="JOJ2" s="148"/>
      <c r="JOK2" s="148"/>
      <c r="JOL2" s="148"/>
      <c r="JOM2" s="148"/>
      <c r="JON2" s="148"/>
      <c r="JOO2" s="148"/>
      <c r="JOP2" s="148"/>
      <c r="JOQ2" s="148"/>
      <c r="JOR2" s="148"/>
      <c r="JOS2" s="148"/>
      <c r="JOT2" s="148"/>
      <c r="JOU2" s="148"/>
      <c r="JOV2" s="148"/>
      <c r="JOW2" s="148"/>
      <c r="JOX2" s="148"/>
      <c r="JOY2" s="148"/>
      <c r="JOZ2" s="148"/>
      <c r="JPA2" s="148"/>
      <c r="JPB2" s="148"/>
      <c r="JPC2" s="148"/>
      <c r="JPD2" s="148"/>
      <c r="JPE2" s="148"/>
      <c r="JPF2" s="148"/>
      <c r="JPG2" s="148"/>
      <c r="JPH2" s="148"/>
      <c r="JPI2" s="148"/>
      <c r="JPJ2" s="148"/>
      <c r="JPK2" s="148"/>
      <c r="JPL2" s="148"/>
      <c r="JPM2" s="148"/>
      <c r="JPN2" s="148"/>
      <c r="JPO2" s="148"/>
      <c r="JPP2" s="148"/>
      <c r="JPQ2" s="148"/>
      <c r="JPR2" s="148"/>
      <c r="JPS2" s="148"/>
      <c r="JPT2" s="148"/>
      <c r="JPU2" s="148"/>
      <c r="JPV2" s="148"/>
      <c r="JPW2" s="148"/>
      <c r="JPX2" s="148"/>
      <c r="JPY2" s="148"/>
      <c r="JPZ2" s="148"/>
      <c r="JQA2" s="148"/>
      <c r="JQB2" s="148"/>
      <c r="JQC2" s="148"/>
      <c r="JQD2" s="148"/>
      <c r="JQE2" s="148"/>
      <c r="JQF2" s="148"/>
      <c r="JQG2" s="148"/>
      <c r="JQH2" s="148"/>
      <c r="JQI2" s="148"/>
      <c r="JQJ2" s="148"/>
      <c r="JQK2" s="148"/>
      <c r="JQL2" s="148"/>
      <c r="JQM2" s="148"/>
      <c r="JQN2" s="148"/>
      <c r="JQO2" s="148"/>
      <c r="JQP2" s="148"/>
      <c r="JQQ2" s="148"/>
      <c r="JQR2" s="148"/>
      <c r="JQS2" s="148"/>
      <c r="JQT2" s="148"/>
      <c r="JQU2" s="148"/>
      <c r="JQV2" s="148"/>
      <c r="JQW2" s="148"/>
      <c r="JQX2" s="148"/>
      <c r="JQY2" s="148"/>
      <c r="JQZ2" s="148"/>
      <c r="JRA2" s="148"/>
      <c r="JRB2" s="148"/>
      <c r="JRC2" s="148"/>
      <c r="JRD2" s="148"/>
      <c r="JRE2" s="148"/>
      <c r="JRF2" s="148"/>
      <c r="JRG2" s="148"/>
      <c r="JRH2" s="148"/>
      <c r="JRI2" s="148"/>
      <c r="JRJ2" s="148"/>
      <c r="JRK2" s="148"/>
      <c r="JRL2" s="148"/>
      <c r="JRM2" s="148"/>
      <c r="JRN2" s="148"/>
      <c r="JRO2" s="148"/>
      <c r="JRP2" s="148"/>
      <c r="JRQ2" s="148"/>
      <c r="JRR2" s="148"/>
      <c r="JRS2" s="148"/>
      <c r="JRT2" s="148"/>
      <c r="JRU2" s="148"/>
      <c r="JRV2" s="148"/>
      <c r="JRW2" s="148"/>
      <c r="JRX2" s="148"/>
      <c r="JRY2" s="148"/>
      <c r="JRZ2" s="148"/>
      <c r="JSA2" s="148"/>
      <c r="JSB2" s="148"/>
      <c r="JSC2" s="148"/>
      <c r="JSD2" s="148"/>
      <c r="JSE2" s="148"/>
      <c r="JSF2" s="148"/>
      <c r="JSG2" s="148"/>
      <c r="JSH2" s="148"/>
      <c r="JSI2" s="148"/>
      <c r="JSJ2" s="148"/>
      <c r="JSK2" s="148"/>
      <c r="JSL2" s="148"/>
      <c r="JSM2" s="148"/>
      <c r="JSN2" s="148"/>
      <c r="JSO2" s="148"/>
      <c r="JSP2" s="148"/>
      <c r="JSQ2" s="148"/>
      <c r="JSR2" s="148"/>
      <c r="JSS2" s="148"/>
      <c r="JST2" s="148"/>
      <c r="JSU2" s="148"/>
      <c r="JSV2" s="148"/>
      <c r="JSW2" s="148"/>
      <c r="JSX2" s="148"/>
      <c r="JSY2" s="148"/>
      <c r="JSZ2" s="148"/>
      <c r="JTA2" s="148"/>
      <c r="JTB2" s="148"/>
      <c r="JTC2" s="148"/>
      <c r="JTD2" s="148"/>
      <c r="JTE2" s="148"/>
      <c r="JTF2" s="148"/>
      <c r="JTG2" s="148"/>
      <c r="JTH2" s="148"/>
      <c r="JTI2" s="148"/>
      <c r="JTJ2" s="148"/>
      <c r="JTK2" s="148"/>
      <c r="JTL2" s="148"/>
      <c r="JTM2" s="148"/>
      <c r="JTN2" s="148"/>
      <c r="JTO2" s="148"/>
      <c r="JTP2" s="148"/>
      <c r="JTQ2" s="148"/>
      <c r="JTR2" s="148"/>
      <c r="JTS2" s="148"/>
      <c r="JTT2" s="148"/>
      <c r="JTU2" s="148"/>
      <c r="JTV2" s="148"/>
      <c r="JTW2" s="148"/>
      <c r="JTX2" s="148"/>
      <c r="JTY2" s="148"/>
      <c r="JTZ2" s="148"/>
      <c r="JUA2" s="148"/>
      <c r="JUB2" s="148"/>
      <c r="JUC2" s="148"/>
      <c r="JUD2" s="148"/>
      <c r="JUE2" s="148"/>
      <c r="JUF2" s="148"/>
      <c r="JUG2" s="148"/>
      <c r="JUH2" s="148"/>
      <c r="JUI2" s="148"/>
      <c r="JUJ2" s="148"/>
      <c r="JUK2" s="148"/>
      <c r="JUL2" s="148"/>
      <c r="JUM2" s="148"/>
      <c r="JUN2" s="148"/>
      <c r="JUO2" s="148"/>
      <c r="JUP2" s="148"/>
      <c r="JUQ2" s="148"/>
      <c r="JUR2" s="148"/>
      <c r="JUS2" s="148"/>
      <c r="JUT2" s="148"/>
      <c r="JUU2" s="148"/>
      <c r="JUV2" s="148"/>
      <c r="JUW2" s="148"/>
      <c r="JUX2" s="148"/>
      <c r="JUY2" s="148"/>
      <c r="JUZ2" s="148"/>
      <c r="JVA2" s="148"/>
      <c r="JVB2" s="148"/>
      <c r="JVC2" s="148"/>
      <c r="JVD2" s="148"/>
      <c r="JVE2" s="148"/>
      <c r="JVF2" s="148"/>
      <c r="JVG2" s="148"/>
      <c r="JVH2" s="148"/>
      <c r="JVI2" s="148"/>
      <c r="JVJ2" s="148"/>
      <c r="JVK2" s="148"/>
      <c r="JVL2" s="148"/>
      <c r="JVM2" s="148"/>
      <c r="JVN2" s="148"/>
      <c r="JVO2" s="148"/>
      <c r="JVP2" s="148"/>
      <c r="JVQ2" s="148"/>
      <c r="JVR2" s="148"/>
      <c r="JVS2" s="148"/>
      <c r="JVT2" s="148"/>
      <c r="JVU2" s="148"/>
      <c r="JVV2" s="148"/>
      <c r="JVW2" s="148"/>
      <c r="JVX2" s="148"/>
      <c r="JVY2" s="148"/>
      <c r="JVZ2" s="148"/>
      <c r="JWA2" s="148"/>
      <c r="JWB2" s="148"/>
      <c r="JWC2" s="148"/>
      <c r="JWD2" s="148"/>
      <c r="JWE2" s="148"/>
      <c r="JWF2" s="148"/>
      <c r="JWG2" s="148"/>
      <c r="JWH2" s="148"/>
      <c r="JWI2" s="148"/>
      <c r="JWJ2" s="148"/>
      <c r="JWK2" s="148"/>
      <c r="JWL2" s="148"/>
      <c r="JWM2" s="148"/>
      <c r="JWN2" s="148"/>
      <c r="JWO2" s="148"/>
      <c r="JWP2" s="148"/>
      <c r="JWQ2" s="148"/>
      <c r="JWR2" s="148"/>
      <c r="JWS2" s="148"/>
      <c r="JWT2" s="148"/>
      <c r="JWU2" s="148"/>
      <c r="JWV2" s="148"/>
      <c r="JWW2" s="148"/>
      <c r="JWX2" s="148"/>
      <c r="JWY2" s="148"/>
      <c r="JWZ2" s="148"/>
      <c r="JXA2" s="148"/>
      <c r="JXB2" s="148"/>
      <c r="JXC2" s="148"/>
      <c r="JXD2" s="148"/>
      <c r="JXE2" s="148"/>
      <c r="JXF2" s="148"/>
      <c r="JXG2" s="148"/>
      <c r="JXH2" s="148"/>
      <c r="JXI2" s="148"/>
      <c r="JXJ2" s="148"/>
      <c r="JXK2" s="148"/>
      <c r="JXL2" s="148"/>
      <c r="JXM2" s="148"/>
      <c r="JXN2" s="148"/>
      <c r="JXO2" s="148"/>
      <c r="JXP2" s="148"/>
      <c r="JXQ2" s="148"/>
      <c r="JXR2" s="148"/>
      <c r="JXS2" s="148"/>
      <c r="JXT2" s="148"/>
      <c r="JXU2" s="148"/>
      <c r="JXV2" s="148"/>
      <c r="JXW2" s="148"/>
      <c r="JXX2" s="148"/>
      <c r="JXY2" s="148"/>
      <c r="JXZ2" s="148"/>
      <c r="JYA2" s="148"/>
      <c r="JYB2" s="148"/>
      <c r="JYC2" s="148"/>
      <c r="JYD2" s="148"/>
      <c r="JYE2" s="148"/>
      <c r="JYF2" s="148"/>
      <c r="JYG2" s="148"/>
      <c r="JYH2" s="148"/>
      <c r="JYI2" s="148"/>
      <c r="JYJ2" s="148"/>
      <c r="JYK2" s="148"/>
      <c r="JYL2" s="148"/>
      <c r="JYM2" s="148"/>
      <c r="JYN2" s="148"/>
      <c r="JYO2" s="148"/>
      <c r="JYP2" s="148"/>
      <c r="JYQ2" s="148"/>
      <c r="JYR2" s="148"/>
      <c r="JYS2" s="148"/>
      <c r="JYT2" s="148"/>
      <c r="JYU2" s="148"/>
      <c r="JYV2" s="148"/>
      <c r="JYW2" s="148"/>
      <c r="JYX2" s="148"/>
      <c r="JYY2" s="148"/>
      <c r="JYZ2" s="148"/>
      <c r="JZA2" s="148"/>
      <c r="JZB2" s="148"/>
      <c r="JZC2" s="148"/>
      <c r="JZD2" s="148"/>
      <c r="JZE2" s="148"/>
      <c r="JZF2" s="148"/>
      <c r="JZG2" s="148"/>
      <c r="JZH2" s="148"/>
      <c r="JZI2" s="148"/>
      <c r="JZJ2" s="148"/>
      <c r="JZK2" s="148"/>
      <c r="JZL2" s="148"/>
      <c r="JZM2" s="148"/>
      <c r="JZN2" s="148"/>
      <c r="JZO2" s="148"/>
      <c r="JZP2" s="148"/>
      <c r="JZQ2" s="148"/>
      <c r="JZR2" s="148"/>
      <c r="JZS2" s="148"/>
      <c r="JZT2" s="148"/>
      <c r="JZU2" s="148"/>
      <c r="JZV2" s="148"/>
      <c r="JZW2" s="148"/>
      <c r="JZX2" s="148"/>
      <c r="JZY2" s="148"/>
      <c r="JZZ2" s="148"/>
      <c r="KAA2" s="148"/>
      <c r="KAB2" s="148"/>
      <c r="KAC2" s="148"/>
      <c r="KAD2" s="148"/>
      <c r="KAE2" s="148"/>
      <c r="KAF2" s="148"/>
      <c r="KAG2" s="148"/>
      <c r="KAH2" s="148"/>
      <c r="KAI2" s="148"/>
      <c r="KAJ2" s="148"/>
      <c r="KAK2" s="148"/>
      <c r="KAL2" s="148"/>
      <c r="KAM2" s="148"/>
      <c r="KAN2" s="148"/>
      <c r="KAO2" s="148"/>
      <c r="KAP2" s="148"/>
      <c r="KAQ2" s="148"/>
      <c r="KAR2" s="148"/>
      <c r="KAS2" s="148"/>
      <c r="KAT2" s="148"/>
      <c r="KAU2" s="148"/>
      <c r="KAV2" s="148"/>
      <c r="KAW2" s="148"/>
      <c r="KAX2" s="148"/>
      <c r="KAY2" s="148"/>
      <c r="KAZ2" s="148"/>
      <c r="KBA2" s="148"/>
      <c r="KBB2" s="148"/>
      <c r="KBC2" s="148"/>
      <c r="KBD2" s="148"/>
      <c r="KBE2" s="148"/>
      <c r="KBF2" s="148"/>
      <c r="KBG2" s="148"/>
      <c r="KBH2" s="148"/>
      <c r="KBI2" s="148"/>
      <c r="KBJ2" s="148"/>
      <c r="KBK2" s="148"/>
      <c r="KBL2" s="148"/>
      <c r="KBM2" s="148"/>
      <c r="KBN2" s="148"/>
      <c r="KBO2" s="148"/>
      <c r="KBP2" s="148"/>
      <c r="KBQ2" s="148"/>
      <c r="KBR2" s="148"/>
      <c r="KBS2" s="148"/>
      <c r="KBT2" s="148"/>
      <c r="KBU2" s="148"/>
      <c r="KBV2" s="148"/>
      <c r="KBW2" s="148"/>
      <c r="KBX2" s="148"/>
      <c r="KBY2" s="148"/>
      <c r="KBZ2" s="148"/>
      <c r="KCA2" s="148"/>
      <c r="KCB2" s="148"/>
      <c r="KCC2" s="148"/>
      <c r="KCD2" s="148"/>
      <c r="KCE2" s="148"/>
      <c r="KCF2" s="148"/>
      <c r="KCG2" s="148"/>
      <c r="KCH2" s="148"/>
      <c r="KCI2" s="148"/>
      <c r="KCJ2" s="148"/>
      <c r="KCK2" s="148"/>
      <c r="KCL2" s="148"/>
      <c r="KCM2" s="148"/>
      <c r="KCN2" s="148"/>
      <c r="KCO2" s="148"/>
      <c r="KCP2" s="148"/>
      <c r="KCQ2" s="148"/>
      <c r="KCR2" s="148"/>
      <c r="KCS2" s="148"/>
      <c r="KCT2" s="148"/>
      <c r="KCU2" s="148"/>
      <c r="KCV2" s="148"/>
      <c r="KCW2" s="148"/>
      <c r="KCX2" s="148"/>
      <c r="KCY2" s="148"/>
      <c r="KCZ2" s="148"/>
      <c r="KDA2" s="148"/>
      <c r="KDB2" s="148"/>
      <c r="KDC2" s="148"/>
      <c r="KDD2" s="148"/>
      <c r="KDE2" s="148"/>
      <c r="KDF2" s="148"/>
      <c r="KDG2" s="148"/>
      <c r="KDH2" s="148"/>
      <c r="KDI2" s="148"/>
      <c r="KDJ2" s="148"/>
      <c r="KDK2" s="148"/>
      <c r="KDL2" s="148"/>
      <c r="KDM2" s="148"/>
      <c r="KDN2" s="148"/>
      <c r="KDO2" s="148"/>
      <c r="KDP2" s="148"/>
      <c r="KDQ2" s="148"/>
      <c r="KDR2" s="148"/>
      <c r="KDS2" s="148"/>
      <c r="KDT2" s="148"/>
      <c r="KDU2" s="148"/>
      <c r="KDV2" s="148"/>
      <c r="KDW2" s="148"/>
      <c r="KDX2" s="148"/>
      <c r="KDY2" s="148"/>
      <c r="KDZ2" s="148"/>
      <c r="KEA2" s="148"/>
      <c r="KEB2" s="148"/>
      <c r="KEC2" s="148"/>
      <c r="KED2" s="148"/>
      <c r="KEE2" s="148"/>
      <c r="KEF2" s="148"/>
      <c r="KEG2" s="148"/>
      <c r="KEH2" s="148"/>
      <c r="KEI2" s="148"/>
      <c r="KEJ2" s="148"/>
      <c r="KEK2" s="148"/>
      <c r="KEL2" s="148"/>
      <c r="KEM2" s="148"/>
      <c r="KEN2" s="148"/>
      <c r="KEO2" s="148"/>
      <c r="KEP2" s="148"/>
      <c r="KEQ2" s="148"/>
      <c r="KER2" s="148"/>
      <c r="KES2" s="148"/>
      <c r="KET2" s="148"/>
      <c r="KEU2" s="148"/>
      <c r="KEV2" s="148"/>
      <c r="KEW2" s="148"/>
      <c r="KEX2" s="148"/>
      <c r="KEY2" s="148"/>
      <c r="KEZ2" s="148"/>
      <c r="KFA2" s="148"/>
      <c r="KFB2" s="148"/>
      <c r="KFC2" s="148"/>
      <c r="KFD2" s="148"/>
      <c r="KFE2" s="148"/>
      <c r="KFF2" s="148"/>
      <c r="KFG2" s="148"/>
      <c r="KFH2" s="148"/>
      <c r="KFI2" s="148"/>
      <c r="KFJ2" s="148"/>
      <c r="KFK2" s="148"/>
      <c r="KFL2" s="148"/>
      <c r="KFM2" s="148"/>
      <c r="KFN2" s="148"/>
      <c r="KFO2" s="148"/>
      <c r="KFP2" s="148"/>
      <c r="KFQ2" s="148"/>
      <c r="KFR2" s="148"/>
      <c r="KFS2" s="148"/>
      <c r="KFT2" s="148"/>
      <c r="KFU2" s="148"/>
      <c r="KFV2" s="148"/>
      <c r="KFW2" s="148"/>
      <c r="KFX2" s="148"/>
      <c r="KFY2" s="148"/>
      <c r="KFZ2" s="148"/>
      <c r="KGA2" s="148"/>
      <c r="KGB2" s="148"/>
      <c r="KGC2" s="148"/>
      <c r="KGD2" s="148"/>
      <c r="KGE2" s="148"/>
      <c r="KGF2" s="148"/>
      <c r="KGG2" s="148"/>
      <c r="KGH2" s="148"/>
      <c r="KGI2" s="148"/>
      <c r="KGJ2" s="148"/>
      <c r="KGK2" s="148"/>
      <c r="KGL2" s="148"/>
      <c r="KGM2" s="148"/>
      <c r="KGN2" s="148"/>
      <c r="KGO2" s="148"/>
      <c r="KGP2" s="148"/>
      <c r="KGQ2" s="148"/>
      <c r="KGR2" s="148"/>
      <c r="KGS2" s="148"/>
      <c r="KGT2" s="148"/>
      <c r="KGU2" s="148"/>
      <c r="KGV2" s="148"/>
      <c r="KGW2" s="148"/>
      <c r="KGX2" s="148"/>
      <c r="KGY2" s="148"/>
      <c r="KGZ2" s="148"/>
      <c r="KHA2" s="148"/>
      <c r="KHB2" s="148"/>
      <c r="KHC2" s="148"/>
      <c r="KHD2" s="148"/>
      <c r="KHE2" s="148"/>
      <c r="KHF2" s="148"/>
      <c r="KHG2" s="148"/>
      <c r="KHH2" s="148"/>
      <c r="KHI2" s="148"/>
      <c r="KHJ2" s="148"/>
      <c r="KHK2" s="148"/>
      <c r="KHL2" s="148"/>
      <c r="KHM2" s="148"/>
      <c r="KHN2" s="148"/>
      <c r="KHO2" s="148"/>
      <c r="KHP2" s="148"/>
      <c r="KHQ2" s="148"/>
      <c r="KHR2" s="148"/>
      <c r="KHS2" s="148"/>
      <c r="KHT2" s="148"/>
      <c r="KHU2" s="148"/>
      <c r="KHV2" s="148"/>
      <c r="KHW2" s="148"/>
      <c r="KHX2" s="148"/>
      <c r="KHY2" s="148"/>
      <c r="KHZ2" s="148"/>
      <c r="KIA2" s="148"/>
      <c r="KIB2" s="148"/>
      <c r="KIC2" s="148"/>
      <c r="KID2" s="148"/>
      <c r="KIE2" s="148"/>
      <c r="KIF2" s="148"/>
      <c r="KIG2" s="148"/>
      <c r="KIH2" s="148"/>
      <c r="KII2" s="148"/>
      <c r="KIJ2" s="148"/>
      <c r="KIK2" s="148"/>
      <c r="KIL2" s="148"/>
      <c r="KIM2" s="148"/>
      <c r="KIN2" s="148"/>
      <c r="KIO2" s="148"/>
      <c r="KIP2" s="148"/>
      <c r="KIQ2" s="148"/>
      <c r="KIR2" s="148"/>
      <c r="KIS2" s="148"/>
      <c r="KIT2" s="148"/>
      <c r="KIU2" s="148"/>
      <c r="KIV2" s="148"/>
      <c r="KIW2" s="148"/>
      <c r="KIX2" s="148"/>
      <c r="KIY2" s="148"/>
      <c r="KIZ2" s="148"/>
      <c r="KJA2" s="148"/>
      <c r="KJB2" s="148"/>
      <c r="KJC2" s="148"/>
      <c r="KJD2" s="148"/>
      <c r="KJE2" s="148"/>
      <c r="KJF2" s="148"/>
      <c r="KJG2" s="148"/>
      <c r="KJH2" s="148"/>
      <c r="KJI2" s="148"/>
      <c r="KJJ2" s="148"/>
      <c r="KJK2" s="148"/>
      <c r="KJL2" s="148"/>
      <c r="KJM2" s="148"/>
      <c r="KJN2" s="148"/>
      <c r="KJO2" s="148"/>
      <c r="KJP2" s="148"/>
      <c r="KJQ2" s="148"/>
      <c r="KJR2" s="148"/>
      <c r="KJS2" s="148"/>
      <c r="KJT2" s="148"/>
      <c r="KJU2" s="148"/>
      <c r="KJV2" s="148"/>
      <c r="KJW2" s="148"/>
      <c r="KJX2" s="148"/>
      <c r="KJY2" s="148"/>
      <c r="KJZ2" s="148"/>
      <c r="KKA2" s="148"/>
      <c r="KKB2" s="148"/>
      <c r="KKC2" s="148"/>
      <c r="KKD2" s="148"/>
      <c r="KKE2" s="148"/>
      <c r="KKF2" s="148"/>
      <c r="KKG2" s="148"/>
      <c r="KKH2" s="148"/>
      <c r="KKI2" s="148"/>
      <c r="KKJ2" s="148"/>
      <c r="KKK2" s="148"/>
      <c r="KKL2" s="148"/>
      <c r="KKM2" s="148"/>
      <c r="KKN2" s="148"/>
      <c r="KKO2" s="148"/>
      <c r="KKP2" s="148"/>
      <c r="KKQ2" s="148"/>
      <c r="KKR2" s="148"/>
      <c r="KKS2" s="148"/>
      <c r="KKT2" s="148"/>
      <c r="KKU2" s="148"/>
      <c r="KKV2" s="148"/>
      <c r="KKW2" s="148"/>
      <c r="KKX2" s="148"/>
      <c r="KKY2" s="148"/>
      <c r="KKZ2" s="148"/>
      <c r="KLA2" s="148"/>
      <c r="KLB2" s="148"/>
      <c r="KLC2" s="148"/>
      <c r="KLD2" s="148"/>
      <c r="KLE2" s="148"/>
      <c r="KLF2" s="148"/>
      <c r="KLG2" s="148"/>
      <c r="KLH2" s="148"/>
      <c r="KLI2" s="148"/>
      <c r="KLJ2" s="148"/>
      <c r="KLK2" s="148"/>
      <c r="KLL2" s="148"/>
      <c r="KLM2" s="148"/>
      <c r="KLN2" s="148"/>
      <c r="KLO2" s="148"/>
      <c r="KLP2" s="148"/>
      <c r="KLQ2" s="148"/>
      <c r="KLR2" s="148"/>
      <c r="KLS2" s="148"/>
      <c r="KLT2" s="148"/>
      <c r="KLU2" s="148"/>
      <c r="KLV2" s="148"/>
      <c r="KLW2" s="148"/>
      <c r="KLX2" s="148"/>
      <c r="KLY2" s="148"/>
      <c r="KLZ2" s="148"/>
      <c r="KMA2" s="148"/>
      <c r="KMB2" s="148"/>
      <c r="KMC2" s="148"/>
      <c r="KMD2" s="148"/>
      <c r="KME2" s="148"/>
      <c r="KMF2" s="148"/>
      <c r="KMG2" s="148"/>
      <c r="KMH2" s="148"/>
      <c r="KMI2" s="148"/>
      <c r="KMJ2" s="148"/>
      <c r="KMK2" s="148"/>
      <c r="KML2" s="148"/>
      <c r="KMM2" s="148"/>
      <c r="KMN2" s="148"/>
      <c r="KMO2" s="148"/>
      <c r="KMP2" s="148"/>
      <c r="KMQ2" s="148"/>
      <c r="KMR2" s="148"/>
      <c r="KMS2" s="148"/>
      <c r="KMT2" s="148"/>
      <c r="KMU2" s="148"/>
      <c r="KMV2" s="148"/>
      <c r="KMW2" s="148"/>
      <c r="KMX2" s="148"/>
      <c r="KMY2" s="148"/>
      <c r="KMZ2" s="148"/>
      <c r="KNA2" s="148"/>
      <c r="KNB2" s="148"/>
      <c r="KNC2" s="148"/>
      <c r="KND2" s="148"/>
      <c r="KNE2" s="148"/>
      <c r="KNF2" s="148"/>
      <c r="KNG2" s="148"/>
      <c r="KNH2" s="148"/>
      <c r="KNI2" s="148"/>
      <c r="KNJ2" s="148"/>
      <c r="KNK2" s="148"/>
      <c r="KNL2" s="148"/>
      <c r="KNM2" s="148"/>
      <c r="KNN2" s="148"/>
      <c r="KNO2" s="148"/>
      <c r="KNP2" s="148"/>
      <c r="KNQ2" s="148"/>
      <c r="KNR2" s="148"/>
      <c r="KNS2" s="148"/>
      <c r="KNT2" s="148"/>
      <c r="KNU2" s="148"/>
      <c r="KNV2" s="148"/>
      <c r="KNW2" s="148"/>
      <c r="KNX2" s="148"/>
      <c r="KNY2" s="148"/>
      <c r="KNZ2" s="148"/>
      <c r="KOA2" s="148"/>
      <c r="KOB2" s="148"/>
      <c r="KOC2" s="148"/>
      <c r="KOD2" s="148"/>
      <c r="KOE2" s="148"/>
      <c r="KOF2" s="148"/>
      <c r="KOG2" s="148"/>
      <c r="KOH2" s="148"/>
      <c r="KOI2" s="148"/>
      <c r="KOJ2" s="148"/>
      <c r="KOK2" s="148"/>
      <c r="KOL2" s="148"/>
      <c r="KOM2" s="148"/>
      <c r="KON2" s="148"/>
      <c r="KOO2" s="148"/>
      <c r="KOP2" s="148"/>
      <c r="KOQ2" s="148"/>
      <c r="KOR2" s="148"/>
      <c r="KOS2" s="148"/>
      <c r="KOT2" s="148"/>
      <c r="KOU2" s="148"/>
      <c r="KOV2" s="148"/>
      <c r="KOW2" s="148"/>
      <c r="KOX2" s="148"/>
      <c r="KOY2" s="148"/>
      <c r="KOZ2" s="148"/>
      <c r="KPA2" s="148"/>
      <c r="KPB2" s="148"/>
      <c r="KPC2" s="148"/>
      <c r="KPD2" s="148"/>
      <c r="KPE2" s="148"/>
      <c r="KPF2" s="148"/>
      <c r="KPG2" s="148"/>
      <c r="KPH2" s="148"/>
      <c r="KPI2" s="148"/>
      <c r="KPJ2" s="148"/>
      <c r="KPK2" s="148"/>
      <c r="KPL2" s="148"/>
      <c r="KPM2" s="148"/>
      <c r="KPN2" s="148"/>
      <c r="KPO2" s="148"/>
      <c r="KPP2" s="148"/>
      <c r="KPQ2" s="148"/>
      <c r="KPR2" s="148"/>
      <c r="KPS2" s="148"/>
      <c r="KPT2" s="148"/>
      <c r="KPU2" s="148"/>
      <c r="KPV2" s="148"/>
      <c r="KPW2" s="148"/>
      <c r="KPX2" s="148"/>
      <c r="KPY2" s="148"/>
      <c r="KPZ2" s="148"/>
      <c r="KQA2" s="148"/>
      <c r="KQB2" s="148"/>
      <c r="KQC2" s="148"/>
      <c r="KQD2" s="148"/>
      <c r="KQE2" s="148"/>
      <c r="KQF2" s="148"/>
      <c r="KQG2" s="148"/>
      <c r="KQH2" s="148"/>
      <c r="KQI2" s="148"/>
      <c r="KQJ2" s="148"/>
      <c r="KQK2" s="148"/>
      <c r="KQL2" s="148"/>
      <c r="KQM2" s="148"/>
      <c r="KQN2" s="148"/>
      <c r="KQO2" s="148"/>
      <c r="KQP2" s="148"/>
      <c r="KQQ2" s="148"/>
      <c r="KQR2" s="148"/>
      <c r="KQS2" s="148"/>
      <c r="KQT2" s="148"/>
      <c r="KQU2" s="148"/>
      <c r="KQV2" s="148"/>
      <c r="KQW2" s="148"/>
      <c r="KQX2" s="148"/>
      <c r="KQY2" s="148"/>
      <c r="KQZ2" s="148"/>
      <c r="KRA2" s="148"/>
      <c r="KRB2" s="148"/>
      <c r="KRC2" s="148"/>
      <c r="KRD2" s="148"/>
      <c r="KRE2" s="148"/>
      <c r="KRF2" s="148"/>
      <c r="KRG2" s="148"/>
      <c r="KRH2" s="148"/>
      <c r="KRI2" s="148"/>
      <c r="KRJ2" s="148"/>
      <c r="KRK2" s="148"/>
      <c r="KRL2" s="148"/>
      <c r="KRM2" s="148"/>
      <c r="KRN2" s="148"/>
      <c r="KRO2" s="148"/>
      <c r="KRP2" s="148"/>
      <c r="KRQ2" s="148"/>
      <c r="KRR2" s="148"/>
      <c r="KRS2" s="148"/>
      <c r="KRT2" s="148"/>
      <c r="KRU2" s="148"/>
      <c r="KRV2" s="148"/>
      <c r="KRW2" s="148"/>
      <c r="KRX2" s="148"/>
      <c r="KRY2" s="148"/>
      <c r="KRZ2" s="148"/>
      <c r="KSA2" s="148"/>
      <c r="KSB2" s="148"/>
      <c r="KSC2" s="148"/>
      <c r="KSD2" s="148"/>
      <c r="KSE2" s="148"/>
      <c r="KSF2" s="148"/>
      <c r="KSG2" s="148"/>
      <c r="KSH2" s="148"/>
      <c r="KSI2" s="148"/>
      <c r="KSJ2" s="148"/>
      <c r="KSK2" s="148"/>
      <c r="KSL2" s="148"/>
      <c r="KSM2" s="148"/>
      <c r="KSN2" s="148"/>
      <c r="KSO2" s="148"/>
      <c r="KSP2" s="148"/>
      <c r="KSQ2" s="148"/>
      <c r="KSR2" s="148"/>
      <c r="KSS2" s="148"/>
      <c r="KST2" s="148"/>
      <c r="KSU2" s="148"/>
      <c r="KSV2" s="148"/>
      <c r="KSW2" s="148"/>
      <c r="KSX2" s="148"/>
      <c r="KSY2" s="148"/>
      <c r="KSZ2" s="148"/>
      <c r="KTA2" s="148"/>
      <c r="KTB2" s="148"/>
      <c r="KTC2" s="148"/>
      <c r="KTD2" s="148"/>
      <c r="KTE2" s="148"/>
      <c r="KTF2" s="148"/>
      <c r="KTG2" s="148"/>
      <c r="KTH2" s="148"/>
      <c r="KTI2" s="148"/>
      <c r="KTJ2" s="148"/>
      <c r="KTK2" s="148"/>
      <c r="KTL2" s="148"/>
      <c r="KTM2" s="148"/>
      <c r="KTN2" s="148"/>
      <c r="KTO2" s="148"/>
      <c r="KTP2" s="148"/>
      <c r="KTQ2" s="148"/>
      <c r="KTR2" s="148"/>
      <c r="KTS2" s="148"/>
      <c r="KTT2" s="148"/>
      <c r="KTU2" s="148"/>
      <c r="KTV2" s="148"/>
      <c r="KTW2" s="148"/>
      <c r="KTX2" s="148"/>
      <c r="KTY2" s="148"/>
      <c r="KTZ2" s="148"/>
      <c r="KUA2" s="148"/>
      <c r="KUB2" s="148"/>
      <c r="KUC2" s="148"/>
      <c r="KUD2" s="148"/>
      <c r="KUE2" s="148"/>
      <c r="KUF2" s="148"/>
      <c r="KUG2" s="148"/>
      <c r="KUH2" s="148"/>
      <c r="KUI2" s="148"/>
      <c r="KUJ2" s="148"/>
      <c r="KUK2" s="148"/>
      <c r="KUL2" s="148"/>
      <c r="KUM2" s="148"/>
      <c r="KUN2" s="148"/>
      <c r="KUO2" s="148"/>
      <c r="KUP2" s="148"/>
      <c r="KUQ2" s="148"/>
      <c r="KUR2" s="148"/>
      <c r="KUS2" s="148"/>
      <c r="KUT2" s="148"/>
      <c r="KUU2" s="148"/>
      <c r="KUV2" s="148"/>
      <c r="KUW2" s="148"/>
      <c r="KUX2" s="148"/>
      <c r="KUY2" s="148"/>
      <c r="KUZ2" s="148"/>
      <c r="KVA2" s="148"/>
      <c r="KVB2" s="148"/>
      <c r="KVC2" s="148"/>
      <c r="KVD2" s="148"/>
      <c r="KVE2" s="148"/>
      <c r="KVF2" s="148"/>
      <c r="KVG2" s="148"/>
      <c r="KVH2" s="148"/>
      <c r="KVI2" s="148"/>
      <c r="KVJ2" s="148"/>
      <c r="KVK2" s="148"/>
      <c r="KVL2" s="148"/>
      <c r="KVM2" s="148"/>
      <c r="KVN2" s="148"/>
      <c r="KVO2" s="148"/>
      <c r="KVP2" s="148"/>
      <c r="KVQ2" s="148"/>
      <c r="KVR2" s="148"/>
      <c r="KVS2" s="148"/>
      <c r="KVT2" s="148"/>
      <c r="KVU2" s="148"/>
      <c r="KVV2" s="148"/>
      <c r="KVW2" s="148"/>
      <c r="KVX2" s="148"/>
      <c r="KVY2" s="148"/>
      <c r="KVZ2" s="148"/>
      <c r="KWA2" s="148"/>
      <c r="KWB2" s="148"/>
      <c r="KWC2" s="148"/>
      <c r="KWD2" s="148"/>
      <c r="KWE2" s="148"/>
      <c r="KWF2" s="148"/>
      <c r="KWG2" s="148"/>
      <c r="KWH2" s="148"/>
      <c r="KWI2" s="148"/>
      <c r="KWJ2" s="148"/>
      <c r="KWK2" s="148"/>
      <c r="KWL2" s="148"/>
      <c r="KWM2" s="148"/>
      <c r="KWN2" s="148"/>
      <c r="KWO2" s="148"/>
      <c r="KWP2" s="148"/>
      <c r="KWQ2" s="148"/>
      <c r="KWR2" s="148"/>
      <c r="KWS2" s="148"/>
      <c r="KWT2" s="148"/>
      <c r="KWU2" s="148"/>
      <c r="KWV2" s="148"/>
      <c r="KWW2" s="148"/>
      <c r="KWX2" s="148"/>
      <c r="KWY2" s="148"/>
      <c r="KWZ2" s="148"/>
      <c r="KXA2" s="148"/>
      <c r="KXB2" s="148"/>
      <c r="KXC2" s="148"/>
      <c r="KXD2" s="148"/>
      <c r="KXE2" s="148"/>
      <c r="KXF2" s="148"/>
      <c r="KXG2" s="148"/>
      <c r="KXH2" s="148"/>
      <c r="KXI2" s="148"/>
      <c r="KXJ2" s="148"/>
      <c r="KXK2" s="148"/>
      <c r="KXL2" s="148"/>
      <c r="KXM2" s="148"/>
      <c r="KXN2" s="148"/>
      <c r="KXO2" s="148"/>
      <c r="KXP2" s="148"/>
      <c r="KXQ2" s="148"/>
      <c r="KXR2" s="148"/>
      <c r="KXS2" s="148"/>
      <c r="KXT2" s="148"/>
      <c r="KXU2" s="148"/>
      <c r="KXV2" s="148"/>
      <c r="KXW2" s="148"/>
      <c r="KXX2" s="148"/>
      <c r="KXY2" s="148"/>
      <c r="KXZ2" s="148"/>
      <c r="KYA2" s="148"/>
      <c r="KYB2" s="148"/>
      <c r="KYC2" s="148"/>
      <c r="KYD2" s="148"/>
      <c r="KYE2" s="148"/>
      <c r="KYF2" s="148"/>
      <c r="KYG2" s="148"/>
      <c r="KYH2" s="148"/>
      <c r="KYI2" s="148"/>
      <c r="KYJ2" s="148"/>
      <c r="KYK2" s="148"/>
      <c r="KYL2" s="148"/>
      <c r="KYM2" s="148"/>
      <c r="KYN2" s="148"/>
      <c r="KYO2" s="148"/>
      <c r="KYP2" s="148"/>
      <c r="KYQ2" s="148"/>
      <c r="KYR2" s="148"/>
      <c r="KYS2" s="148"/>
      <c r="KYT2" s="148"/>
      <c r="KYU2" s="148"/>
      <c r="KYV2" s="148"/>
      <c r="KYW2" s="148"/>
      <c r="KYX2" s="148"/>
      <c r="KYY2" s="148"/>
      <c r="KYZ2" s="148"/>
      <c r="KZA2" s="148"/>
      <c r="KZB2" s="148"/>
      <c r="KZC2" s="148"/>
      <c r="KZD2" s="148"/>
      <c r="KZE2" s="148"/>
      <c r="KZF2" s="148"/>
      <c r="KZG2" s="148"/>
      <c r="KZH2" s="148"/>
      <c r="KZI2" s="148"/>
      <c r="KZJ2" s="148"/>
      <c r="KZK2" s="148"/>
      <c r="KZL2" s="148"/>
      <c r="KZM2" s="148"/>
      <c r="KZN2" s="148"/>
      <c r="KZO2" s="148"/>
      <c r="KZP2" s="148"/>
      <c r="KZQ2" s="148"/>
      <c r="KZR2" s="148"/>
      <c r="KZS2" s="148"/>
      <c r="KZT2" s="148"/>
      <c r="KZU2" s="148"/>
      <c r="KZV2" s="148"/>
      <c r="KZW2" s="148"/>
      <c r="KZX2" s="148"/>
      <c r="KZY2" s="148"/>
      <c r="KZZ2" s="148"/>
      <c r="LAA2" s="148"/>
      <c r="LAB2" s="148"/>
      <c r="LAC2" s="148"/>
      <c r="LAD2" s="148"/>
      <c r="LAE2" s="148"/>
      <c r="LAF2" s="148"/>
      <c r="LAG2" s="148"/>
      <c r="LAH2" s="148"/>
      <c r="LAI2" s="148"/>
      <c r="LAJ2" s="148"/>
      <c r="LAK2" s="148"/>
      <c r="LAL2" s="148"/>
      <c r="LAM2" s="148"/>
      <c r="LAN2" s="148"/>
      <c r="LAO2" s="148"/>
      <c r="LAP2" s="148"/>
      <c r="LAQ2" s="148"/>
      <c r="LAR2" s="148"/>
      <c r="LAS2" s="148"/>
      <c r="LAT2" s="148"/>
      <c r="LAU2" s="148"/>
      <c r="LAV2" s="148"/>
      <c r="LAW2" s="148"/>
      <c r="LAX2" s="148"/>
      <c r="LAY2" s="148"/>
      <c r="LAZ2" s="148"/>
      <c r="LBA2" s="148"/>
      <c r="LBB2" s="148"/>
      <c r="LBC2" s="148"/>
      <c r="LBD2" s="148"/>
      <c r="LBE2" s="148"/>
      <c r="LBF2" s="148"/>
      <c r="LBG2" s="148"/>
      <c r="LBH2" s="148"/>
      <c r="LBI2" s="148"/>
      <c r="LBJ2" s="148"/>
      <c r="LBK2" s="148"/>
      <c r="LBL2" s="148"/>
      <c r="LBM2" s="148"/>
      <c r="LBN2" s="148"/>
      <c r="LBO2" s="148"/>
      <c r="LBP2" s="148"/>
      <c r="LBQ2" s="148"/>
      <c r="LBR2" s="148"/>
      <c r="LBS2" s="148"/>
      <c r="LBT2" s="148"/>
      <c r="LBU2" s="148"/>
      <c r="LBV2" s="148"/>
      <c r="LBW2" s="148"/>
      <c r="LBX2" s="148"/>
      <c r="LBY2" s="148"/>
      <c r="LBZ2" s="148"/>
      <c r="LCA2" s="148"/>
      <c r="LCB2" s="148"/>
      <c r="LCC2" s="148"/>
      <c r="LCD2" s="148"/>
      <c r="LCE2" s="148"/>
      <c r="LCF2" s="148"/>
      <c r="LCG2" s="148"/>
      <c r="LCH2" s="148"/>
      <c r="LCI2" s="148"/>
      <c r="LCJ2" s="148"/>
      <c r="LCK2" s="148"/>
      <c r="LCL2" s="148"/>
      <c r="LCM2" s="148"/>
      <c r="LCN2" s="148"/>
      <c r="LCO2" s="148"/>
      <c r="LCP2" s="148"/>
      <c r="LCQ2" s="148"/>
      <c r="LCR2" s="148"/>
      <c r="LCS2" s="148"/>
      <c r="LCT2" s="148"/>
      <c r="LCU2" s="148"/>
      <c r="LCV2" s="148"/>
      <c r="LCW2" s="148"/>
      <c r="LCX2" s="148"/>
      <c r="LCY2" s="148"/>
      <c r="LCZ2" s="148"/>
      <c r="LDA2" s="148"/>
      <c r="LDB2" s="148"/>
      <c r="LDC2" s="148"/>
      <c r="LDD2" s="148"/>
      <c r="LDE2" s="148"/>
      <c r="LDF2" s="148"/>
      <c r="LDG2" s="148"/>
      <c r="LDH2" s="148"/>
      <c r="LDI2" s="148"/>
      <c r="LDJ2" s="148"/>
      <c r="LDK2" s="148"/>
      <c r="LDL2" s="148"/>
      <c r="LDM2" s="148"/>
      <c r="LDN2" s="148"/>
      <c r="LDO2" s="148"/>
      <c r="LDP2" s="148"/>
      <c r="LDQ2" s="148"/>
      <c r="LDR2" s="148"/>
      <c r="LDS2" s="148"/>
      <c r="LDT2" s="148"/>
      <c r="LDU2" s="148"/>
      <c r="LDV2" s="148"/>
      <c r="LDW2" s="148"/>
      <c r="LDX2" s="148"/>
      <c r="LDY2" s="148"/>
      <c r="LDZ2" s="148"/>
      <c r="LEA2" s="148"/>
      <c r="LEB2" s="148"/>
      <c r="LEC2" s="148"/>
      <c r="LED2" s="148"/>
      <c r="LEE2" s="148"/>
      <c r="LEF2" s="148"/>
      <c r="LEG2" s="148"/>
      <c r="LEH2" s="148"/>
      <c r="LEI2" s="148"/>
      <c r="LEJ2" s="148"/>
      <c r="LEK2" s="148"/>
      <c r="LEL2" s="148"/>
      <c r="LEM2" s="148"/>
      <c r="LEN2" s="148"/>
      <c r="LEO2" s="148"/>
      <c r="LEP2" s="148"/>
      <c r="LEQ2" s="148"/>
      <c r="LER2" s="148"/>
      <c r="LES2" s="148"/>
      <c r="LET2" s="148"/>
      <c r="LEU2" s="148"/>
      <c r="LEV2" s="148"/>
      <c r="LEW2" s="148"/>
      <c r="LEX2" s="148"/>
      <c r="LEY2" s="148"/>
      <c r="LEZ2" s="148"/>
      <c r="LFA2" s="148"/>
      <c r="LFB2" s="148"/>
      <c r="LFC2" s="148"/>
      <c r="LFD2" s="148"/>
      <c r="LFE2" s="148"/>
      <c r="LFF2" s="148"/>
      <c r="LFG2" s="148"/>
      <c r="LFH2" s="148"/>
      <c r="LFI2" s="148"/>
      <c r="LFJ2" s="148"/>
      <c r="LFK2" s="148"/>
      <c r="LFL2" s="148"/>
      <c r="LFM2" s="148"/>
      <c r="LFN2" s="148"/>
      <c r="LFO2" s="148"/>
      <c r="LFP2" s="148"/>
      <c r="LFQ2" s="148"/>
      <c r="LFR2" s="148"/>
      <c r="LFS2" s="148"/>
      <c r="LFT2" s="148"/>
      <c r="LFU2" s="148"/>
      <c r="LFV2" s="148"/>
      <c r="LFW2" s="148"/>
      <c r="LFX2" s="148"/>
      <c r="LFY2" s="148"/>
      <c r="LFZ2" s="148"/>
      <c r="LGA2" s="148"/>
      <c r="LGB2" s="148"/>
      <c r="LGC2" s="148"/>
      <c r="LGD2" s="148"/>
      <c r="LGE2" s="148"/>
      <c r="LGF2" s="148"/>
      <c r="LGG2" s="148"/>
      <c r="LGH2" s="148"/>
      <c r="LGI2" s="148"/>
      <c r="LGJ2" s="148"/>
      <c r="LGK2" s="148"/>
      <c r="LGL2" s="148"/>
      <c r="LGM2" s="148"/>
      <c r="LGN2" s="148"/>
      <c r="LGO2" s="148"/>
      <c r="LGP2" s="148"/>
      <c r="LGQ2" s="148"/>
      <c r="LGR2" s="148"/>
      <c r="LGS2" s="148"/>
      <c r="LGT2" s="148"/>
      <c r="LGU2" s="148"/>
      <c r="LGV2" s="148"/>
      <c r="LGW2" s="148"/>
      <c r="LGX2" s="148"/>
      <c r="LGY2" s="148"/>
      <c r="LGZ2" s="148"/>
      <c r="LHA2" s="148"/>
      <c r="LHB2" s="148"/>
      <c r="LHC2" s="148"/>
      <c r="LHD2" s="148"/>
      <c r="LHE2" s="148"/>
      <c r="LHF2" s="148"/>
      <c r="LHG2" s="148"/>
      <c r="LHH2" s="148"/>
      <c r="LHI2" s="148"/>
      <c r="LHJ2" s="148"/>
      <c r="LHK2" s="148"/>
      <c r="LHL2" s="148"/>
      <c r="LHM2" s="148"/>
      <c r="LHN2" s="148"/>
      <c r="LHO2" s="148"/>
      <c r="LHP2" s="148"/>
      <c r="LHQ2" s="148"/>
      <c r="LHR2" s="148"/>
      <c r="LHS2" s="148"/>
      <c r="LHT2" s="148"/>
      <c r="LHU2" s="148"/>
      <c r="LHV2" s="148"/>
      <c r="LHW2" s="148"/>
      <c r="LHX2" s="148"/>
      <c r="LHY2" s="148"/>
      <c r="LHZ2" s="148"/>
      <c r="LIA2" s="148"/>
      <c r="LIB2" s="148"/>
      <c r="LIC2" s="148"/>
      <c r="LID2" s="148"/>
      <c r="LIE2" s="148"/>
      <c r="LIF2" s="148"/>
      <c r="LIG2" s="148"/>
      <c r="LIH2" s="148"/>
      <c r="LII2" s="148"/>
      <c r="LIJ2" s="148"/>
      <c r="LIK2" s="148"/>
      <c r="LIL2" s="148"/>
      <c r="LIM2" s="148"/>
      <c r="LIN2" s="148"/>
      <c r="LIO2" s="148"/>
      <c r="LIP2" s="148"/>
      <c r="LIQ2" s="148"/>
      <c r="LIR2" s="148"/>
      <c r="LIS2" s="148"/>
      <c r="LIT2" s="148"/>
      <c r="LIU2" s="148"/>
      <c r="LIV2" s="148"/>
      <c r="LIW2" s="148"/>
      <c r="LIX2" s="148"/>
      <c r="LIY2" s="148"/>
      <c r="LIZ2" s="148"/>
      <c r="LJA2" s="148"/>
      <c r="LJB2" s="148"/>
      <c r="LJC2" s="148"/>
      <c r="LJD2" s="148"/>
      <c r="LJE2" s="148"/>
      <c r="LJF2" s="148"/>
      <c r="LJG2" s="148"/>
      <c r="LJH2" s="148"/>
      <c r="LJI2" s="148"/>
      <c r="LJJ2" s="148"/>
      <c r="LJK2" s="148"/>
      <c r="LJL2" s="148"/>
      <c r="LJM2" s="148"/>
      <c r="LJN2" s="148"/>
      <c r="LJO2" s="148"/>
      <c r="LJP2" s="148"/>
      <c r="LJQ2" s="148"/>
      <c r="LJR2" s="148"/>
      <c r="LJS2" s="148"/>
      <c r="LJT2" s="148"/>
      <c r="LJU2" s="148"/>
      <c r="LJV2" s="148"/>
      <c r="LJW2" s="148"/>
      <c r="LJX2" s="148"/>
      <c r="LJY2" s="148"/>
      <c r="LJZ2" s="148"/>
      <c r="LKA2" s="148"/>
      <c r="LKB2" s="148"/>
      <c r="LKC2" s="148"/>
      <c r="LKD2" s="148"/>
      <c r="LKE2" s="148"/>
      <c r="LKF2" s="148"/>
      <c r="LKG2" s="148"/>
      <c r="LKH2" s="148"/>
      <c r="LKI2" s="148"/>
      <c r="LKJ2" s="148"/>
      <c r="LKK2" s="148"/>
      <c r="LKL2" s="148"/>
      <c r="LKM2" s="148"/>
      <c r="LKN2" s="148"/>
      <c r="LKO2" s="148"/>
      <c r="LKP2" s="148"/>
      <c r="LKQ2" s="148"/>
      <c r="LKR2" s="148"/>
      <c r="LKS2" s="148"/>
      <c r="LKT2" s="148"/>
      <c r="LKU2" s="148"/>
      <c r="LKV2" s="148"/>
      <c r="LKW2" s="148"/>
      <c r="LKX2" s="148"/>
      <c r="LKY2" s="148"/>
      <c r="LKZ2" s="148"/>
      <c r="LLA2" s="148"/>
      <c r="LLB2" s="148"/>
      <c r="LLC2" s="148"/>
      <c r="LLD2" s="148"/>
      <c r="LLE2" s="148"/>
      <c r="LLF2" s="148"/>
      <c r="LLG2" s="148"/>
      <c r="LLH2" s="148"/>
      <c r="LLI2" s="148"/>
      <c r="LLJ2" s="148"/>
      <c r="LLK2" s="148"/>
      <c r="LLL2" s="148"/>
      <c r="LLM2" s="148"/>
      <c r="LLN2" s="148"/>
      <c r="LLO2" s="148"/>
      <c r="LLP2" s="148"/>
      <c r="LLQ2" s="148"/>
      <c r="LLR2" s="148"/>
      <c r="LLS2" s="148"/>
      <c r="LLT2" s="148"/>
      <c r="LLU2" s="148"/>
      <c r="LLV2" s="148"/>
      <c r="LLW2" s="148"/>
      <c r="LLX2" s="148"/>
      <c r="LLY2" s="148"/>
      <c r="LLZ2" s="148"/>
      <c r="LMA2" s="148"/>
      <c r="LMB2" s="148"/>
      <c r="LMC2" s="148"/>
      <c r="LMD2" s="148"/>
      <c r="LME2" s="148"/>
      <c r="LMF2" s="148"/>
      <c r="LMG2" s="148"/>
      <c r="LMH2" s="148"/>
      <c r="LMI2" s="148"/>
      <c r="LMJ2" s="148"/>
      <c r="LMK2" s="148"/>
      <c r="LML2" s="148"/>
      <c r="LMM2" s="148"/>
      <c r="LMN2" s="148"/>
      <c r="LMO2" s="148"/>
      <c r="LMP2" s="148"/>
      <c r="LMQ2" s="148"/>
      <c r="LMR2" s="148"/>
      <c r="LMS2" s="148"/>
      <c r="LMT2" s="148"/>
      <c r="LMU2" s="148"/>
      <c r="LMV2" s="148"/>
      <c r="LMW2" s="148"/>
      <c r="LMX2" s="148"/>
      <c r="LMY2" s="148"/>
      <c r="LMZ2" s="148"/>
      <c r="LNA2" s="148"/>
      <c r="LNB2" s="148"/>
      <c r="LNC2" s="148"/>
      <c r="LND2" s="148"/>
      <c r="LNE2" s="148"/>
      <c r="LNF2" s="148"/>
      <c r="LNG2" s="148"/>
      <c r="LNH2" s="148"/>
      <c r="LNI2" s="148"/>
      <c r="LNJ2" s="148"/>
      <c r="LNK2" s="148"/>
      <c r="LNL2" s="148"/>
      <c r="LNM2" s="148"/>
      <c r="LNN2" s="148"/>
      <c r="LNO2" s="148"/>
      <c r="LNP2" s="148"/>
      <c r="LNQ2" s="148"/>
      <c r="LNR2" s="148"/>
      <c r="LNS2" s="148"/>
      <c r="LNT2" s="148"/>
      <c r="LNU2" s="148"/>
      <c r="LNV2" s="148"/>
      <c r="LNW2" s="148"/>
      <c r="LNX2" s="148"/>
      <c r="LNY2" s="148"/>
      <c r="LNZ2" s="148"/>
      <c r="LOA2" s="148"/>
      <c r="LOB2" s="148"/>
      <c r="LOC2" s="148"/>
      <c r="LOD2" s="148"/>
      <c r="LOE2" s="148"/>
      <c r="LOF2" s="148"/>
      <c r="LOG2" s="148"/>
      <c r="LOH2" s="148"/>
      <c r="LOI2" s="148"/>
      <c r="LOJ2" s="148"/>
      <c r="LOK2" s="148"/>
      <c r="LOL2" s="148"/>
      <c r="LOM2" s="148"/>
      <c r="LON2" s="148"/>
      <c r="LOO2" s="148"/>
      <c r="LOP2" s="148"/>
      <c r="LOQ2" s="148"/>
      <c r="LOR2" s="148"/>
      <c r="LOS2" s="148"/>
      <c r="LOT2" s="148"/>
      <c r="LOU2" s="148"/>
      <c r="LOV2" s="148"/>
      <c r="LOW2" s="148"/>
      <c r="LOX2" s="148"/>
      <c r="LOY2" s="148"/>
      <c r="LOZ2" s="148"/>
      <c r="LPA2" s="148"/>
      <c r="LPB2" s="148"/>
      <c r="LPC2" s="148"/>
      <c r="LPD2" s="148"/>
      <c r="LPE2" s="148"/>
      <c r="LPF2" s="148"/>
      <c r="LPG2" s="148"/>
      <c r="LPH2" s="148"/>
      <c r="LPI2" s="148"/>
      <c r="LPJ2" s="148"/>
      <c r="LPK2" s="148"/>
      <c r="LPL2" s="148"/>
      <c r="LPM2" s="148"/>
      <c r="LPN2" s="148"/>
      <c r="LPO2" s="148"/>
      <c r="LPP2" s="148"/>
      <c r="LPQ2" s="148"/>
      <c r="LPR2" s="148"/>
      <c r="LPS2" s="148"/>
      <c r="LPT2" s="148"/>
      <c r="LPU2" s="148"/>
      <c r="LPV2" s="148"/>
      <c r="LPW2" s="148"/>
      <c r="LPX2" s="148"/>
      <c r="LPY2" s="148"/>
      <c r="LPZ2" s="148"/>
      <c r="LQA2" s="148"/>
      <c r="LQB2" s="148"/>
      <c r="LQC2" s="148"/>
      <c r="LQD2" s="148"/>
      <c r="LQE2" s="148"/>
      <c r="LQF2" s="148"/>
      <c r="LQG2" s="148"/>
      <c r="LQH2" s="148"/>
      <c r="LQI2" s="148"/>
      <c r="LQJ2" s="148"/>
      <c r="LQK2" s="148"/>
      <c r="LQL2" s="148"/>
      <c r="LQM2" s="148"/>
      <c r="LQN2" s="148"/>
      <c r="LQO2" s="148"/>
      <c r="LQP2" s="148"/>
      <c r="LQQ2" s="148"/>
      <c r="LQR2" s="148"/>
      <c r="LQS2" s="148"/>
      <c r="LQT2" s="148"/>
      <c r="LQU2" s="148"/>
      <c r="LQV2" s="148"/>
      <c r="LQW2" s="148"/>
      <c r="LQX2" s="148"/>
      <c r="LQY2" s="148"/>
      <c r="LQZ2" s="148"/>
      <c r="LRA2" s="148"/>
      <c r="LRB2" s="148"/>
      <c r="LRC2" s="148"/>
      <c r="LRD2" s="148"/>
      <c r="LRE2" s="148"/>
      <c r="LRF2" s="148"/>
      <c r="LRG2" s="148"/>
      <c r="LRH2" s="148"/>
      <c r="LRI2" s="148"/>
      <c r="LRJ2" s="148"/>
      <c r="LRK2" s="148"/>
      <c r="LRL2" s="148"/>
      <c r="LRM2" s="148"/>
      <c r="LRN2" s="148"/>
      <c r="LRO2" s="148"/>
      <c r="LRP2" s="148"/>
      <c r="LRQ2" s="148"/>
      <c r="LRR2" s="148"/>
      <c r="LRS2" s="148"/>
      <c r="LRT2" s="148"/>
      <c r="LRU2" s="148"/>
      <c r="LRV2" s="148"/>
      <c r="LRW2" s="148"/>
      <c r="LRX2" s="148"/>
      <c r="LRY2" s="148"/>
      <c r="LRZ2" s="148"/>
      <c r="LSA2" s="148"/>
      <c r="LSB2" s="148"/>
      <c r="LSC2" s="148"/>
      <c r="LSD2" s="148"/>
      <c r="LSE2" s="148"/>
      <c r="LSF2" s="148"/>
      <c r="LSG2" s="148"/>
      <c r="LSH2" s="148"/>
      <c r="LSI2" s="148"/>
      <c r="LSJ2" s="148"/>
      <c r="LSK2" s="148"/>
      <c r="LSL2" s="148"/>
      <c r="LSM2" s="148"/>
      <c r="LSN2" s="148"/>
      <c r="LSO2" s="148"/>
      <c r="LSP2" s="148"/>
      <c r="LSQ2" s="148"/>
      <c r="LSR2" s="148"/>
      <c r="LSS2" s="148"/>
      <c r="LST2" s="148"/>
      <c r="LSU2" s="148"/>
      <c r="LSV2" s="148"/>
      <c r="LSW2" s="148"/>
      <c r="LSX2" s="148"/>
      <c r="LSY2" s="148"/>
      <c r="LSZ2" s="148"/>
      <c r="LTA2" s="148"/>
      <c r="LTB2" s="148"/>
      <c r="LTC2" s="148"/>
      <c r="LTD2" s="148"/>
      <c r="LTE2" s="148"/>
      <c r="LTF2" s="148"/>
      <c r="LTG2" s="148"/>
      <c r="LTH2" s="148"/>
      <c r="LTI2" s="148"/>
      <c r="LTJ2" s="148"/>
      <c r="LTK2" s="148"/>
      <c r="LTL2" s="148"/>
      <c r="LTM2" s="148"/>
      <c r="LTN2" s="148"/>
      <c r="LTO2" s="148"/>
      <c r="LTP2" s="148"/>
      <c r="LTQ2" s="148"/>
      <c r="LTR2" s="148"/>
      <c r="LTS2" s="148"/>
      <c r="LTT2" s="148"/>
      <c r="LTU2" s="148"/>
      <c r="LTV2" s="148"/>
      <c r="LTW2" s="148"/>
      <c r="LTX2" s="148"/>
      <c r="LTY2" s="148"/>
      <c r="LTZ2" s="148"/>
      <c r="LUA2" s="148"/>
      <c r="LUB2" s="148"/>
      <c r="LUC2" s="148"/>
      <c r="LUD2" s="148"/>
      <c r="LUE2" s="148"/>
      <c r="LUF2" s="148"/>
      <c r="LUG2" s="148"/>
      <c r="LUH2" s="148"/>
      <c r="LUI2" s="148"/>
      <c r="LUJ2" s="148"/>
      <c r="LUK2" s="148"/>
      <c r="LUL2" s="148"/>
      <c r="LUM2" s="148"/>
      <c r="LUN2" s="148"/>
      <c r="LUO2" s="148"/>
      <c r="LUP2" s="148"/>
      <c r="LUQ2" s="148"/>
      <c r="LUR2" s="148"/>
      <c r="LUS2" s="148"/>
      <c r="LUT2" s="148"/>
      <c r="LUU2" s="148"/>
      <c r="LUV2" s="148"/>
      <c r="LUW2" s="148"/>
      <c r="LUX2" s="148"/>
      <c r="LUY2" s="148"/>
      <c r="LUZ2" s="148"/>
      <c r="LVA2" s="148"/>
      <c r="LVB2" s="148"/>
      <c r="LVC2" s="148"/>
      <c r="LVD2" s="148"/>
      <c r="LVE2" s="148"/>
      <c r="LVF2" s="148"/>
      <c r="LVG2" s="148"/>
      <c r="LVH2" s="148"/>
      <c r="LVI2" s="148"/>
      <c r="LVJ2" s="148"/>
      <c r="LVK2" s="148"/>
      <c r="LVL2" s="148"/>
      <c r="LVM2" s="148"/>
      <c r="LVN2" s="148"/>
      <c r="LVO2" s="148"/>
      <c r="LVP2" s="148"/>
      <c r="LVQ2" s="148"/>
      <c r="LVR2" s="148"/>
      <c r="LVS2" s="148"/>
      <c r="LVT2" s="148"/>
      <c r="LVU2" s="148"/>
      <c r="LVV2" s="148"/>
      <c r="LVW2" s="148"/>
      <c r="LVX2" s="148"/>
      <c r="LVY2" s="148"/>
      <c r="LVZ2" s="148"/>
      <c r="LWA2" s="148"/>
      <c r="LWB2" s="148"/>
      <c r="LWC2" s="148"/>
      <c r="LWD2" s="148"/>
      <c r="LWE2" s="148"/>
      <c r="LWF2" s="148"/>
      <c r="LWG2" s="148"/>
      <c r="LWH2" s="148"/>
      <c r="LWI2" s="148"/>
      <c r="LWJ2" s="148"/>
      <c r="LWK2" s="148"/>
      <c r="LWL2" s="148"/>
      <c r="LWM2" s="148"/>
      <c r="LWN2" s="148"/>
      <c r="LWO2" s="148"/>
      <c r="LWP2" s="148"/>
      <c r="LWQ2" s="148"/>
      <c r="LWR2" s="148"/>
      <c r="LWS2" s="148"/>
      <c r="LWT2" s="148"/>
      <c r="LWU2" s="148"/>
      <c r="LWV2" s="148"/>
      <c r="LWW2" s="148"/>
      <c r="LWX2" s="148"/>
      <c r="LWY2" s="148"/>
      <c r="LWZ2" s="148"/>
      <c r="LXA2" s="148"/>
      <c r="LXB2" s="148"/>
      <c r="LXC2" s="148"/>
      <c r="LXD2" s="148"/>
      <c r="LXE2" s="148"/>
      <c r="LXF2" s="148"/>
      <c r="LXG2" s="148"/>
      <c r="LXH2" s="148"/>
      <c r="LXI2" s="148"/>
      <c r="LXJ2" s="148"/>
      <c r="LXK2" s="148"/>
      <c r="LXL2" s="148"/>
      <c r="LXM2" s="148"/>
      <c r="LXN2" s="148"/>
      <c r="LXO2" s="148"/>
      <c r="LXP2" s="148"/>
      <c r="LXQ2" s="148"/>
      <c r="LXR2" s="148"/>
      <c r="LXS2" s="148"/>
      <c r="LXT2" s="148"/>
      <c r="LXU2" s="148"/>
      <c r="LXV2" s="148"/>
      <c r="LXW2" s="148"/>
      <c r="LXX2" s="148"/>
      <c r="LXY2" s="148"/>
      <c r="LXZ2" s="148"/>
      <c r="LYA2" s="148"/>
      <c r="LYB2" s="148"/>
      <c r="LYC2" s="148"/>
      <c r="LYD2" s="148"/>
      <c r="LYE2" s="148"/>
      <c r="LYF2" s="148"/>
      <c r="LYG2" s="148"/>
      <c r="LYH2" s="148"/>
      <c r="LYI2" s="148"/>
      <c r="LYJ2" s="148"/>
      <c r="LYK2" s="148"/>
      <c r="LYL2" s="148"/>
      <c r="LYM2" s="148"/>
      <c r="LYN2" s="148"/>
      <c r="LYO2" s="148"/>
      <c r="LYP2" s="148"/>
      <c r="LYQ2" s="148"/>
      <c r="LYR2" s="148"/>
      <c r="LYS2" s="148"/>
      <c r="LYT2" s="148"/>
      <c r="LYU2" s="148"/>
      <c r="LYV2" s="148"/>
      <c r="LYW2" s="148"/>
      <c r="LYX2" s="148"/>
      <c r="LYY2" s="148"/>
      <c r="LYZ2" s="148"/>
      <c r="LZA2" s="148"/>
      <c r="LZB2" s="148"/>
      <c r="LZC2" s="148"/>
      <c r="LZD2" s="148"/>
      <c r="LZE2" s="148"/>
      <c r="LZF2" s="148"/>
      <c r="LZG2" s="148"/>
      <c r="LZH2" s="148"/>
      <c r="LZI2" s="148"/>
      <c r="LZJ2" s="148"/>
      <c r="LZK2" s="148"/>
      <c r="LZL2" s="148"/>
      <c r="LZM2" s="148"/>
      <c r="LZN2" s="148"/>
      <c r="LZO2" s="148"/>
      <c r="LZP2" s="148"/>
      <c r="LZQ2" s="148"/>
      <c r="LZR2" s="148"/>
      <c r="LZS2" s="148"/>
      <c r="LZT2" s="148"/>
      <c r="LZU2" s="148"/>
      <c r="LZV2" s="148"/>
      <c r="LZW2" s="148"/>
      <c r="LZX2" s="148"/>
      <c r="LZY2" s="148"/>
      <c r="LZZ2" s="148"/>
      <c r="MAA2" s="148"/>
      <c r="MAB2" s="148"/>
      <c r="MAC2" s="148"/>
      <c r="MAD2" s="148"/>
      <c r="MAE2" s="148"/>
      <c r="MAF2" s="148"/>
      <c r="MAG2" s="148"/>
      <c r="MAH2" s="148"/>
      <c r="MAI2" s="148"/>
      <c r="MAJ2" s="148"/>
      <c r="MAK2" s="148"/>
      <c r="MAL2" s="148"/>
      <c r="MAM2" s="148"/>
      <c r="MAN2" s="148"/>
      <c r="MAO2" s="148"/>
      <c r="MAP2" s="148"/>
      <c r="MAQ2" s="148"/>
      <c r="MAR2" s="148"/>
      <c r="MAS2" s="148"/>
      <c r="MAT2" s="148"/>
      <c r="MAU2" s="148"/>
      <c r="MAV2" s="148"/>
      <c r="MAW2" s="148"/>
      <c r="MAX2" s="148"/>
      <c r="MAY2" s="148"/>
      <c r="MAZ2" s="148"/>
      <c r="MBA2" s="148"/>
      <c r="MBB2" s="148"/>
      <c r="MBC2" s="148"/>
      <c r="MBD2" s="148"/>
      <c r="MBE2" s="148"/>
      <c r="MBF2" s="148"/>
      <c r="MBG2" s="148"/>
      <c r="MBH2" s="148"/>
      <c r="MBI2" s="148"/>
      <c r="MBJ2" s="148"/>
      <c r="MBK2" s="148"/>
      <c r="MBL2" s="148"/>
      <c r="MBM2" s="148"/>
      <c r="MBN2" s="148"/>
      <c r="MBO2" s="148"/>
      <c r="MBP2" s="148"/>
      <c r="MBQ2" s="148"/>
      <c r="MBR2" s="148"/>
      <c r="MBS2" s="148"/>
      <c r="MBT2" s="148"/>
      <c r="MBU2" s="148"/>
      <c r="MBV2" s="148"/>
      <c r="MBW2" s="148"/>
      <c r="MBX2" s="148"/>
      <c r="MBY2" s="148"/>
      <c r="MBZ2" s="148"/>
      <c r="MCA2" s="148"/>
      <c r="MCB2" s="148"/>
      <c r="MCC2" s="148"/>
      <c r="MCD2" s="148"/>
      <c r="MCE2" s="148"/>
      <c r="MCF2" s="148"/>
      <c r="MCG2" s="148"/>
      <c r="MCH2" s="148"/>
      <c r="MCI2" s="148"/>
      <c r="MCJ2" s="148"/>
      <c r="MCK2" s="148"/>
      <c r="MCL2" s="148"/>
      <c r="MCM2" s="148"/>
      <c r="MCN2" s="148"/>
      <c r="MCO2" s="148"/>
      <c r="MCP2" s="148"/>
      <c r="MCQ2" s="148"/>
      <c r="MCR2" s="148"/>
      <c r="MCS2" s="148"/>
      <c r="MCT2" s="148"/>
      <c r="MCU2" s="148"/>
      <c r="MCV2" s="148"/>
      <c r="MCW2" s="148"/>
      <c r="MCX2" s="148"/>
      <c r="MCY2" s="148"/>
      <c r="MCZ2" s="148"/>
      <c r="MDA2" s="148"/>
      <c r="MDB2" s="148"/>
      <c r="MDC2" s="148"/>
      <c r="MDD2" s="148"/>
      <c r="MDE2" s="148"/>
      <c r="MDF2" s="148"/>
      <c r="MDG2" s="148"/>
      <c r="MDH2" s="148"/>
      <c r="MDI2" s="148"/>
      <c r="MDJ2" s="148"/>
      <c r="MDK2" s="148"/>
      <c r="MDL2" s="148"/>
      <c r="MDM2" s="148"/>
      <c r="MDN2" s="148"/>
      <c r="MDO2" s="148"/>
      <c r="MDP2" s="148"/>
      <c r="MDQ2" s="148"/>
      <c r="MDR2" s="148"/>
      <c r="MDS2" s="148"/>
      <c r="MDT2" s="148"/>
      <c r="MDU2" s="148"/>
      <c r="MDV2" s="148"/>
      <c r="MDW2" s="148"/>
      <c r="MDX2" s="148"/>
      <c r="MDY2" s="148"/>
      <c r="MDZ2" s="148"/>
      <c r="MEA2" s="148"/>
      <c r="MEB2" s="148"/>
      <c r="MEC2" s="148"/>
      <c r="MED2" s="148"/>
      <c r="MEE2" s="148"/>
      <c r="MEF2" s="148"/>
      <c r="MEG2" s="148"/>
      <c r="MEH2" s="148"/>
      <c r="MEI2" s="148"/>
      <c r="MEJ2" s="148"/>
      <c r="MEK2" s="148"/>
      <c r="MEL2" s="148"/>
      <c r="MEM2" s="148"/>
      <c r="MEN2" s="148"/>
      <c r="MEO2" s="148"/>
      <c r="MEP2" s="148"/>
      <c r="MEQ2" s="148"/>
      <c r="MER2" s="148"/>
      <c r="MES2" s="148"/>
      <c r="MET2" s="148"/>
      <c r="MEU2" s="148"/>
      <c r="MEV2" s="148"/>
      <c r="MEW2" s="148"/>
      <c r="MEX2" s="148"/>
      <c r="MEY2" s="148"/>
      <c r="MEZ2" s="148"/>
      <c r="MFA2" s="148"/>
      <c r="MFB2" s="148"/>
      <c r="MFC2" s="148"/>
      <c r="MFD2" s="148"/>
      <c r="MFE2" s="148"/>
      <c r="MFF2" s="148"/>
      <c r="MFG2" s="148"/>
      <c r="MFH2" s="148"/>
      <c r="MFI2" s="148"/>
      <c r="MFJ2" s="148"/>
      <c r="MFK2" s="148"/>
      <c r="MFL2" s="148"/>
      <c r="MFM2" s="148"/>
      <c r="MFN2" s="148"/>
      <c r="MFO2" s="148"/>
      <c r="MFP2" s="148"/>
      <c r="MFQ2" s="148"/>
      <c r="MFR2" s="148"/>
      <c r="MFS2" s="148"/>
      <c r="MFT2" s="148"/>
      <c r="MFU2" s="148"/>
      <c r="MFV2" s="148"/>
      <c r="MFW2" s="148"/>
      <c r="MFX2" s="148"/>
      <c r="MFY2" s="148"/>
      <c r="MFZ2" s="148"/>
      <c r="MGA2" s="148"/>
      <c r="MGB2" s="148"/>
      <c r="MGC2" s="148"/>
      <c r="MGD2" s="148"/>
      <c r="MGE2" s="148"/>
      <c r="MGF2" s="148"/>
      <c r="MGG2" s="148"/>
      <c r="MGH2" s="148"/>
      <c r="MGI2" s="148"/>
      <c r="MGJ2" s="148"/>
      <c r="MGK2" s="148"/>
      <c r="MGL2" s="148"/>
      <c r="MGM2" s="148"/>
      <c r="MGN2" s="148"/>
      <c r="MGO2" s="148"/>
      <c r="MGP2" s="148"/>
      <c r="MGQ2" s="148"/>
      <c r="MGR2" s="148"/>
      <c r="MGS2" s="148"/>
      <c r="MGT2" s="148"/>
      <c r="MGU2" s="148"/>
      <c r="MGV2" s="148"/>
      <c r="MGW2" s="148"/>
      <c r="MGX2" s="148"/>
      <c r="MGY2" s="148"/>
      <c r="MGZ2" s="148"/>
      <c r="MHA2" s="148"/>
      <c r="MHB2" s="148"/>
      <c r="MHC2" s="148"/>
      <c r="MHD2" s="148"/>
      <c r="MHE2" s="148"/>
      <c r="MHF2" s="148"/>
      <c r="MHG2" s="148"/>
      <c r="MHH2" s="148"/>
      <c r="MHI2" s="148"/>
      <c r="MHJ2" s="148"/>
      <c r="MHK2" s="148"/>
      <c r="MHL2" s="148"/>
      <c r="MHM2" s="148"/>
      <c r="MHN2" s="148"/>
      <c r="MHO2" s="148"/>
      <c r="MHP2" s="148"/>
      <c r="MHQ2" s="148"/>
      <c r="MHR2" s="148"/>
      <c r="MHS2" s="148"/>
      <c r="MHT2" s="148"/>
      <c r="MHU2" s="148"/>
      <c r="MHV2" s="148"/>
      <c r="MHW2" s="148"/>
      <c r="MHX2" s="148"/>
      <c r="MHY2" s="148"/>
      <c r="MHZ2" s="148"/>
      <c r="MIA2" s="148"/>
      <c r="MIB2" s="148"/>
      <c r="MIC2" s="148"/>
      <c r="MID2" s="148"/>
      <c r="MIE2" s="148"/>
      <c r="MIF2" s="148"/>
      <c r="MIG2" s="148"/>
      <c r="MIH2" s="148"/>
      <c r="MII2" s="148"/>
      <c r="MIJ2" s="148"/>
      <c r="MIK2" s="148"/>
      <c r="MIL2" s="148"/>
      <c r="MIM2" s="148"/>
      <c r="MIN2" s="148"/>
      <c r="MIO2" s="148"/>
      <c r="MIP2" s="148"/>
      <c r="MIQ2" s="148"/>
      <c r="MIR2" s="148"/>
      <c r="MIS2" s="148"/>
      <c r="MIT2" s="148"/>
      <c r="MIU2" s="148"/>
      <c r="MIV2" s="148"/>
      <c r="MIW2" s="148"/>
      <c r="MIX2" s="148"/>
      <c r="MIY2" s="148"/>
      <c r="MIZ2" s="148"/>
      <c r="MJA2" s="148"/>
      <c r="MJB2" s="148"/>
      <c r="MJC2" s="148"/>
      <c r="MJD2" s="148"/>
      <c r="MJE2" s="148"/>
      <c r="MJF2" s="148"/>
      <c r="MJG2" s="148"/>
      <c r="MJH2" s="148"/>
      <c r="MJI2" s="148"/>
      <c r="MJJ2" s="148"/>
      <c r="MJK2" s="148"/>
      <c r="MJL2" s="148"/>
      <c r="MJM2" s="148"/>
      <c r="MJN2" s="148"/>
      <c r="MJO2" s="148"/>
      <c r="MJP2" s="148"/>
      <c r="MJQ2" s="148"/>
      <c r="MJR2" s="148"/>
      <c r="MJS2" s="148"/>
      <c r="MJT2" s="148"/>
      <c r="MJU2" s="148"/>
      <c r="MJV2" s="148"/>
      <c r="MJW2" s="148"/>
      <c r="MJX2" s="148"/>
      <c r="MJY2" s="148"/>
      <c r="MJZ2" s="148"/>
      <c r="MKA2" s="148"/>
      <c r="MKB2" s="148"/>
      <c r="MKC2" s="148"/>
      <c r="MKD2" s="148"/>
      <c r="MKE2" s="148"/>
      <c r="MKF2" s="148"/>
      <c r="MKG2" s="148"/>
      <c r="MKH2" s="148"/>
      <c r="MKI2" s="148"/>
      <c r="MKJ2" s="148"/>
      <c r="MKK2" s="148"/>
      <c r="MKL2" s="148"/>
      <c r="MKM2" s="148"/>
      <c r="MKN2" s="148"/>
      <c r="MKO2" s="148"/>
      <c r="MKP2" s="148"/>
      <c r="MKQ2" s="148"/>
      <c r="MKR2" s="148"/>
      <c r="MKS2" s="148"/>
      <c r="MKT2" s="148"/>
      <c r="MKU2" s="148"/>
      <c r="MKV2" s="148"/>
      <c r="MKW2" s="148"/>
      <c r="MKX2" s="148"/>
      <c r="MKY2" s="148"/>
      <c r="MKZ2" s="148"/>
      <c r="MLA2" s="148"/>
      <c r="MLB2" s="148"/>
      <c r="MLC2" s="148"/>
      <c r="MLD2" s="148"/>
      <c r="MLE2" s="148"/>
      <c r="MLF2" s="148"/>
      <c r="MLG2" s="148"/>
      <c r="MLH2" s="148"/>
      <c r="MLI2" s="148"/>
      <c r="MLJ2" s="148"/>
      <c r="MLK2" s="148"/>
      <c r="MLL2" s="148"/>
      <c r="MLM2" s="148"/>
      <c r="MLN2" s="148"/>
      <c r="MLO2" s="148"/>
      <c r="MLP2" s="148"/>
      <c r="MLQ2" s="148"/>
      <c r="MLR2" s="148"/>
      <c r="MLS2" s="148"/>
      <c r="MLT2" s="148"/>
      <c r="MLU2" s="148"/>
      <c r="MLV2" s="148"/>
      <c r="MLW2" s="148"/>
      <c r="MLX2" s="148"/>
      <c r="MLY2" s="148"/>
      <c r="MLZ2" s="148"/>
      <c r="MMA2" s="148"/>
      <c r="MMB2" s="148"/>
      <c r="MMC2" s="148"/>
      <c r="MMD2" s="148"/>
      <c r="MME2" s="148"/>
      <c r="MMF2" s="148"/>
      <c r="MMG2" s="148"/>
      <c r="MMH2" s="148"/>
      <c r="MMI2" s="148"/>
      <c r="MMJ2" s="148"/>
      <c r="MMK2" s="148"/>
      <c r="MML2" s="148"/>
      <c r="MMM2" s="148"/>
      <c r="MMN2" s="148"/>
      <c r="MMO2" s="148"/>
      <c r="MMP2" s="148"/>
      <c r="MMQ2" s="148"/>
      <c r="MMR2" s="148"/>
      <c r="MMS2" s="148"/>
      <c r="MMT2" s="148"/>
      <c r="MMU2" s="148"/>
      <c r="MMV2" s="148"/>
      <c r="MMW2" s="148"/>
      <c r="MMX2" s="148"/>
      <c r="MMY2" s="148"/>
      <c r="MMZ2" s="148"/>
      <c r="MNA2" s="148"/>
      <c r="MNB2" s="148"/>
      <c r="MNC2" s="148"/>
      <c r="MND2" s="148"/>
      <c r="MNE2" s="148"/>
      <c r="MNF2" s="148"/>
      <c r="MNG2" s="148"/>
      <c r="MNH2" s="148"/>
      <c r="MNI2" s="148"/>
      <c r="MNJ2" s="148"/>
      <c r="MNK2" s="148"/>
      <c r="MNL2" s="148"/>
      <c r="MNM2" s="148"/>
      <c r="MNN2" s="148"/>
      <c r="MNO2" s="148"/>
      <c r="MNP2" s="148"/>
      <c r="MNQ2" s="148"/>
      <c r="MNR2" s="148"/>
      <c r="MNS2" s="148"/>
      <c r="MNT2" s="148"/>
      <c r="MNU2" s="148"/>
      <c r="MNV2" s="148"/>
      <c r="MNW2" s="148"/>
      <c r="MNX2" s="148"/>
      <c r="MNY2" s="148"/>
      <c r="MNZ2" s="148"/>
      <c r="MOA2" s="148"/>
      <c r="MOB2" s="148"/>
      <c r="MOC2" s="148"/>
      <c r="MOD2" s="148"/>
      <c r="MOE2" s="148"/>
      <c r="MOF2" s="148"/>
      <c r="MOG2" s="148"/>
      <c r="MOH2" s="148"/>
      <c r="MOI2" s="148"/>
      <c r="MOJ2" s="148"/>
      <c r="MOK2" s="148"/>
      <c r="MOL2" s="148"/>
      <c r="MOM2" s="148"/>
      <c r="MON2" s="148"/>
      <c r="MOO2" s="148"/>
      <c r="MOP2" s="148"/>
      <c r="MOQ2" s="148"/>
      <c r="MOR2" s="148"/>
      <c r="MOS2" s="148"/>
      <c r="MOT2" s="148"/>
      <c r="MOU2" s="148"/>
      <c r="MOV2" s="148"/>
      <c r="MOW2" s="148"/>
      <c r="MOX2" s="148"/>
      <c r="MOY2" s="148"/>
      <c r="MOZ2" s="148"/>
      <c r="MPA2" s="148"/>
      <c r="MPB2" s="148"/>
      <c r="MPC2" s="148"/>
      <c r="MPD2" s="148"/>
      <c r="MPE2" s="148"/>
      <c r="MPF2" s="148"/>
      <c r="MPG2" s="148"/>
      <c r="MPH2" s="148"/>
      <c r="MPI2" s="148"/>
      <c r="MPJ2" s="148"/>
      <c r="MPK2" s="148"/>
      <c r="MPL2" s="148"/>
      <c r="MPM2" s="148"/>
      <c r="MPN2" s="148"/>
      <c r="MPO2" s="148"/>
      <c r="MPP2" s="148"/>
      <c r="MPQ2" s="148"/>
      <c r="MPR2" s="148"/>
      <c r="MPS2" s="148"/>
      <c r="MPT2" s="148"/>
      <c r="MPU2" s="148"/>
      <c r="MPV2" s="148"/>
      <c r="MPW2" s="148"/>
      <c r="MPX2" s="148"/>
      <c r="MPY2" s="148"/>
      <c r="MPZ2" s="148"/>
      <c r="MQA2" s="148"/>
      <c r="MQB2" s="148"/>
      <c r="MQC2" s="148"/>
      <c r="MQD2" s="148"/>
      <c r="MQE2" s="148"/>
      <c r="MQF2" s="148"/>
      <c r="MQG2" s="148"/>
      <c r="MQH2" s="148"/>
      <c r="MQI2" s="148"/>
      <c r="MQJ2" s="148"/>
      <c r="MQK2" s="148"/>
      <c r="MQL2" s="148"/>
      <c r="MQM2" s="148"/>
      <c r="MQN2" s="148"/>
      <c r="MQO2" s="148"/>
      <c r="MQP2" s="148"/>
      <c r="MQQ2" s="148"/>
      <c r="MQR2" s="148"/>
      <c r="MQS2" s="148"/>
      <c r="MQT2" s="148"/>
      <c r="MQU2" s="148"/>
      <c r="MQV2" s="148"/>
      <c r="MQW2" s="148"/>
      <c r="MQX2" s="148"/>
      <c r="MQY2" s="148"/>
      <c r="MQZ2" s="148"/>
      <c r="MRA2" s="148"/>
      <c r="MRB2" s="148"/>
      <c r="MRC2" s="148"/>
      <c r="MRD2" s="148"/>
      <c r="MRE2" s="148"/>
      <c r="MRF2" s="148"/>
      <c r="MRG2" s="148"/>
      <c r="MRH2" s="148"/>
      <c r="MRI2" s="148"/>
      <c r="MRJ2" s="148"/>
      <c r="MRK2" s="148"/>
      <c r="MRL2" s="148"/>
      <c r="MRM2" s="148"/>
      <c r="MRN2" s="148"/>
      <c r="MRO2" s="148"/>
      <c r="MRP2" s="148"/>
      <c r="MRQ2" s="148"/>
      <c r="MRR2" s="148"/>
      <c r="MRS2" s="148"/>
      <c r="MRT2" s="148"/>
      <c r="MRU2" s="148"/>
      <c r="MRV2" s="148"/>
      <c r="MRW2" s="148"/>
      <c r="MRX2" s="148"/>
      <c r="MRY2" s="148"/>
      <c r="MRZ2" s="148"/>
      <c r="MSA2" s="148"/>
      <c r="MSB2" s="148"/>
      <c r="MSC2" s="148"/>
      <c r="MSD2" s="148"/>
      <c r="MSE2" s="148"/>
      <c r="MSF2" s="148"/>
      <c r="MSG2" s="148"/>
      <c r="MSH2" s="148"/>
      <c r="MSI2" s="148"/>
      <c r="MSJ2" s="148"/>
      <c r="MSK2" s="148"/>
      <c r="MSL2" s="148"/>
      <c r="MSM2" s="148"/>
      <c r="MSN2" s="148"/>
      <c r="MSO2" s="148"/>
      <c r="MSP2" s="148"/>
      <c r="MSQ2" s="148"/>
      <c r="MSR2" s="148"/>
      <c r="MSS2" s="148"/>
      <c r="MST2" s="148"/>
      <c r="MSU2" s="148"/>
      <c r="MSV2" s="148"/>
      <c r="MSW2" s="148"/>
      <c r="MSX2" s="148"/>
      <c r="MSY2" s="148"/>
      <c r="MSZ2" s="148"/>
      <c r="MTA2" s="148"/>
      <c r="MTB2" s="148"/>
      <c r="MTC2" s="148"/>
      <c r="MTD2" s="148"/>
      <c r="MTE2" s="148"/>
      <c r="MTF2" s="148"/>
      <c r="MTG2" s="148"/>
      <c r="MTH2" s="148"/>
      <c r="MTI2" s="148"/>
      <c r="MTJ2" s="148"/>
      <c r="MTK2" s="148"/>
      <c r="MTL2" s="148"/>
      <c r="MTM2" s="148"/>
      <c r="MTN2" s="148"/>
      <c r="MTO2" s="148"/>
      <c r="MTP2" s="148"/>
      <c r="MTQ2" s="148"/>
      <c r="MTR2" s="148"/>
      <c r="MTS2" s="148"/>
      <c r="MTT2" s="148"/>
      <c r="MTU2" s="148"/>
      <c r="MTV2" s="148"/>
      <c r="MTW2" s="148"/>
      <c r="MTX2" s="148"/>
      <c r="MTY2" s="148"/>
      <c r="MTZ2" s="148"/>
      <c r="MUA2" s="148"/>
      <c r="MUB2" s="148"/>
      <c r="MUC2" s="148"/>
      <c r="MUD2" s="148"/>
      <c r="MUE2" s="148"/>
      <c r="MUF2" s="148"/>
      <c r="MUG2" s="148"/>
      <c r="MUH2" s="148"/>
      <c r="MUI2" s="148"/>
      <c r="MUJ2" s="148"/>
      <c r="MUK2" s="148"/>
      <c r="MUL2" s="148"/>
      <c r="MUM2" s="148"/>
      <c r="MUN2" s="148"/>
      <c r="MUO2" s="148"/>
      <c r="MUP2" s="148"/>
      <c r="MUQ2" s="148"/>
      <c r="MUR2" s="148"/>
      <c r="MUS2" s="148"/>
      <c r="MUT2" s="148"/>
      <c r="MUU2" s="148"/>
      <c r="MUV2" s="148"/>
      <c r="MUW2" s="148"/>
      <c r="MUX2" s="148"/>
      <c r="MUY2" s="148"/>
      <c r="MUZ2" s="148"/>
      <c r="MVA2" s="148"/>
      <c r="MVB2" s="148"/>
      <c r="MVC2" s="148"/>
      <c r="MVD2" s="148"/>
      <c r="MVE2" s="148"/>
      <c r="MVF2" s="148"/>
      <c r="MVG2" s="148"/>
      <c r="MVH2" s="148"/>
      <c r="MVI2" s="148"/>
      <c r="MVJ2" s="148"/>
      <c r="MVK2" s="148"/>
      <c r="MVL2" s="148"/>
      <c r="MVM2" s="148"/>
      <c r="MVN2" s="148"/>
      <c r="MVO2" s="148"/>
      <c r="MVP2" s="148"/>
      <c r="MVQ2" s="148"/>
      <c r="MVR2" s="148"/>
      <c r="MVS2" s="148"/>
      <c r="MVT2" s="148"/>
      <c r="MVU2" s="148"/>
      <c r="MVV2" s="148"/>
      <c r="MVW2" s="148"/>
      <c r="MVX2" s="148"/>
      <c r="MVY2" s="148"/>
      <c r="MVZ2" s="148"/>
      <c r="MWA2" s="148"/>
      <c r="MWB2" s="148"/>
      <c r="MWC2" s="148"/>
      <c r="MWD2" s="148"/>
      <c r="MWE2" s="148"/>
      <c r="MWF2" s="148"/>
      <c r="MWG2" s="148"/>
      <c r="MWH2" s="148"/>
      <c r="MWI2" s="148"/>
      <c r="MWJ2" s="148"/>
      <c r="MWK2" s="148"/>
      <c r="MWL2" s="148"/>
      <c r="MWM2" s="148"/>
      <c r="MWN2" s="148"/>
      <c r="MWO2" s="148"/>
      <c r="MWP2" s="148"/>
      <c r="MWQ2" s="148"/>
      <c r="MWR2" s="148"/>
      <c r="MWS2" s="148"/>
      <c r="MWT2" s="148"/>
      <c r="MWU2" s="148"/>
      <c r="MWV2" s="148"/>
      <c r="MWW2" s="148"/>
      <c r="MWX2" s="148"/>
      <c r="MWY2" s="148"/>
      <c r="MWZ2" s="148"/>
      <c r="MXA2" s="148"/>
      <c r="MXB2" s="148"/>
      <c r="MXC2" s="148"/>
      <c r="MXD2" s="148"/>
      <c r="MXE2" s="148"/>
      <c r="MXF2" s="148"/>
      <c r="MXG2" s="148"/>
      <c r="MXH2" s="148"/>
      <c r="MXI2" s="148"/>
      <c r="MXJ2" s="148"/>
      <c r="MXK2" s="148"/>
      <c r="MXL2" s="148"/>
      <c r="MXM2" s="148"/>
      <c r="MXN2" s="148"/>
      <c r="MXO2" s="148"/>
      <c r="MXP2" s="148"/>
      <c r="MXQ2" s="148"/>
      <c r="MXR2" s="148"/>
      <c r="MXS2" s="148"/>
      <c r="MXT2" s="148"/>
      <c r="MXU2" s="148"/>
      <c r="MXV2" s="148"/>
      <c r="MXW2" s="148"/>
      <c r="MXX2" s="148"/>
      <c r="MXY2" s="148"/>
      <c r="MXZ2" s="148"/>
      <c r="MYA2" s="148"/>
      <c r="MYB2" s="148"/>
      <c r="MYC2" s="148"/>
      <c r="MYD2" s="148"/>
      <c r="MYE2" s="148"/>
      <c r="MYF2" s="148"/>
      <c r="MYG2" s="148"/>
      <c r="MYH2" s="148"/>
      <c r="MYI2" s="148"/>
      <c r="MYJ2" s="148"/>
      <c r="MYK2" s="148"/>
      <c r="MYL2" s="148"/>
      <c r="MYM2" s="148"/>
      <c r="MYN2" s="148"/>
      <c r="MYO2" s="148"/>
      <c r="MYP2" s="148"/>
      <c r="MYQ2" s="148"/>
      <c r="MYR2" s="148"/>
      <c r="MYS2" s="148"/>
      <c r="MYT2" s="148"/>
      <c r="MYU2" s="148"/>
      <c r="MYV2" s="148"/>
      <c r="MYW2" s="148"/>
      <c r="MYX2" s="148"/>
      <c r="MYY2" s="148"/>
      <c r="MYZ2" s="148"/>
      <c r="MZA2" s="148"/>
      <c r="MZB2" s="148"/>
      <c r="MZC2" s="148"/>
      <c r="MZD2" s="148"/>
      <c r="MZE2" s="148"/>
      <c r="MZF2" s="148"/>
      <c r="MZG2" s="148"/>
      <c r="MZH2" s="148"/>
      <c r="MZI2" s="148"/>
      <c r="MZJ2" s="148"/>
      <c r="MZK2" s="148"/>
      <c r="MZL2" s="148"/>
      <c r="MZM2" s="148"/>
      <c r="MZN2" s="148"/>
      <c r="MZO2" s="148"/>
      <c r="MZP2" s="148"/>
      <c r="MZQ2" s="148"/>
      <c r="MZR2" s="148"/>
      <c r="MZS2" s="148"/>
      <c r="MZT2" s="148"/>
      <c r="MZU2" s="148"/>
      <c r="MZV2" s="148"/>
      <c r="MZW2" s="148"/>
      <c r="MZX2" s="148"/>
      <c r="MZY2" s="148"/>
      <c r="MZZ2" s="148"/>
      <c r="NAA2" s="148"/>
      <c r="NAB2" s="148"/>
      <c r="NAC2" s="148"/>
      <c r="NAD2" s="148"/>
      <c r="NAE2" s="148"/>
      <c r="NAF2" s="148"/>
      <c r="NAG2" s="148"/>
      <c r="NAH2" s="148"/>
      <c r="NAI2" s="148"/>
      <c r="NAJ2" s="148"/>
      <c r="NAK2" s="148"/>
      <c r="NAL2" s="148"/>
      <c r="NAM2" s="148"/>
      <c r="NAN2" s="148"/>
      <c r="NAO2" s="148"/>
      <c r="NAP2" s="148"/>
      <c r="NAQ2" s="148"/>
      <c r="NAR2" s="148"/>
      <c r="NAS2" s="148"/>
      <c r="NAT2" s="148"/>
      <c r="NAU2" s="148"/>
      <c r="NAV2" s="148"/>
      <c r="NAW2" s="148"/>
      <c r="NAX2" s="148"/>
      <c r="NAY2" s="148"/>
      <c r="NAZ2" s="148"/>
      <c r="NBA2" s="148"/>
      <c r="NBB2" s="148"/>
      <c r="NBC2" s="148"/>
      <c r="NBD2" s="148"/>
      <c r="NBE2" s="148"/>
      <c r="NBF2" s="148"/>
      <c r="NBG2" s="148"/>
      <c r="NBH2" s="148"/>
      <c r="NBI2" s="148"/>
      <c r="NBJ2" s="148"/>
      <c r="NBK2" s="148"/>
      <c r="NBL2" s="148"/>
      <c r="NBM2" s="148"/>
      <c r="NBN2" s="148"/>
      <c r="NBO2" s="148"/>
      <c r="NBP2" s="148"/>
      <c r="NBQ2" s="148"/>
      <c r="NBR2" s="148"/>
      <c r="NBS2" s="148"/>
      <c r="NBT2" s="148"/>
      <c r="NBU2" s="148"/>
      <c r="NBV2" s="148"/>
      <c r="NBW2" s="148"/>
      <c r="NBX2" s="148"/>
      <c r="NBY2" s="148"/>
      <c r="NBZ2" s="148"/>
      <c r="NCA2" s="148"/>
      <c r="NCB2" s="148"/>
      <c r="NCC2" s="148"/>
      <c r="NCD2" s="148"/>
      <c r="NCE2" s="148"/>
      <c r="NCF2" s="148"/>
      <c r="NCG2" s="148"/>
      <c r="NCH2" s="148"/>
      <c r="NCI2" s="148"/>
      <c r="NCJ2" s="148"/>
      <c r="NCK2" s="148"/>
      <c r="NCL2" s="148"/>
      <c r="NCM2" s="148"/>
      <c r="NCN2" s="148"/>
      <c r="NCO2" s="148"/>
      <c r="NCP2" s="148"/>
      <c r="NCQ2" s="148"/>
      <c r="NCR2" s="148"/>
      <c r="NCS2" s="148"/>
      <c r="NCT2" s="148"/>
      <c r="NCU2" s="148"/>
      <c r="NCV2" s="148"/>
      <c r="NCW2" s="148"/>
      <c r="NCX2" s="148"/>
      <c r="NCY2" s="148"/>
      <c r="NCZ2" s="148"/>
      <c r="NDA2" s="148"/>
      <c r="NDB2" s="148"/>
      <c r="NDC2" s="148"/>
      <c r="NDD2" s="148"/>
      <c r="NDE2" s="148"/>
      <c r="NDF2" s="148"/>
      <c r="NDG2" s="148"/>
      <c r="NDH2" s="148"/>
      <c r="NDI2" s="148"/>
      <c r="NDJ2" s="148"/>
      <c r="NDK2" s="148"/>
      <c r="NDL2" s="148"/>
      <c r="NDM2" s="148"/>
      <c r="NDN2" s="148"/>
      <c r="NDO2" s="148"/>
      <c r="NDP2" s="148"/>
      <c r="NDQ2" s="148"/>
      <c r="NDR2" s="148"/>
      <c r="NDS2" s="148"/>
      <c r="NDT2" s="148"/>
      <c r="NDU2" s="148"/>
      <c r="NDV2" s="148"/>
      <c r="NDW2" s="148"/>
      <c r="NDX2" s="148"/>
      <c r="NDY2" s="148"/>
      <c r="NDZ2" s="148"/>
      <c r="NEA2" s="148"/>
      <c r="NEB2" s="148"/>
      <c r="NEC2" s="148"/>
      <c r="NED2" s="148"/>
      <c r="NEE2" s="148"/>
      <c r="NEF2" s="148"/>
      <c r="NEG2" s="148"/>
      <c r="NEH2" s="148"/>
      <c r="NEI2" s="148"/>
      <c r="NEJ2" s="148"/>
      <c r="NEK2" s="148"/>
      <c r="NEL2" s="148"/>
      <c r="NEM2" s="148"/>
      <c r="NEN2" s="148"/>
      <c r="NEO2" s="148"/>
      <c r="NEP2" s="148"/>
      <c r="NEQ2" s="148"/>
      <c r="NER2" s="148"/>
      <c r="NES2" s="148"/>
      <c r="NET2" s="148"/>
      <c r="NEU2" s="148"/>
      <c r="NEV2" s="148"/>
      <c r="NEW2" s="148"/>
      <c r="NEX2" s="148"/>
      <c r="NEY2" s="148"/>
      <c r="NEZ2" s="148"/>
      <c r="NFA2" s="148"/>
      <c r="NFB2" s="148"/>
      <c r="NFC2" s="148"/>
      <c r="NFD2" s="148"/>
      <c r="NFE2" s="148"/>
      <c r="NFF2" s="148"/>
      <c r="NFG2" s="148"/>
      <c r="NFH2" s="148"/>
      <c r="NFI2" s="148"/>
      <c r="NFJ2" s="148"/>
      <c r="NFK2" s="148"/>
      <c r="NFL2" s="148"/>
      <c r="NFM2" s="148"/>
      <c r="NFN2" s="148"/>
      <c r="NFO2" s="148"/>
      <c r="NFP2" s="148"/>
      <c r="NFQ2" s="148"/>
      <c r="NFR2" s="148"/>
      <c r="NFS2" s="148"/>
      <c r="NFT2" s="148"/>
      <c r="NFU2" s="148"/>
      <c r="NFV2" s="148"/>
      <c r="NFW2" s="148"/>
      <c r="NFX2" s="148"/>
      <c r="NFY2" s="148"/>
      <c r="NFZ2" s="148"/>
      <c r="NGA2" s="148"/>
      <c r="NGB2" s="148"/>
      <c r="NGC2" s="148"/>
      <c r="NGD2" s="148"/>
      <c r="NGE2" s="148"/>
      <c r="NGF2" s="148"/>
      <c r="NGG2" s="148"/>
      <c r="NGH2" s="148"/>
      <c r="NGI2" s="148"/>
      <c r="NGJ2" s="148"/>
      <c r="NGK2" s="148"/>
      <c r="NGL2" s="148"/>
      <c r="NGM2" s="148"/>
      <c r="NGN2" s="148"/>
      <c r="NGO2" s="148"/>
      <c r="NGP2" s="148"/>
      <c r="NGQ2" s="148"/>
      <c r="NGR2" s="148"/>
      <c r="NGS2" s="148"/>
      <c r="NGT2" s="148"/>
      <c r="NGU2" s="148"/>
      <c r="NGV2" s="148"/>
      <c r="NGW2" s="148"/>
      <c r="NGX2" s="148"/>
      <c r="NGY2" s="148"/>
      <c r="NGZ2" s="148"/>
      <c r="NHA2" s="148"/>
      <c r="NHB2" s="148"/>
      <c r="NHC2" s="148"/>
      <c r="NHD2" s="148"/>
      <c r="NHE2" s="148"/>
      <c r="NHF2" s="148"/>
      <c r="NHG2" s="148"/>
      <c r="NHH2" s="148"/>
      <c r="NHI2" s="148"/>
      <c r="NHJ2" s="148"/>
      <c r="NHK2" s="148"/>
      <c r="NHL2" s="148"/>
      <c r="NHM2" s="148"/>
      <c r="NHN2" s="148"/>
      <c r="NHO2" s="148"/>
      <c r="NHP2" s="148"/>
      <c r="NHQ2" s="148"/>
      <c r="NHR2" s="148"/>
      <c r="NHS2" s="148"/>
      <c r="NHT2" s="148"/>
      <c r="NHU2" s="148"/>
      <c r="NHV2" s="148"/>
      <c r="NHW2" s="148"/>
      <c r="NHX2" s="148"/>
      <c r="NHY2" s="148"/>
      <c r="NHZ2" s="148"/>
      <c r="NIA2" s="148"/>
      <c r="NIB2" s="148"/>
      <c r="NIC2" s="148"/>
      <c r="NID2" s="148"/>
      <c r="NIE2" s="148"/>
      <c r="NIF2" s="148"/>
      <c r="NIG2" s="148"/>
      <c r="NIH2" s="148"/>
      <c r="NII2" s="148"/>
      <c r="NIJ2" s="148"/>
      <c r="NIK2" s="148"/>
      <c r="NIL2" s="148"/>
      <c r="NIM2" s="148"/>
      <c r="NIN2" s="148"/>
      <c r="NIO2" s="148"/>
      <c r="NIP2" s="148"/>
      <c r="NIQ2" s="148"/>
      <c r="NIR2" s="148"/>
      <c r="NIS2" s="148"/>
      <c r="NIT2" s="148"/>
      <c r="NIU2" s="148"/>
      <c r="NIV2" s="148"/>
      <c r="NIW2" s="148"/>
      <c r="NIX2" s="148"/>
      <c r="NIY2" s="148"/>
      <c r="NIZ2" s="148"/>
      <c r="NJA2" s="148"/>
      <c r="NJB2" s="148"/>
      <c r="NJC2" s="148"/>
      <c r="NJD2" s="148"/>
      <c r="NJE2" s="148"/>
      <c r="NJF2" s="148"/>
      <c r="NJG2" s="148"/>
      <c r="NJH2" s="148"/>
      <c r="NJI2" s="148"/>
      <c r="NJJ2" s="148"/>
      <c r="NJK2" s="148"/>
      <c r="NJL2" s="148"/>
      <c r="NJM2" s="148"/>
      <c r="NJN2" s="148"/>
      <c r="NJO2" s="148"/>
      <c r="NJP2" s="148"/>
      <c r="NJQ2" s="148"/>
      <c r="NJR2" s="148"/>
      <c r="NJS2" s="148"/>
      <c r="NJT2" s="148"/>
      <c r="NJU2" s="148"/>
      <c r="NJV2" s="148"/>
      <c r="NJW2" s="148"/>
      <c r="NJX2" s="148"/>
      <c r="NJY2" s="148"/>
      <c r="NJZ2" s="148"/>
      <c r="NKA2" s="148"/>
      <c r="NKB2" s="148"/>
      <c r="NKC2" s="148"/>
      <c r="NKD2" s="148"/>
      <c r="NKE2" s="148"/>
      <c r="NKF2" s="148"/>
      <c r="NKG2" s="148"/>
      <c r="NKH2" s="148"/>
      <c r="NKI2" s="148"/>
      <c r="NKJ2" s="148"/>
      <c r="NKK2" s="148"/>
      <c r="NKL2" s="148"/>
      <c r="NKM2" s="148"/>
      <c r="NKN2" s="148"/>
      <c r="NKO2" s="148"/>
      <c r="NKP2" s="148"/>
      <c r="NKQ2" s="148"/>
      <c r="NKR2" s="148"/>
      <c r="NKS2" s="148"/>
      <c r="NKT2" s="148"/>
      <c r="NKU2" s="148"/>
      <c r="NKV2" s="148"/>
      <c r="NKW2" s="148"/>
      <c r="NKX2" s="148"/>
      <c r="NKY2" s="148"/>
      <c r="NKZ2" s="148"/>
      <c r="NLA2" s="148"/>
      <c r="NLB2" s="148"/>
      <c r="NLC2" s="148"/>
      <c r="NLD2" s="148"/>
      <c r="NLE2" s="148"/>
      <c r="NLF2" s="148"/>
      <c r="NLG2" s="148"/>
      <c r="NLH2" s="148"/>
      <c r="NLI2" s="148"/>
      <c r="NLJ2" s="148"/>
      <c r="NLK2" s="148"/>
      <c r="NLL2" s="148"/>
      <c r="NLM2" s="148"/>
      <c r="NLN2" s="148"/>
      <c r="NLO2" s="148"/>
      <c r="NLP2" s="148"/>
      <c r="NLQ2" s="148"/>
      <c r="NLR2" s="148"/>
      <c r="NLS2" s="148"/>
      <c r="NLT2" s="148"/>
      <c r="NLU2" s="148"/>
      <c r="NLV2" s="148"/>
      <c r="NLW2" s="148"/>
      <c r="NLX2" s="148"/>
      <c r="NLY2" s="148"/>
      <c r="NLZ2" s="148"/>
      <c r="NMA2" s="148"/>
      <c r="NMB2" s="148"/>
      <c r="NMC2" s="148"/>
      <c r="NMD2" s="148"/>
      <c r="NME2" s="148"/>
      <c r="NMF2" s="148"/>
      <c r="NMG2" s="148"/>
      <c r="NMH2" s="148"/>
      <c r="NMI2" s="148"/>
      <c r="NMJ2" s="148"/>
      <c r="NMK2" s="148"/>
      <c r="NML2" s="148"/>
      <c r="NMM2" s="148"/>
      <c r="NMN2" s="148"/>
      <c r="NMO2" s="148"/>
      <c r="NMP2" s="148"/>
      <c r="NMQ2" s="148"/>
      <c r="NMR2" s="148"/>
      <c r="NMS2" s="148"/>
      <c r="NMT2" s="148"/>
      <c r="NMU2" s="148"/>
      <c r="NMV2" s="148"/>
      <c r="NMW2" s="148"/>
      <c r="NMX2" s="148"/>
      <c r="NMY2" s="148"/>
      <c r="NMZ2" s="148"/>
      <c r="NNA2" s="148"/>
      <c r="NNB2" s="148"/>
      <c r="NNC2" s="148"/>
      <c r="NND2" s="148"/>
      <c r="NNE2" s="148"/>
      <c r="NNF2" s="148"/>
      <c r="NNG2" s="148"/>
      <c r="NNH2" s="148"/>
      <c r="NNI2" s="148"/>
      <c r="NNJ2" s="148"/>
      <c r="NNK2" s="148"/>
      <c r="NNL2" s="148"/>
      <c r="NNM2" s="148"/>
      <c r="NNN2" s="148"/>
      <c r="NNO2" s="148"/>
      <c r="NNP2" s="148"/>
      <c r="NNQ2" s="148"/>
      <c r="NNR2" s="148"/>
      <c r="NNS2" s="148"/>
      <c r="NNT2" s="148"/>
      <c r="NNU2" s="148"/>
      <c r="NNV2" s="148"/>
      <c r="NNW2" s="148"/>
      <c r="NNX2" s="148"/>
      <c r="NNY2" s="148"/>
      <c r="NNZ2" s="148"/>
      <c r="NOA2" s="148"/>
      <c r="NOB2" s="148"/>
      <c r="NOC2" s="148"/>
      <c r="NOD2" s="148"/>
      <c r="NOE2" s="148"/>
      <c r="NOF2" s="148"/>
      <c r="NOG2" s="148"/>
      <c r="NOH2" s="148"/>
      <c r="NOI2" s="148"/>
      <c r="NOJ2" s="148"/>
      <c r="NOK2" s="148"/>
      <c r="NOL2" s="148"/>
      <c r="NOM2" s="148"/>
      <c r="NON2" s="148"/>
      <c r="NOO2" s="148"/>
      <c r="NOP2" s="148"/>
      <c r="NOQ2" s="148"/>
      <c r="NOR2" s="148"/>
      <c r="NOS2" s="148"/>
      <c r="NOT2" s="148"/>
      <c r="NOU2" s="148"/>
      <c r="NOV2" s="148"/>
      <c r="NOW2" s="148"/>
      <c r="NOX2" s="148"/>
      <c r="NOY2" s="148"/>
      <c r="NOZ2" s="148"/>
      <c r="NPA2" s="148"/>
      <c r="NPB2" s="148"/>
      <c r="NPC2" s="148"/>
      <c r="NPD2" s="148"/>
      <c r="NPE2" s="148"/>
      <c r="NPF2" s="148"/>
      <c r="NPG2" s="148"/>
      <c r="NPH2" s="148"/>
      <c r="NPI2" s="148"/>
      <c r="NPJ2" s="148"/>
      <c r="NPK2" s="148"/>
      <c r="NPL2" s="148"/>
      <c r="NPM2" s="148"/>
      <c r="NPN2" s="148"/>
      <c r="NPO2" s="148"/>
      <c r="NPP2" s="148"/>
      <c r="NPQ2" s="148"/>
      <c r="NPR2" s="148"/>
      <c r="NPS2" s="148"/>
      <c r="NPT2" s="148"/>
      <c r="NPU2" s="148"/>
      <c r="NPV2" s="148"/>
      <c r="NPW2" s="148"/>
      <c r="NPX2" s="148"/>
      <c r="NPY2" s="148"/>
      <c r="NPZ2" s="148"/>
      <c r="NQA2" s="148"/>
      <c r="NQB2" s="148"/>
      <c r="NQC2" s="148"/>
      <c r="NQD2" s="148"/>
      <c r="NQE2" s="148"/>
      <c r="NQF2" s="148"/>
      <c r="NQG2" s="148"/>
      <c r="NQH2" s="148"/>
      <c r="NQI2" s="148"/>
      <c r="NQJ2" s="148"/>
      <c r="NQK2" s="148"/>
      <c r="NQL2" s="148"/>
      <c r="NQM2" s="148"/>
      <c r="NQN2" s="148"/>
      <c r="NQO2" s="148"/>
      <c r="NQP2" s="148"/>
      <c r="NQQ2" s="148"/>
      <c r="NQR2" s="148"/>
      <c r="NQS2" s="148"/>
      <c r="NQT2" s="148"/>
      <c r="NQU2" s="148"/>
      <c r="NQV2" s="148"/>
      <c r="NQW2" s="148"/>
      <c r="NQX2" s="148"/>
      <c r="NQY2" s="148"/>
      <c r="NQZ2" s="148"/>
      <c r="NRA2" s="148"/>
      <c r="NRB2" s="148"/>
      <c r="NRC2" s="148"/>
      <c r="NRD2" s="148"/>
      <c r="NRE2" s="148"/>
      <c r="NRF2" s="148"/>
      <c r="NRG2" s="148"/>
      <c r="NRH2" s="148"/>
      <c r="NRI2" s="148"/>
      <c r="NRJ2" s="148"/>
      <c r="NRK2" s="148"/>
      <c r="NRL2" s="148"/>
      <c r="NRM2" s="148"/>
      <c r="NRN2" s="148"/>
      <c r="NRO2" s="148"/>
      <c r="NRP2" s="148"/>
      <c r="NRQ2" s="148"/>
      <c r="NRR2" s="148"/>
      <c r="NRS2" s="148"/>
      <c r="NRT2" s="148"/>
      <c r="NRU2" s="148"/>
      <c r="NRV2" s="148"/>
      <c r="NRW2" s="148"/>
      <c r="NRX2" s="148"/>
      <c r="NRY2" s="148"/>
      <c r="NRZ2" s="148"/>
      <c r="NSA2" s="148"/>
      <c r="NSB2" s="148"/>
      <c r="NSC2" s="148"/>
      <c r="NSD2" s="148"/>
      <c r="NSE2" s="148"/>
      <c r="NSF2" s="148"/>
      <c r="NSG2" s="148"/>
      <c r="NSH2" s="148"/>
      <c r="NSI2" s="148"/>
      <c r="NSJ2" s="148"/>
      <c r="NSK2" s="148"/>
      <c r="NSL2" s="148"/>
      <c r="NSM2" s="148"/>
      <c r="NSN2" s="148"/>
      <c r="NSO2" s="148"/>
      <c r="NSP2" s="148"/>
      <c r="NSQ2" s="148"/>
      <c r="NSR2" s="148"/>
      <c r="NSS2" s="148"/>
      <c r="NST2" s="148"/>
      <c r="NSU2" s="148"/>
      <c r="NSV2" s="148"/>
      <c r="NSW2" s="148"/>
      <c r="NSX2" s="148"/>
      <c r="NSY2" s="148"/>
      <c r="NSZ2" s="148"/>
      <c r="NTA2" s="148"/>
      <c r="NTB2" s="148"/>
      <c r="NTC2" s="148"/>
      <c r="NTD2" s="148"/>
      <c r="NTE2" s="148"/>
      <c r="NTF2" s="148"/>
      <c r="NTG2" s="148"/>
      <c r="NTH2" s="148"/>
      <c r="NTI2" s="148"/>
      <c r="NTJ2" s="148"/>
      <c r="NTK2" s="148"/>
      <c r="NTL2" s="148"/>
      <c r="NTM2" s="148"/>
      <c r="NTN2" s="148"/>
      <c r="NTO2" s="148"/>
      <c r="NTP2" s="148"/>
      <c r="NTQ2" s="148"/>
      <c r="NTR2" s="148"/>
      <c r="NTS2" s="148"/>
      <c r="NTT2" s="148"/>
      <c r="NTU2" s="148"/>
      <c r="NTV2" s="148"/>
      <c r="NTW2" s="148"/>
      <c r="NTX2" s="148"/>
      <c r="NTY2" s="148"/>
      <c r="NTZ2" s="148"/>
      <c r="NUA2" s="148"/>
      <c r="NUB2" s="148"/>
      <c r="NUC2" s="148"/>
      <c r="NUD2" s="148"/>
      <c r="NUE2" s="148"/>
      <c r="NUF2" s="148"/>
      <c r="NUG2" s="148"/>
      <c r="NUH2" s="148"/>
      <c r="NUI2" s="148"/>
      <c r="NUJ2" s="148"/>
      <c r="NUK2" s="148"/>
      <c r="NUL2" s="148"/>
      <c r="NUM2" s="148"/>
      <c r="NUN2" s="148"/>
      <c r="NUO2" s="148"/>
      <c r="NUP2" s="148"/>
      <c r="NUQ2" s="148"/>
      <c r="NUR2" s="148"/>
      <c r="NUS2" s="148"/>
      <c r="NUT2" s="148"/>
      <c r="NUU2" s="148"/>
      <c r="NUV2" s="148"/>
      <c r="NUW2" s="148"/>
      <c r="NUX2" s="148"/>
      <c r="NUY2" s="148"/>
      <c r="NUZ2" s="148"/>
      <c r="NVA2" s="148"/>
      <c r="NVB2" s="148"/>
      <c r="NVC2" s="148"/>
      <c r="NVD2" s="148"/>
      <c r="NVE2" s="148"/>
      <c r="NVF2" s="148"/>
      <c r="NVG2" s="148"/>
      <c r="NVH2" s="148"/>
      <c r="NVI2" s="148"/>
      <c r="NVJ2" s="148"/>
      <c r="NVK2" s="148"/>
      <c r="NVL2" s="148"/>
      <c r="NVM2" s="148"/>
      <c r="NVN2" s="148"/>
      <c r="NVO2" s="148"/>
      <c r="NVP2" s="148"/>
      <c r="NVQ2" s="148"/>
      <c r="NVR2" s="148"/>
      <c r="NVS2" s="148"/>
      <c r="NVT2" s="148"/>
      <c r="NVU2" s="148"/>
      <c r="NVV2" s="148"/>
      <c r="NVW2" s="148"/>
      <c r="NVX2" s="148"/>
      <c r="NVY2" s="148"/>
      <c r="NVZ2" s="148"/>
      <c r="NWA2" s="148"/>
      <c r="NWB2" s="148"/>
      <c r="NWC2" s="148"/>
      <c r="NWD2" s="148"/>
      <c r="NWE2" s="148"/>
      <c r="NWF2" s="148"/>
      <c r="NWG2" s="148"/>
      <c r="NWH2" s="148"/>
      <c r="NWI2" s="148"/>
      <c r="NWJ2" s="148"/>
      <c r="NWK2" s="148"/>
      <c r="NWL2" s="148"/>
      <c r="NWM2" s="148"/>
      <c r="NWN2" s="148"/>
      <c r="NWO2" s="148"/>
      <c r="NWP2" s="148"/>
      <c r="NWQ2" s="148"/>
      <c r="NWR2" s="148"/>
      <c r="NWS2" s="148"/>
      <c r="NWT2" s="148"/>
      <c r="NWU2" s="148"/>
      <c r="NWV2" s="148"/>
      <c r="NWW2" s="148"/>
      <c r="NWX2" s="148"/>
      <c r="NWY2" s="148"/>
      <c r="NWZ2" s="148"/>
      <c r="NXA2" s="148"/>
      <c r="NXB2" s="148"/>
      <c r="NXC2" s="148"/>
      <c r="NXD2" s="148"/>
      <c r="NXE2" s="148"/>
      <c r="NXF2" s="148"/>
      <c r="NXG2" s="148"/>
      <c r="NXH2" s="148"/>
      <c r="NXI2" s="148"/>
      <c r="NXJ2" s="148"/>
      <c r="NXK2" s="148"/>
      <c r="NXL2" s="148"/>
      <c r="NXM2" s="148"/>
      <c r="NXN2" s="148"/>
      <c r="NXO2" s="148"/>
      <c r="NXP2" s="148"/>
      <c r="NXQ2" s="148"/>
      <c r="NXR2" s="148"/>
      <c r="NXS2" s="148"/>
      <c r="NXT2" s="148"/>
      <c r="NXU2" s="148"/>
      <c r="NXV2" s="148"/>
      <c r="NXW2" s="148"/>
      <c r="NXX2" s="148"/>
      <c r="NXY2" s="148"/>
      <c r="NXZ2" s="148"/>
      <c r="NYA2" s="148"/>
      <c r="NYB2" s="148"/>
      <c r="NYC2" s="148"/>
      <c r="NYD2" s="148"/>
      <c r="NYE2" s="148"/>
      <c r="NYF2" s="148"/>
      <c r="NYG2" s="148"/>
      <c r="NYH2" s="148"/>
      <c r="NYI2" s="148"/>
      <c r="NYJ2" s="148"/>
      <c r="NYK2" s="148"/>
      <c r="NYL2" s="148"/>
      <c r="NYM2" s="148"/>
      <c r="NYN2" s="148"/>
      <c r="NYO2" s="148"/>
      <c r="NYP2" s="148"/>
      <c r="NYQ2" s="148"/>
      <c r="NYR2" s="148"/>
      <c r="NYS2" s="148"/>
      <c r="NYT2" s="148"/>
      <c r="NYU2" s="148"/>
      <c r="NYV2" s="148"/>
      <c r="NYW2" s="148"/>
      <c r="NYX2" s="148"/>
      <c r="NYY2" s="148"/>
      <c r="NYZ2" s="148"/>
      <c r="NZA2" s="148"/>
      <c r="NZB2" s="148"/>
      <c r="NZC2" s="148"/>
      <c r="NZD2" s="148"/>
      <c r="NZE2" s="148"/>
      <c r="NZF2" s="148"/>
      <c r="NZG2" s="148"/>
      <c r="NZH2" s="148"/>
      <c r="NZI2" s="148"/>
      <c r="NZJ2" s="148"/>
      <c r="NZK2" s="148"/>
      <c r="NZL2" s="148"/>
      <c r="NZM2" s="148"/>
      <c r="NZN2" s="148"/>
      <c r="NZO2" s="148"/>
      <c r="NZP2" s="148"/>
      <c r="NZQ2" s="148"/>
      <c r="NZR2" s="148"/>
      <c r="NZS2" s="148"/>
      <c r="NZT2" s="148"/>
      <c r="NZU2" s="148"/>
      <c r="NZV2" s="148"/>
      <c r="NZW2" s="148"/>
      <c r="NZX2" s="148"/>
      <c r="NZY2" s="148"/>
      <c r="NZZ2" s="148"/>
      <c r="OAA2" s="148"/>
      <c r="OAB2" s="148"/>
      <c r="OAC2" s="148"/>
      <c r="OAD2" s="148"/>
      <c r="OAE2" s="148"/>
      <c r="OAF2" s="148"/>
      <c r="OAG2" s="148"/>
      <c r="OAH2" s="148"/>
      <c r="OAI2" s="148"/>
      <c r="OAJ2" s="148"/>
      <c r="OAK2" s="148"/>
      <c r="OAL2" s="148"/>
      <c r="OAM2" s="148"/>
      <c r="OAN2" s="148"/>
      <c r="OAO2" s="148"/>
      <c r="OAP2" s="148"/>
      <c r="OAQ2" s="148"/>
      <c r="OAR2" s="148"/>
      <c r="OAS2" s="148"/>
      <c r="OAT2" s="148"/>
      <c r="OAU2" s="148"/>
      <c r="OAV2" s="148"/>
      <c r="OAW2" s="148"/>
      <c r="OAX2" s="148"/>
      <c r="OAY2" s="148"/>
      <c r="OAZ2" s="148"/>
      <c r="OBA2" s="148"/>
      <c r="OBB2" s="148"/>
      <c r="OBC2" s="148"/>
      <c r="OBD2" s="148"/>
      <c r="OBE2" s="148"/>
      <c r="OBF2" s="148"/>
      <c r="OBG2" s="148"/>
      <c r="OBH2" s="148"/>
      <c r="OBI2" s="148"/>
      <c r="OBJ2" s="148"/>
      <c r="OBK2" s="148"/>
      <c r="OBL2" s="148"/>
      <c r="OBM2" s="148"/>
      <c r="OBN2" s="148"/>
      <c r="OBO2" s="148"/>
      <c r="OBP2" s="148"/>
      <c r="OBQ2" s="148"/>
      <c r="OBR2" s="148"/>
      <c r="OBS2" s="148"/>
      <c r="OBT2" s="148"/>
      <c r="OBU2" s="148"/>
      <c r="OBV2" s="148"/>
      <c r="OBW2" s="148"/>
      <c r="OBX2" s="148"/>
      <c r="OBY2" s="148"/>
      <c r="OBZ2" s="148"/>
      <c r="OCA2" s="148"/>
      <c r="OCB2" s="148"/>
      <c r="OCC2" s="148"/>
      <c r="OCD2" s="148"/>
      <c r="OCE2" s="148"/>
      <c r="OCF2" s="148"/>
      <c r="OCG2" s="148"/>
      <c r="OCH2" s="148"/>
      <c r="OCI2" s="148"/>
      <c r="OCJ2" s="148"/>
      <c r="OCK2" s="148"/>
      <c r="OCL2" s="148"/>
      <c r="OCM2" s="148"/>
      <c r="OCN2" s="148"/>
      <c r="OCO2" s="148"/>
      <c r="OCP2" s="148"/>
      <c r="OCQ2" s="148"/>
      <c r="OCR2" s="148"/>
      <c r="OCS2" s="148"/>
      <c r="OCT2" s="148"/>
      <c r="OCU2" s="148"/>
      <c r="OCV2" s="148"/>
      <c r="OCW2" s="148"/>
      <c r="OCX2" s="148"/>
      <c r="OCY2" s="148"/>
      <c r="OCZ2" s="148"/>
      <c r="ODA2" s="148"/>
      <c r="ODB2" s="148"/>
      <c r="ODC2" s="148"/>
      <c r="ODD2" s="148"/>
      <c r="ODE2" s="148"/>
      <c r="ODF2" s="148"/>
      <c r="ODG2" s="148"/>
      <c r="ODH2" s="148"/>
      <c r="ODI2" s="148"/>
      <c r="ODJ2" s="148"/>
      <c r="ODK2" s="148"/>
      <c r="ODL2" s="148"/>
      <c r="ODM2" s="148"/>
      <c r="ODN2" s="148"/>
      <c r="ODO2" s="148"/>
      <c r="ODP2" s="148"/>
      <c r="ODQ2" s="148"/>
      <c r="ODR2" s="148"/>
      <c r="ODS2" s="148"/>
      <c r="ODT2" s="148"/>
      <c r="ODU2" s="148"/>
      <c r="ODV2" s="148"/>
      <c r="ODW2" s="148"/>
      <c r="ODX2" s="148"/>
      <c r="ODY2" s="148"/>
      <c r="ODZ2" s="148"/>
      <c r="OEA2" s="148"/>
      <c r="OEB2" s="148"/>
      <c r="OEC2" s="148"/>
      <c r="OED2" s="148"/>
      <c r="OEE2" s="148"/>
      <c r="OEF2" s="148"/>
      <c r="OEG2" s="148"/>
      <c r="OEH2" s="148"/>
      <c r="OEI2" s="148"/>
      <c r="OEJ2" s="148"/>
      <c r="OEK2" s="148"/>
      <c r="OEL2" s="148"/>
      <c r="OEM2" s="148"/>
      <c r="OEN2" s="148"/>
      <c r="OEO2" s="148"/>
      <c r="OEP2" s="148"/>
      <c r="OEQ2" s="148"/>
      <c r="OER2" s="148"/>
      <c r="OES2" s="148"/>
      <c r="OET2" s="148"/>
      <c r="OEU2" s="148"/>
      <c r="OEV2" s="148"/>
      <c r="OEW2" s="148"/>
      <c r="OEX2" s="148"/>
      <c r="OEY2" s="148"/>
      <c r="OEZ2" s="148"/>
      <c r="OFA2" s="148"/>
      <c r="OFB2" s="148"/>
      <c r="OFC2" s="148"/>
      <c r="OFD2" s="148"/>
      <c r="OFE2" s="148"/>
      <c r="OFF2" s="148"/>
      <c r="OFG2" s="148"/>
      <c r="OFH2" s="148"/>
      <c r="OFI2" s="148"/>
      <c r="OFJ2" s="148"/>
      <c r="OFK2" s="148"/>
      <c r="OFL2" s="148"/>
      <c r="OFM2" s="148"/>
      <c r="OFN2" s="148"/>
      <c r="OFO2" s="148"/>
      <c r="OFP2" s="148"/>
      <c r="OFQ2" s="148"/>
      <c r="OFR2" s="148"/>
      <c r="OFS2" s="148"/>
      <c r="OFT2" s="148"/>
      <c r="OFU2" s="148"/>
      <c r="OFV2" s="148"/>
      <c r="OFW2" s="148"/>
      <c r="OFX2" s="148"/>
      <c r="OFY2" s="148"/>
      <c r="OFZ2" s="148"/>
      <c r="OGA2" s="148"/>
      <c r="OGB2" s="148"/>
      <c r="OGC2" s="148"/>
      <c r="OGD2" s="148"/>
      <c r="OGE2" s="148"/>
      <c r="OGF2" s="148"/>
      <c r="OGG2" s="148"/>
      <c r="OGH2" s="148"/>
      <c r="OGI2" s="148"/>
      <c r="OGJ2" s="148"/>
      <c r="OGK2" s="148"/>
      <c r="OGL2" s="148"/>
      <c r="OGM2" s="148"/>
      <c r="OGN2" s="148"/>
      <c r="OGO2" s="148"/>
      <c r="OGP2" s="148"/>
      <c r="OGQ2" s="148"/>
      <c r="OGR2" s="148"/>
      <c r="OGS2" s="148"/>
      <c r="OGT2" s="148"/>
      <c r="OGU2" s="148"/>
      <c r="OGV2" s="148"/>
      <c r="OGW2" s="148"/>
      <c r="OGX2" s="148"/>
      <c r="OGY2" s="148"/>
      <c r="OGZ2" s="148"/>
      <c r="OHA2" s="148"/>
      <c r="OHB2" s="148"/>
      <c r="OHC2" s="148"/>
      <c r="OHD2" s="148"/>
      <c r="OHE2" s="148"/>
      <c r="OHF2" s="148"/>
      <c r="OHG2" s="148"/>
      <c r="OHH2" s="148"/>
      <c r="OHI2" s="148"/>
      <c r="OHJ2" s="148"/>
      <c r="OHK2" s="148"/>
      <c r="OHL2" s="148"/>
      <c r="OHM2" s="148"/>
      <c r="OHN2" s="148"/>
      <c r="OHO2" s="148"/>
      <c r="OHP2" s="148"/>
      <c r="OHQ2" s="148"/>
      <c r="OHR2" s="148"/>
      <c r="OHS2" s="148"/>
      <c r="OHT2" s="148"/>
      <c r="OHU2" s="148"/>
      <c r="OHV2" s="148"/>
      <c r="OHW2" s="148"/>
      <c r="OHX2" s="148"/>
      <c r="OHY2" s="148"/>
      <c r="OHZ2" s="148"/>
      <c r="OIA2" s="148"/>
      <c r="OIB2" s="148"/>
      <c r="OIC2" s="148"/>
      <c r="OID2" s="148"/>
      <c r="OIE2" s="148"/>
      <c r="OIF2" s="148"/>
      <c r="OIG2" s="148"/>
      <c r="OIH2" s="148"/>
      <c r="OII2" s="148"/>
      <c r="OIJ2" s="148"/>
      <c r="OIK2" s="148"/>
      <c r="OIL2" s="148"/>
      <c r="OIM2" s="148"/>
      <c r="OIN2" s="148"/>
      <c r="OIO2" s="148"/>
      <c r="OIP2" s="148"/>
      <c r="OIQ2" s="148"/>
      <c r="OIR2" s="148"/>
      <c r="OIS2" s="148"/>
      <c r="OIT2" s="148"/>
      <c r="OIU2" s="148"/>
      <c r="OIV2" s="148"/>
      <c r="OIW2" s="148"/>
      <c r="OIX2" s="148"/>
      <c r="OIY2" s="148"/>
      <c r="OIZ2" s="148"/>
      <c r="OJA2" s="148"/>
      <c r="OJB2" s="148"/>
      <c r="OJC2" s="148"/>
      <c r="OJD2" s="148"/>
      <c r="OJE2" s="148"/>
      <c r="OJF2" s="148"/>
      <c r="OJG2" s="148"/>
      <c r="OJH2" s="148"/>
      <c r="OJI2" s="148"/>
      <c r="OJJ2" s="148"/>
      <c r="OJK2" s="148"/>
      <c r="OJL2" s="148"/>
      <c r="OJM2" s="148"/>
      <c r="OJN2" s="148"/>
      <c r="OJO2" s="148"/>
      <c r="OJP2" s="148"/>
      <c r="OJQ2" s="148"/>
      <c r="OJR2" s="148"/>
      <c r="OJS2" s="148"/>
      <c r="OJT2" s="148"/>
      <c r="OJU2" s="148"/>
      <c r="OJV2" s="148"/>
      <c r="OJW2" s="148"/>
      <c r="OJX2" s="148"/>
      <c r="OJY2" s="148"/>
      <c r="OJZ2" s="148"/>
      <c r="OKA2" s="148"/>
      <c r="OKB2" s="148"/>
      <c r="OKC2" s="148"/>
      <c r="OKD2" s="148"/>
      <c r="OKE2" s="148"/>
      <c r="OKF2" s="148"/>
      <c r="OKG2" s="148"/>
      <c r="OKH2" s="148"/>
      <c r="OKI2" s="148"/>
      <c r="OKJ2" s="148"/>
      <c r="OKK2" s="148"/>
      <c r="OKL2" s="148"/>
      <c r="OKM2" s="148"/>
      <c r="OKN2" s="148"/>
      <c r="OKO2" s="148"/>
      <c r="OKP2" s="148"/>
      <c r="OKQ2" s="148"/>
      <c r="OKR2" s="148"/>
      <c r="OKS2" s="148"/>
      <c r="OKT2" s="148"/>
      <c r="OKU2" s="148"/>
      <c r="OKV2" s="148"/>
      <c r="OKW2" s="148"/>
      <c r="OKX2" s="148"/>
      <c r="OKY2" s="148"/>
      <c r="OKZ2" s="148"/>
      <c r="OLA2" s="148"/>
      <c r="OLB2" s="148"/>
      <c r="OLC2" s="148"/>
      <c r="OLD2" s="148"/>
      <c r="OLE2" s="148"/>
      <c r="OLF2" s="148"/>
      <c r="OLG2" s="148"/>
      <c r="OLH2" s="148"/>
      <c r="OLI2" s="148"/>
      <c r="OLJ2" s="148"/>
      <c r="OLK2" s="148"/>
      <c r="OLL2" s="148"/>
      <c r="OLM2" s="148"/>
      <c r="OLN2" s="148"/>
      <c r="OLO2" s="148"/>
      <c r="OLP2" s="148"/>
      <c r="OLQ2" s="148"/>
      <c r="OLR2" s="148"/>
      <c r="OLS2" s="148"/>
      <c r="OLT2" s="148"/>
      <c r="OLU2" s="148"/>
      <c r="OLV2" s="148"/>
      <c r="OLW2" s="148"/>
      <c r="OLX2" s="148"/>
      <c r="OLY2" s="148"/>
      <c r="OLZ2" s="148"/>
      <c r="OMA2" s="148"/>
      <c r="OMB2" s="148"/>
      <c r="OMC2" s="148"/>
      <c r="OMD2" s="148"/>
      <c r="OME2" s="148"/>
      <c r="OMF2" s="148"/>
      <c r="OMG2" s="148"/>
      <c r="OMH2" s="148"/>
      <c r="OMI2" s="148"/>
      <c r="OMJ2" s="148"/>
      <c r="OMK2" s="148"/>
      <c r="OML2" s="148"/>
      <c r="OMM2" s="148"/>
      <c r="OMN2" s="148"/>
      <c r="OMO2" s="148"/>
      <c r="OMP2" s="148"/>
      <c r="OMQ2" s="148"/>
      <c r="OMR2" s="148"/>
      <c r="OMS2" s="148"/>
      <c r="OMT2" s="148"/>
      <c r="OMU2" s="148"/>
      <c r="OMV2" s="148"/>
      <c r="OMW2" s="148"/>
      <c r="OMX2" s="148"/>
      <c r="OMY2" s="148"/>
      <c r="OMZ2" s="148"/>
      <c r="ONA2" s="148"/>
      <c r="ONB2" s="148"/>
      <c r="ONC2" s="148"/>
      <c r="OND2" s="148"/>
      <c r="ONE2" s="148"/>
      <c r="ONF2" s="148"/>
      <c r="ONG2" s="148"/>
      <c r="ONH2" s="148"/>
      <c r="ONI2" s="148"/>
      <c r="ONJ2" s="148"/>
      <c r="ONK2" s="148"/>
      <c r="ONL2" s="148"/>
      <c r="ONM2" s="148"/>
      <c r="ONN2" s="148"/>
      <c r="ONO2" s="148"/>
      <c r="ONP2" s="148"/>
      <c r="ONQ2" s="148"/>
      <c r="ONR2" s="148"/>
      <c r="ONS2" s="148"/>
      <c r="ONT2" s="148"/>
      <c r="ONU2" s="148"/>
      <c r="ONV2" s="148"/>
      <c r="ONW2" s="148"/>
      <c r="ONX2" s="148"/>
      <c r="ONY2" s="148"/>
      <c r="ONZ2" s="148"/>
      <c r="OOA2" s="148"/>
      <c r="OOB2" s="148"/>
      <c r="OOC2" s="148"/>
      <c r="OOD2" s="148"/>
      <c r="OOE2" s="148"/>
      <c r="OOF2" s="148"/>
      <c r="OOG2" s="148"/>
      <c r="OOH2" s="148"/>
      <c r="OOI2" s="148"/>
      <c r="OOJ2" s="148"/>
      <c r="OOK2" s="148"/>
      <c r="OOL2" s="148"/>
      <c r="OOM2" s="148"/>
      <c r="OON2" s="148"/>
      <c r="OOO2" s="148"/>
      <c r="OOP2" s="148"/>
      <c r="OOQ2" s="148"/>
      <c r="OOR2" s="148"/>
      <c r="OOS2" s="148"/>
      <c r="OOT2" s="148"/>
      <c r="OOU2" s="148"/>
      <c r="OOV2" s="148"/>
      <c r="OOW2" s="148"/>
      <c r="OOX2" s="148"/>
      <c r="OOY2" s="148"/>
      <c r="OOZ2" s="148"/>
      <c r="OPA2" s="148"/>
      <c r="OPB2" s="148"/>
      <c r="OPC2" s="148"/>
      <c r="OPD2" s="148"/>
      <c r="OPE2" s="148"/>
      <c r="OPF2" s="148"/>
      <c r="OPG2" s="148"/>
      <c r="OPH2" s="148"/>
      <c r="OPI2" s="148"/>
      <c r="OPJ2" s="148"/>
      <c r="OPK2" s="148"/>
      <c r="OPL2" s="148"/>
      <c r="OPM2" s="148"/>
      <c r="OPN2" s="148"/>
      <c r="OPO2" s="148"/>
      <c r="OPP2" s="148"/>
      <c r="OPQ2" s="148"/>
      <c r="OPR2" s="148"/>
      <c r="OPS2" s="148"/>
      <c r="OPT2" s="148"/>
      <c r="OPU2" s="148"/>
      <c r="OPV2" s="148"/>
      <c r="OPW2" s="148"/>
      <c r="OPX2" s="148"/>
      <c r="OPY2" s="148"/>
      <c r="OPZ2" s="148"/>
      <c r="OQA2" s="148"/>
      <c r="OQB2" s="148"/>
      <c r="OQC2" s="148"/>
      <c r="OQD2" s="148"/>
      <c r="OQE2" s="148"/>
      <c r="OQF2" s="148"/>
      <c r="OQG2" s="148"/>
      <c r="OQH2" s="148"/>
      <c r="OQI2" s="148"/>
      <c r="OQJ2" s="148"/>
      <c r="OQK2" s="148"/>
      <c r="OQL2" s="148"/>
      <c r="OQM2" s="148"/>
      <c r="OQN2" s="148"/>
      <c r="OQO2" s="148"/>
      <c r="OQP2" s="148"/>
      <c r="OQQ2" s="148"/>
      <c r="OQR2" s="148"/>
      <c r="OQS2" s="148"/>
      <c r="OQT2" s="148"/>
      <c r="OQU2" s="148"/>
      <c r="OQV2" s="148"/>
      <c r="OQW2" s="148"/>
      <c r="OQX2" s="148"/>
      <c r="OQY2" s="148"/>
      <c r="OQZ2" s="148"/>
      <c r="ORA2" s="148"/>
      <c r="ORB2" s="148"/>
      <c r="ORC2" s="148"/>
      <c r="ORD2" s="148"/>
      <c r="ORE2" s="148"/>
      <c r="ORF2" s="148"/>
      <c r="ORG2" s="148"/>
      <c r="ORH2" s="148"/>
      <c r="ORI2" s="148"/>
      <c r="ORJ2" s="148"/>
      <c r="ORK2" s="148"/>
      <c r="ORL2" s="148"/>
      <c r="ORM2" s="148"/>
      <c r="ORN2" s="148"/>
      <c r="ORO2" s="148"/>
      <c r="ORP2" s="148"/>
      <c r="ORQ2" s="148"/>
      <c r="ORR2" s="148"/>
      <c r="ORS2" s="148"/>
      <c r="ORT2" s="148"/>
      <c r="ORU2" s="148"/>
      <c r="ORV2" s="148"/>
      <c r="ORW2" s="148"/>
      <c r="ORX2" s="148"/>
      <c r="ORY2" s="148"/>
      <c r="ORZ2" s="148"/>
      <c r="OSA2" s="148"/>
      <c r="OSB2" s="148"/>
      <c r="OSC2" s="148"/>
      <c r="OSD2" s="148"/>
      <c r="OSE2" s="148"/>
      <c r="OSF2" s="148"/>
      <c r="OSG2" s="148"/>
      <c r="OSH2" s="148"/>
      <c r="OSI2" s="148"/>
      <c r="OSJ2" s="148"/>
      <c r="OSK2" s="148"/>
      <c r="OSL2" s="148"/>
      <c r="OSM2" s="148"/>
      <c r="OSN2" s="148"/>
      <c r="OSO2" s="148"/>
      <c r="OSP2" s="148"/>
      <c r="OSQ2" s="148"/>
      <c r="OSR2" s="148"/>
      <c r="OSS2" s="148"/>
      <c r="OST2" s="148"/>
      <c r="OSU2" s="148"/>
      <c r="OSV2" s="148"/>
      <c r="OSW2" s="148"/>
      <c r="OSX2" s="148"/>
      <c r="OSY2" s="148"/>
      <c r="OSZ2" s="148"/>
      <c r="OTA2" s="148"/>
      <c r="OTB2" s="148"/>
      <c r="OTC2" s="148"/>
      <c r="OTD2" s="148"/>
      <c r="OTE2" s="148"/>
      <c r="OTF2" s="148"/>
      <c r="OTG2" s="148"/>
      <c r="OTH2" s="148"/>
      <c r="OTI2" s="148"/>
      <c r="OTJ2" s="148"/>
      <c r="OTK2" s="148"/>
      <c r="OTL2" s="148"/>
      <c r="OTM2" s="148"/>
      <c r="OTN2" s="148"/>
      <c r="OTO2" s="148"/>
      <c r="OTP2" s="148"/>
      <c r="OTQ2" s="148"/>
      <c r="OTR2" s="148"/>
      <c r="OTS2" s="148"/>
      <c r="OTT2" s="148"/>
      <c r="OTU2" s="148"/>
      <c r="OTV2" s="148"/>
      <c r="OTW2" s="148"/>
      <c r="OTX2" s="148"/>
      <c r="OTY2" s="148"/>
      <c r="OTZ2" s="148"/>
      <c r="OUA2" s="148"/>
      <c r="OUB2" s="148"/>
      <c r="OUC2" s="148"/>
      <c r="OUD2" s="148"/>
      <c r="OUE2" s="148"/>
      <c r="OUF2" s="148"/>
      <c r="OUG2" s="148"/>
      <c r="OUH2" s="148"/>
      <c r="OUI2" s="148"/>
      <c r="OUJ2" s="148"/>
      <c r="OUK2" s="148"/>
      <c r="OUL2" s="148"/>
      <c r="OUM2" s="148"/>
      <c r="OUN2" s="148"/>
      <c r="OUO2" s="148"/>
      <c r="OUP2" s="148"/>
      <c r="OUQ2" s="148"/>
      <c r="OUR2" s="148"/>
      <c r="OUS2" s="148"/>
      <c r="OUT2" s="148"/>
      <c r="OUU2" s="148"/>
      <c r="OUV2" s="148"/>
      <c r="OUW2" s="148"/>
      <c r="OUX2" s="148"/>
      <c r="OUY2" s="148"/>
      <c r="OUZ2" s="148"/>
      <c r="OVA2" s="148"/>
      <c r="OVB2" s="148"/>
      <c r="OVC2" s="148"/>
      <c r="OVD2" s="148"/>
      <c r="OVE2" s="148"/>
      <c r="OVF2" s="148"/>
      <c r="OVG2" s="148"/>
      <c r="OVH2" s="148"/>
      <c r="OVI2" s="148"/>
      <c r="OVJ2" s="148"/>
      <c r="OVK2" s="148"/>
      <c r="OVL2" s="148"/>
      <c r="OVM2" s="148"/>
      <c r="OVN2" s="148"/>
      <c r="OVO2" s="148"/>
      <c r="OVP2" s="148"/>
      <c r="OVQ2" s="148"/>
      <c r="OVR2" s="148"/>
      <c r="OVS2" s="148"/>
      <c r="OVT2" s="148"/>
      <c r="OVU2" s="148"/>
      <c r="OVV2" s="148"/>
      <c r="OVW2" s="148"/>
      <c r="OVX2" s="148"/>
      <c r="OVY2" s="148"/>
      <c r="OVZ2" s="148"/>
      <c r="OWA2" s="148"/>
      <c r="OWB2" s="148"/>
      <c r="OWC2" s="148"/>
      <c r="OWD2" s="148"/>
      <c r="OWE2" s="148"/>
      <c r="OWF2" s="148"/>
      <c r="OWG2" s="148"/>
      <c r="OWH2" s="148"/>
      <c r="OWI2" s="148"/>
      <c r="OWJ2" s="148"/>
      <c r="OWK2" s="148"/>
      <c r="OWL2" s="148"/>
      <c r="OWM2" s="148"/>
      <c r="OWN2" s="148"/>
      <c r="OWO2" s="148"/>
      <c r="OWP2" s="148"/>
      <c r="OWQ2" s="148"/>
      <c r="OWR2" s="148"/>
      <c r="OWS2" s="148"/>
      <c r="OWT2" s="148"/>
      <c r="OWU2" s="148"/>
      <c r="OWV2" s="148"/>
      <c r="OWW2" s="148"/>
      <c r="OWX2" s="148"/>
      <c r="OWY2" s="148"/>
      <c r="OWZ2" s="148"/>
      <c r="OXA2" s="148"/>
      <c r="OXB2" s="148"/>
      <c r="OXC2" s="148"/>
      <c r="OXD2" s="148"/>
      <c r="OXE2" s="148"/>
      <c r="OXF2" s="148"/>
      <c r="OXG2" s="148"/>
      <c r="OXH2" s="148"/>
      <c r="OXI2" s="148"/>
      <c r="OXJ2" s="148"/>
      <c r="OXK2" s="148"/>
      <c r="OXL2" s="148"/>
      <c r="OXM2" s="148"/>
      <c r="OXN2" s="148"/>
      <c r="OXO2" s="148"/>
      <c r="OXP2" s="148"/>
      <c r="OXQ2" s="148"/>
      <c r="OXR2" s="148"/>
      <c r="OXS2" s="148"/>
      <c r="OXT2" s="148"/>
      <c r="OXU2" s="148"/>
      <c r="OXV2" s="148"/>
      <c r="OXW2" s="148"/>
      <c r="OXX2" s="148"/>
      <c r="OXY2" s="148"/>
      <c r="OXZ2" s="148"/>
      <c r="OYA2" s="148"/>
      <c r="OYB2" s="148"/>
      <c r="OYC2" s="148"/>
      <c r="OYD2" s="148"/>
      <c r="OYE2" s="148"/>
      <c r="OYF2" s="148"/>
      <c r="OYG2" s="148"/>
      <c r="OYH2" s="148"/>
      <c r="OYI2" s="148"/>
      <c r="OYJ2" s="148"/>
      <c r="OYK2" s="148"/>
      <c r="OYL2" s="148"/>
      <c r="OYM2" s="148"/>
      <c r="OYN2" s="148"/>
      <c r="OYO2" s="148"/>
      <c r="OYP2" s="148"/>
      <c r="OYQ2" s="148"/>
      <c r="OYR2" s="148"/>
      <c r="OYS2" s="148"/>
      <c r="OYT2" s="148"/>
      <c r="OYU2" s="148"/>
      <c r="OYV2" s="148"/>
      <c r="OYW2" s="148"/>
      <c r="OYX2" s="148"/>
      <c r="OYY2" s="148"/>
      <c r="OYZ2" s="148"/>
      <c r="OZA2" s="148"/>
      <c r="OZB2" s="148"/>
      <c r="OZC2" s="148"/>
      <c r="OZD2" s="148"/>
      <c r="OZE2" s="148"/>
      <c r="OZF2" s="148"/>
      <c r="OZG2" s="148"/>
      <c r="OZH2" s="148"/>
      <c r="OZI2" s="148"/>
      <c r="OZJ2" s="148"/>
      <c r="OZK2" s="148"/>
      <c r="OZL2" s="148"/>
      <c r="OZM2" s="148"/>
      <c r="OZN2" s="148"/>
      <c r="OZO2" s="148"/>
      <c r="OZP2" s="148"/>
      <c r="OZQ2" s="148"/>
      <c r="OZR2" s="148"/>
      <c r="OZS2" s="148"/>
      <c r="OZT2" s="148"/>
      <c r="OZU2" s="148"/>
      <c r="OZV2" s="148"/>
      <c r="OZW2" s="148"/>
      <c r="OZX2" s="148"/>
      <c r="OZY2" s="148"/>
      <c r="OZZ2" s="148"/>
      <c r="PAA2" s="148"/>
      <c r="PAB2" s="148"/>
      <c r="PAC2" s="148"/>
      <c r="PAD2" s="148"/>
      <c r="PAE2" s="148"/>
      <c r="PAF2" s="148"/>
      <c r="PAG2" s="148"/>
      <c r="PAH2" s="148"/>
      <c r="PAI2" s="148"/>
      <c r="PAJ2" s="148"/>
      <c r="PAK2" s="148"/>
      <c r="PAL2" s="148"/>
      <c r="PAM2" s="148"/>
      <c r="PAN2" s="148"/>
      <c r="PAO2" s="148"/>
      <c r="PAP2" s="148"/>
      <c r="PAQ2" s="148"/>
      <c r="PAR2" s="148"/>
      <c r="PAS2" s="148"/>
      <c r="PAT2" s="148"/>
      <c r="PAU2" s="148"/>
      <c r="PAV2" s="148"/>
      <c r="PAW2" s="148"/>
      <c r="PAX2" s="148"/>
      <c r="PAY2" s="148"/>
      <c r="PAZ2" s="148"/>
      <c r="PBA2" s="148"/>
      <c r="PBB2" s="148"/>
      <c r="PBC2" s="148"/>
      <c r="PBD2" s="148"/>
      <c r="PBE2" s="148"/>
      <c r="PBF2" s="148"/>
      <c r="PBG2" s="148"/>
      <c r="PBH2" s="148"/>
      <c r="PBI2" s="148"/>
      <c r="PBJ2" s="148"/>
      <c r="PBK2" s="148"/>
      <c r="PBL2" s="148"/>
      <c r="PBM2" s="148"/>
      <c r="PBN2" s="148"/>
      <c r="PBO2" s="148"/>
      <c r="PBP2" s="148"/>
      <c r="PBQ2" s="148"/>
      <c r="PBR2" s="148"/>
      <c r="PBS2" s="148"/>
      <c r="PBT2" s="148"/>
      <c r="PBU2" s="148"/>
      <c r="PBV2" s="148"/>
      <c r="PBW2" s="148"/>
      <c r="PBX2" s="148"/>
      <c r="PBY2" s="148"/>
      <c r="PBZ2" s="148"/>
      <c r="PCA2" s="148"/>
      <c r="PCB2" s="148"/>
      <c r="PCC2" s="148"/>
      <c r="PCD2" s="148"/>
      <c r="PCE2" s="148"/>
      <c r="PCF2" s="148"/>
      <c r="PCG2" s="148"/>
      <c r="PCH2" s="148"/>
      <c r="PCI2" s="148"/>
      <c r="PCJ2" s="148"/>
      <c r="PCK2" s="148"/>
      <c r="PCL2" s="148"/>
      <c r="PCM2" s="148"/>
      <c r="PCN2" s="148"/>
      <c r="PCO2" s="148"/>
      <c r="PCP2" s="148"/>
      <c r="PCQ2" s="148"/>
      <c r="PCR2" s="148"/>
      <c r="PCS2" s="148"/>
      <c r="PCT2" s="148"/>
      <c r="PCU2" s="148"/>
      <c r="PCV2" s="148"/>
      <c r="PCW2" s="148"/>
      <c r="PCX2" s="148"/>
      <c r="PCY2" s="148"/>
      <c r="PCZ2" s="148"/>
      <c r="PDA2" s="148"/>
      <c r="PDB2" s="148"/>
      <c r="PDC2" s="148"/>
      <c r="PDD2" s="148"/>
      <c r="PDE2" s="148"/>
      <c r="PDF2" s="148"/>
      <c r="PDG2" s="148"/>
      <c r="PDH2" s="148"/>
      <c r="PDI2" s="148"/>
      <c r="PDJ2" s="148"/>
      <c r="PDK2" s="148"/>
      <c r="PDL2" s="148"/>
      <c r="PDM2" s="148"/>
      <c r="PDN2" s="148"/>
      <c r="PDO2" s="148"/>
      <c r="PDP2" s="148"/>
      <c r="PDQ2" s="148"/>
      <c r="PDR2" s="148"/>
      <c r="PDS2" s="148"/>
      <c r="PDT2" s="148"/>
      <c r="PDU2" s="148"/>
      <c r="PDV2" s="148"/>
      <c r="PDW2" s="148"/>
      <c r="PDX2" s="148"/>
      <c r="PDY2" s="148"/>
      <c r="PDZ2" s="148"/>
      <c r="PEA2" s="148"/>
      <c r="PEB2" s="148"/>
      <c r="PEC2" s="148"/>
      <c r="PED2" s="148"/>
      <c r="PEE2" s="148"/>
      <c r="PEF2" s="148"/>
      <c r="PEG2" s="148"/>
      <c r="PEH2" s="148"/>
      <c r="PEI2" s="148"/>
      <c r="PEJ2" s="148"/>
      <c r="PEK2" s="148"/>
      <c r="PEL2" s="148"/>
      <c r="PEM2" s="148"/>
      <c r="PEN2" s="148"/>
      <c r="PEO2" s="148"/>
      <c r="PEP2" s="148"/>
      <c r="PEQ2" s="148"/>
      <c r="PER2" s="148"/>
      <c r="PES2" s="148"/>
      <c r="PET2" s="148"/>
      <c r="PEU2" s="148"/>
      <c r="PEV2" s="148"/>
      <c r="PEW2" s="148"/>
      <c r="PEX2" s="148"/>
      <c r="PEY2" s="148"/>
      <c r="PEZ2" s="148"/>
      <c r="PFA2" s="148"/>
      <c r="PFB2" s="148"/>
      <c r="PFC2" s="148"/>
      <c r="PFD2" s="148"/>
      <c r="PFE2" s="148"/>
      <c r="PFF2" s="148"/>
      <c r="PFG2" s="148"/>
      <c r="PFH2" s="148"/>
      <c r="PFI2" s="148"/>
      <c r="PFJ2" s="148"/>
      <c r="PFK2" s="148"/>
      <c r="PFL2" s="148"/>
      <c r="PFM2" s="148"/>
      <c r="PFN2" s="148"/>
      <c r="PFO2" s="148"/>
      <c r="PFP2" s="148"/>
      <c r="PFQ2" s="148"/>
      <c r="PFR2" s="148"/>
      <c r="PFS2" s="148"/>
      <c r="PFT2" s="148"/>
      <c r="PFU2" s="148"/>
      <c r="PFV2" s="148"/>
      <c r="PFW2" s="148"/>
      <c r="PFX2" s="148"/>
      <c r="PFY2" s="148"/>
      <c r="PFZ2" s="148"/>
      <c r="PGA2" s="148"/>
      <c r="PGB2" s="148"/>
      <c r="PGC2" s="148"/>
      <c r="PGD2" s="148"/>
      <c r="PGE2" s="148"/>
      <c r="PGF2" s="148"/>
      <c r="PGG2" s="148"/>
      <c r="PGH2" s="148"/>
      <c r="PGI2" s="148"/>
      <c r="PGJ2" s="148"/>
      <c r="PGK2" s="148"/>
      <c r="PGL2" s="148"/>
      <c r="PGM2" s="148"/>
      <c r="PGN2" s="148"/>
      <c r="PGO2" s="148"/>
      <c r="PGP2" s="148"/>
      <c r="PGQ2" s="148"/>
      <c r="PGR2" s="148"/>
      <c r="PGS2" s="148"/>
      <c r="PGT2" s="148"/>
      <c r="PGU2" s="148"/>
      <c r="PGV2" s="148"/>
      <c r="PGW2" s="148"/>
      <c r="PGX2" s="148"/>
      <c r="PGY2" s="148"/>
      <c r="PGZ2" s="148"/>
      <c r="PHA2" s="148"/>
      <c r="PHB2" s="148"/>
      <c r="PHC2" s="148"/>
      <c r="PHD2" s="148"/>
      <c r="PHE2" s="148"/>
      <c r="PHF2" s="148"/>
      <c r="PHG2" s="148"/>
      <c r="PHH2" s="148"/>
      <c r="PHI2" s="148"/>
      <c r="PHJ2" s="148"/>
      <c r="PHK2" s="148"/>
      <c r="PHL2" s="148"/>
      <c r="PHM2" s="148"/>
      <c r="PHN2" s="148"/>
      <c r="PHO2" s="148"/>
      <c r="PHP2" s="148"/>
      <c r="PHQ2" s="148"/>
      <c r="PHR2" s="148"/>
      <c r="PHS2" s="148"/>
      <c r="PHT2" s="148"/>
      <c r="PHU2" s="148"/>
      <c r="PHV2" s="148"/>
      <c r="PHW2" s="148"/>
      <c r="PHX2" s="148"/>
      <c r="PHY2" s="148"/>
      <c r="PHZ2" s="148"/>
      <c r="PIA2" s="148"/>
      <c r="PIB2" s="148"/>
      <c r="PIC2" s="148"/>
      <c r="PID2" s="148"/>
      <c r="PIE2" s="148"/>
      <c r="PIF2" s="148"/>
      <c r="PIG2" s="148"/>
      <c r="PIH2" s="148"/>
      <c r="PII2" s="148"/>
      <c r="PIJ2" s="148"/>
      <c r="PIK2" s="148"/>
      <c r="PIL2" s="148"/>
      <c r="PIM2" s="148"/>
      <c r="PIN2" s="148"/>
      <c r="PIO2" s="148"/>
      <c r="PIP2" s="148"/>
      <c r="PIQ2" s="148"/>
      <c r="PIR2" s="148"/>
      <c r="PIS2" s="148"/>
      <c r="PIT2" s="148"/>
      <c r="PIU2" s="148"/>
      <c r="PIV2" s="148"/>
      <c r="PIW2" s="148"/>
      <c r="PIX2" s="148"/>
      <c r="PIY2" s="148"/>
      <c r="PIZ2" s="148"/>
      <c r="PJA2" s="148"/>
      <c r="PJB2" s="148"/>
      <c r="PJC2" s="148"/>
      <c r="PJD2" s="148"/>
      <c r="PJE2" s="148"/>
      <c r="PJF2" s="148"/>
      <c r="PJG2" s="148"/>
      <c r="PJH2" s="148"/>
      <c r="PJI2" s="148"/>
      <c r="PJJ2" s="148"/>
      <c r="PJK2" s="148"/>
      <c r="PJL2" s="148"/>
      <c r="PJM2" s="148"/>
      <c r="PJN2" s="148"/>
      <c r="PJO2" s="148"/>
      <c r="PJP2" s="148"/>
      <c r="PJQ2" s="148"/>
      <c r="PJR2" s="148"/>
      <c r="PJS2" s="148"/>
      <c r="PJT2" s="148"/>
      <c r="PJU2" s="148"/>
      <c r="PJV2" s="148"/>
      <c r="PJW2" s="148"/>
      <c r="PJX2" s="148"/>
      <c r="PJY2" s="148"/>
      <c r="PJZ2" s="148"/>
      <c r="PKA2" s="148"/>
      <c r="PKB2" s="148"/>
      <c r="PKC2" s="148"/>
      <c r="PKD2" s="148"/>
      <c r="PKE2" s="148"/>
      <c r="PKF2" s="148"/>
      <c r="PKG2" s="148"/>
      <c r="PKH2" s="148"/>
      <c r="PKI2" s="148"/>
      <c r="PKJ2" s="148"/>
      <c r="PKK2" s="148"/>
      <c r="PKL2" s="148"/>
      <c r="PKM2" s="148"/>
      <c r="PKN2" s="148"/>
      <c r="PKO2" s="148"/>
      <c r="PKP2" s="148"/>
      <c r="PKQ2" s="148"/>
      <c r="PKR2" s="148"/>
      <c r="PKS2" s="148"/>
      <c r="PKT2" s="148"/>
      <c r="PKU2" s="148"/>
      <c r="PKV2" s="148"/>
      <c r="PKW2" s="148"/>
      <c r="PKX2" s="148"/>
      <c r="PKY2" s="148"/>
      <c r="PKZ2" s="148"/>
      <c r="PLA2" s="148"/>
      <c r="PLB2" s="148"/>
      <c r="PLC2" s="148"/>
      <c r="PLD2" s="148"/>
      <c r="PLE2" s="148"/>
      <c r="PLF2" s="148"/>
      <c r="PLG2" s="148"/>
      <c r="PLH2" s="148"/>
      <c r="PLI2" s="148"/>
      <c r="PLJ2" s="148"/>
      <c r="PLK2" s="148"/>
      <c r="PLL2" s="148"/>
      <c r="PLM2" s="148"/>
      <c r="PLN2" s="148"/>
      <c r="PLO2" s="148"/>
      <c r="PLP2" s="148"/>
      <c r="PLQ2" s="148"/>
      <c r="PLR2" s="148"/>
      <c r="PLS2" s="148"/>
      <c r="PLT2" s="148"/>
      <c r="PLU2" s="148"/>
      <c r="PLV2" s="148"/>
      <c r="PLW2" s="148"/>
      <c r="PLX2" s="148"/>
      <c r="PLY2" s="148"/>
      <c r="PLZ2" s="148"/>
      <c r="PMA2" s="148"/>
      <c r="PMB2" s="148"/>
      <c r="PMC2" s="148"/>
      <c r="PMD2" s="148"/>
      <c r="PME2" s="148"/>
      <c r="PMF2" s="148"/>
      <c r="PMG2" s="148"/>
      <c r="PMH2" s="148"/>
      <c r="PMI2" s="148"/>
      <c r="PMJ2" s="148"/>
      <c r="PMK2" s="148"/>
      <c r="PML2" s="148"/>
      <c r="PMM2" s="148"/>
      <c r="PMN2" s="148"/>
      <c r="PMO2" s="148"/>
      <c r="PMP2" s="148"/>
      <c r="PMQ2" s="148"/>
      <c r="PMR2" s="148"/>
      <c r="PMS2" s="148"/>
      <c r="PMT2" s="148"/>
      <c r="PMU2" s="148"/>
      <c r="PMV2" s="148"/>
      <c r="PMW2" s="148"/>
      <c r="PMX2" s="148"/>
      <c r="PMY2" s="148"/>
      <c r="PMZ2" s="148"/>
      <c r="PNA2" s="148"/>
      <c r="PNB2" s="148"/>
      <c r="PNC2" s="148"/>
      <c r="PND2" s="148"/>
      <c r="PNE2" s="148"/>
      <c r="PNF2" s="148"/>
      <c r="PNG2" s="148"/>
      <c r="PNH2" s="148"/>
      <c r="PNI2" s="148"/>
      <c r="PNJ2" s="148"/>
      <c r="PNK2" s="148"/>
      <c r="PNL2" s="148"/>
      <c r="PNM2" s="148"/>
      <c r="PNN2" s="148"/>
      <c r="PNO2" s="148"/>
      <c r="PNP2" s="148"/>
      <c r="PNQ2" s="148"/>
      <c r="PNR2" s="148"/>
      <c r="PNS2" s="148"/>
      <c r="PNT2" s="148"/>
      <c r="PNU2" s="148"/>
      <c r="PNV2" s="148"/>
      <c r="PNW2" s="148"/>
      <c r="PNX2" s="148"/>
      <c r="PNY2" s="148"/>
      <c r="PNZ2" s="148"/>
      <c r="POA2" s="148"/>
      <c r="POB2" s="148"/>
      <c r="POC2" s="148"/>
      <c r="POD2" s="148"/>
      <c r="POE2" s="148"/>
      <c r="POF2" s="148"/>
      <c r="POG2" s="148"/>
      <c r="POH2" s="148"/>
      <c r="POI2" s="148"/>
      <c r="POJ2" s="148"/>
      <c r="POK2" s="148"/>
      <c r="POL2" s="148"/>
      <c r="POM2" s="148"/>
      <c r="PON2" s="148"/>
      <c r="POO2" s="148"/>
      <c r="POP2" s="148"/>
      <c r="POQ2" s="148"/>
      <c r="POR2" s="148"/>
      <c r="POS2" s="148"/>
      <c r="POT2" s="148"/>
      <c r="POU2" s="148"/>
      <c r="POV2" s="148"/>
      <c r="POW2" s="148"/>
      <c r="POX2" s="148"/>
      <c r="POY2" s="148"/>
      <c r="POZ2" s="148"/>
      <c r="PPA2" s="148"/>
      <c r="PPB2" s="148"/>
      <c r="PPC2" s="148"/>
      <c r="PPD2" s="148"/>
      <c r="PPE2" s="148"/>
      <c r="PPF2" s="148"/>
      <c r="PPG2" s="148"/>
      <c r="PPH2" s="148"/>
      <c r="PPI2" s="148"/>
      <c r="PPJ2" s="148"/>
      <c r="PPK2" s="148"/>
      <c r="PPL2" s="148"/>
      <c r="PPM2" s="148"/>
      <c r="PPN2" s="148"/>
      <c r="PPO2" s="148"/>
      <c r="PPP2" s="148"/>
      <c r="PPQ2" s="148"/>
      <c r="PPR2" s="148"/>
      <c r="PPS2" s="148"/>
      <c r="PPT2" s="148"/>
      <c r="PPU2" s="148"/>
      <c r="PPV2" s="148"/>
      <c r="PPW2" s="148"/>
      <c r="PPX2" s="148"/>
      <c r="PPY2" s="148"/>
      <c r="PPZ2" s="148"/>
      <c r="PQA2" s="148"/>
      <c r="PQB2" s="148"/>
      <c r="PQC2" s="148"/>
      <c r="PQD2" s="148"/>
      <c r="PQE2" s="148"/>
      <c r="PQF2" s="148"/>
      <c r="PQG2" s="148"/>
      <c r="PQH2" s="148"/>
      <c r="PQI2" s="148"/>
      <c r="PQJ2" s="148"/>
      <c r="PQK2" s="148"/>
      <c r="PQL2" s="148"/>
      <c r="PQM2" s="148"/>
      <c r="PQN2" s="148"/>
      <c r="PQO2" s="148"/>
      <c r="PQP2" s="148"/>
      <c r="PQQ2" s="148"/>
      <c r="PQR2" s="148"/>
      <c r="PQS2" s="148"/>
      <c r="PQT2" s="148"/>
      <c r="PQU2" s="148"/>
      <c r="PQV2" s="148"/>
      <c r="PQW2" s="148"/>
      <c r="PQX2" s="148"/>
      <c r="PQY2" s="148"/>
      <c r="PQZ2" s="148"/>
      <c r="PRA2" s="148"/>
      <c r="PRB2" s="148"/>
      <c r="PRC2" s="148"/>
      <c r="PRD2" s="148"/>
      <c r="PRE2" s="148"/>
      <c r="PRF2" s="148"/>
      <c r="PRG2" s="148"/>
      <c r="PRH2" s="148"/>
      <c r="PRI2" s="148"/>
      <c r="PRJ2" s="148"/>
      <c r="PRK2" s="148"/>
      <c r="PRL2" s="148"/>
      <c r="PRM2" s="148"/>
      <c r="PRN2" s="148"/>
      <c r="PRO2" s="148"/>
      <c r="PRP2" s="148"/>
      <c r="PRQ2" s="148"/>
      <c r="PRR2" s="148"/>
      <c r="PRS2" s="148"/>
      <c r="PRT2" s="148"/>
      <c r="PRU2" s="148"/>
      <c r="PRV2" s="148"/>
      <c r="PRW2" s="148"/>
      <c r="PRX2" s="148"/>
      <c r="PRY2" s="148"/>
      <c r="PRZ2" s="148"/>
      <c r="PSA2" s="148"/>
      <c r="PSB2" s="148"/>
      <c r="PSC2" s="148"/>
      <c r="PSD2" s="148"/>
      <c r="PSE2" s="148"/>
      <c r="PSF2" s="148"/>
      <c r="PSG2" s="148"/>
      <c r="PSH2" s="148"/>
      <c r="PSI2" s="148"/>
      <c r="PSJ2" s="148"/>
      <c r="PSK2" s="148"/>
      <c r="PSL2" s="148"/>
      <c r="PSM2" s="148"/>
      <c r="PSN2" s="148"/>
      <c r="PSO2" s="148"/>
      <c r="PSP2" s="148"/>
      <c r="PSQ2" s="148"/>
      <c r="PSR2" s="148"/>
      <c r="PSS2" s="148"/>
      <c r="PST2" s="148"/>
      <c r="PSU2" s="148"/>
      <c r="PSV2" s="148"/>
      <c r="PSW2" s="148"/>
      <c r="PSX2" s="148"/>
      <c r="PSY2" s="148"/>
      <c r="PSZ2" s="148"/>
      <c r="PTA2" s="148"/>
      <c r="PTB2" s="148"/>
      <c r="PTC2" s="148"/>
      <c r="PTD2" s="148"/>
      <c r="PTE2" s="148"/>
      <c r="PTF2" s="148"/>
      <c r="PTG2" s="148"/>
      <c r="PTH2" s="148"/>
      <c r="PTI2" s="148"/>
      <c r="PTJ2" s="148"/>
      <c r="PTK2" s="148"/>
      <c r="PTL2" s="148"/>
      <c r="PTM2" s="148"/>
      <c r="PTN2" s="148"/>
      <c r="PTO2" s="148"/>
      <c r="PTP2" s="148"/>
      <c r="PTQ2" s="148"/>
      <c r="PTR2" s="148"/>
      <c r="PTS2" s="148"/>
      <c r="PTT2" s="148"/>
      <c r="PTU2" s="148"/>
      <c r="PTV2" s="148"/>
      <c r="PTW2" s="148"/>
      <c r="PTX2" s="148"/>
      <c r="PTY2" s="148"/>
      <c r="PTZ2" s="148"/>
      <c r="PUA2" s="148"/>
      <c r="PUB2" s="148"/>
      <c r="PUC2" s="148"/>
      <c r="PUD2" s="148"/>
      <c r="PUE2" s="148"/>
      <c r="PUF2" s="148"/>
      <c r="PUG2" s="148"/>
      <c r="PUH2" s="148"/>
      <c r="PUI2" s="148"/>
      <c r="PUJ2" s="148"/>
      <c r="PUK2" s="148"/>
      <c r="PUL2" s="148"/>
      <c r="PUM2" s="148"/>
      <c r="PUN2" s="148"/>
      <c r="PUO2" s="148"/>
      <c r="PUP2" s="148"/>
      <c r="PUQ2" s="148"/>
      <c r="PUR2" s="148"/>
      <c r="PUS2" s="148"/>
      <c r="PUT2" s="148"/>
      <c r="PUU2" s="148"/>
      <c r="PUV2" s="148"/>
      <c r="PUW2" s="148"/>
      <c r="PUX2" s="148"/>
      <c r="PUY2" s="148"/>
      <c r="PUZ2" s="148"/>
      <c r="PVA2" s="148"/>
      <c r="PVB2" s="148"/>
      <c r="PVC2" s="148"/>
      <c r="PVD2" s="148"/>
      <c r="PVE2" s="148"/>
      <c r="PVF2" s="148"/>
      <c r="PVG2" s="148"/>
      <c r="PVH2" s="148"/>
      <c r="PVI2" s="148"/>
      <c r="PVJ2" s="148"/>
      <c r="PVK2" s="148"/>
      <c r="PVL2" s="148"/>
      <c r="PVM2" s="148"/>
      <c r="PVN2" s="148"/>
      <c r="PVO2" s="148"/>
      <c r="PVP2" s="148"/>
      <c r="PVQ2" s="148"/>
      <c r="PVR2" s="148"/>
      <c r="PVS2" s="148"/>
      <c r="PVT2" s="148"/>
      <c r="PVU2" s="148"/>
      <c r="PVV2" s="148"/>
      <c r="PVW2" s="148"/>
      <c r="PVX2" s="148"/>
      <c r="PVY2" s="148"/>
      <c r="PVZ2" s="148"/>
      <c r="PWA2" s="148"/>
      <c r="PWB2" s="148"/>
      <c r="PWC2" s="148"/>
      <c r="PWD2" s="148"/>
      <c r="PWE2" s="148"/>
      <c r="PWF2" s="148"/>
      <c r="PWG2" s="148"/>
      <c r="PWH2" s="148"/>
      <c r="PWI2" s="148"/>
      <c r="PWJ2" s="148"/>
      <c r="PWK2" s="148"/>
      <c r="PWL2" s="148"/>
      <c r="PWM2" s="148"/>
      <c r="PWN2" s="148"/>
      <c r="PWO2" s="148"/>
      <c r="PWP2" s="148"/>
      <c r="PWQ2" s="148"/>
      <c r="PWR2" s="148"/>
      <c r="PWS2" s="148"/>
      <c r="PWT2" s="148"/>
      <c r="PWU2" s="148"/>
      <c r="PWV2" s="148"/>
      <c r="PWW2" s="148"/>
      <c r="PWX2" s="148"/>
      <c r="PWY2" s="148"/>
      <c r="PWZ2" s="148"/>
      <c r="PXA2" s="148"/>
      <c r="PXB2" s="148"/>
      <c r="PXC2" s="148"/>
      <c r="PXD2" s="148"/>
      <c r="PXE2" s="148"/>
      <c r="PXF2" s="148"/>
      <c r="PXG2" s="148"/>
      <c r="PXH2" s="148"/>
      <c r="PXI2" s="148"/>
      <c r="PXJ2" s="148"/>
      <c r="PXK2" s="148"/>
      <c r="PXL2" s="148"/>
      <c r="PXM2" s="148"/>
      <c r="PXN2" s="148"/>
      <c r="PXO2" s="148"/>
      <c r="PXP2" s="148"/>
      <c r="PXQ2" s="148"/>
      <c r="PXR2" s="148"/>
      <c r="PXS2" s="148"/>
      <c r="PXT2" s="148"/>
      <c r="PXU2" s="148"/>
      <c r="PXV2" s="148"/>
      <c r="PXW2" s="148"/>
      <c r="PXX2" s="148"/>
      <c r="PXY2" s="148"/>
      <c r="PXZ2" s="148"/>
      <c r="PYA2" s="148"/>
      <c r="PYB2" s="148"/>
      <c r="PYC2" s="148"/>
      <c r="PYD2" s="148"/>
      <c r="PYE2" s="148"/>
      <c r="PYF2" s="148"/>
      <c r="PYG2" s="148"/>
      <c r="PYH2" s="148"/>
      <c r="PYI2" s="148"/>
      <c r="PYJ2" s="148"/>
      <c r="PYK2" s="148"/>
      <c r="PYL2" s="148"/>
      <c r="PYM2" s="148"/>
      <c r="PYN2" s="148"/>
      <c r="PYO2" s="148"/>
      <c r="PYP2" s="148"/>
      <c r="PYQ2" s="148"/>
      <c r="PYR2" s="148"/>
      <c r="PYS2" s="148"/>
      <c r="PYT2" s="148"/>
      <c r="PYU2" s="148"/>
      <c r="PYV2" s="148"/>
      <c r="PYW2" s="148"/>
      <c r="PYX2" s="148"/>
      <c r="PYY2" s="148"/>
      <c r="PYZ2" s="148"/>
      <c r="PZA2" s="148"/>
      <c r="PZB2" s="148"/>
      <c r="PZC2" s="148"/>
      <c r="PZD2" s="148"/>
      <c r="PZE2" s="148"/>
      <c r="PZF2" s="148"/>
      <c r="PZG2" s="148"/>
      <c r="PZH2" s="148"/>
      <c r="PZI2" s="148"/>
      <c r="PZJ2" s="148"/>
      <c r="PZK2" s="148"/>
      <c r="PZL2" s="148"/>
      <c r="PZM2" s="148"/>
      <c r="PZN2" s="148"/>
      <c r="PZO2" s="148"/>
      <c r="PZP2" s="148"/>
      <c r="PZQ2" s="148"/>
      <c r="PZR2" s="148"/>
      <c r="PZS2" s="148"/>
      <c r="PZT2" s="148"/>
      <c r="PZU2" s="148"/>
      <c r="PZV2" s="148"/>
      <c r="PZW2" s="148"/>
      <c r="PZX2" s="148"/>
      <c r="PZY2" s="148"/>
      <c r="PZZ2" s="148"/>
      <c r="QAA2" s="148"/>
      <c r="QAB2" s="148"/>
      <c r="QAC2" s="148"/>
      <c r="QAD2" s="148"/>
      <c r="QAE2" s="148"/>
      <c r="QAF2" s="148"/>
      <c r="QAG2" s="148"/>
      <c r="QAH2" s="148"/>
      <c r="QAI2" s="148"/>
      <c r="QAJ2" s="148"/>
      <c r="QAK2" s="148"/>
      <c r="QAL2" s="148"/>
      <c r="QAM2" s="148"/>
      <c r="QAN2" s="148"/>
      <c r="QAO2" s="148"/>
      <c r="QAP2" s="148"/>
      <c r="QAQ2" s="148"/>
      <c r="QAR2" s="148"/>
      <c r="QAS2" s="148"/>
      <c r="QAT2" s="148"/>
      <c r="QAU2" s="148"/>
      <c r="QAV2" s="148"/>
      <c r="QAW2" s="148"/>
      <c r="QAX2" s="148"/>
      <c r="QAY2" s="148"/>
      <c r="QAZ2" s="148"/>
      <c r="QBA2" s="148"/>
      <c r="QBB2" s="148"/>
      <c r="QBC2" s="148"/>
      <c r="QBD2" s="148"/>
      <c r="QBE2" s="148"/>
      <c r="QBF2" s="148"/>
      <c r="QBG2" s="148"/>
      <c r="QBH2" s="148"/>
      <c r="QBI2" s="148"/>
      <c r="QBJ2" s="148"/>
      <c r="QBK2" s="148"/>
      <c r="QBL2" s="148"/>
      <c r="QBM2" s="148"/>
      <c r="QBN2" s="148"/>
      <c r="QBO2" s="148"/>
      <c r="QBP2" s="148"/>
      <c r="QBQ2" s="148"/>
      <c r="QBR2" s="148"/>
      <c r="QBS2" s="148"/>
      <c r="QBT2" s="148"/>
      <c r="QBU2" s="148"/>
      <c r="QBV2" s="148"/>
      <c r="QBW2" s="148"/>
      <c r="QBX2" s="148"/>
      <c r="QBY2" s="148"/>
      <c r="QBZ2" s="148"/>
      <c r="QCA2" s="148"/>
      <c r="QCB2" s="148"/>
      <c r="QCC2" s="148"/>
      <c r="QCD2" s="148"/>
      <c r="QCE2" s="148"/>
      <c r="QCF2" s="148"/>
      <c r="QCG2" s="148"/>
      <c r="QCH2" s="148"/>
      <c r="QCI2" s="148"/>
      <c r="QCJ2" s="148"/>
      <c r="QCK2" s="148"/>
      <c r="QCL2" s="148"/>
      <c r="QCM2" s="148"/>
      <c r="QCN2" s="148"/>
      <c r="QCO2" s="148"/>
      <c r="QCP2" s="148"/>
      <c r="QCQ2" s="148"/>
      <c r="QCR2" s="148"/>
      <c r="QCS2" s="148"/>
      <c r="QCT2" s="148"/>
      <c r="QCU2" s="148"/>
      <c r="QCV2" s="148"/>
      <c r="QCW2" s="148"/>
      <c r="QCX2" s="148"/>
      <c r="QCY2" s="148"/>
      <c r="QCZ2" s="148"/>
      <c r="QDA2" s="148"/>
      <c r="QDB2" s="148"/>
      <c r="QDC2" s="148"/>
      <c r="QDD2" s="148"/>
      <c r="QDE2" s="148"/>
      <c r="QDF2" s="148"/>
      <c r="QDG2" s="148"/>
      <c r="QDH2" s="148"/>
      <c r="QDI2" s="148"/>
      <c r="QDJ2" s="148"/>
      <c r="QDK2" s="148"/>
      <c r="QDL2" s="148"/>
      <c r="QDM2" s="148"/>
      <c r="QDN2" s="148"/>
      <c r="QDO2" s="148"/>
      <c r="QDP2" s="148"/>
      <c r="QDQ2" s="148"/>
      <c r="QDR2" s="148"/>
      <c r="QDS2" s="148"/>
      <c r="QDT2" s="148"/>
      <c r="QDU2" s="148"/>
      <c r="QDV2" s="148"/>
      <c r="QDW2" s="148"/>
      <c r="QDX2" s="148"/>
      <c r="QDY2" s="148"/>
      <c r="QDZ2" s="148"/>
      <c r="QEA2" s="148"/>
      <c r="QEB2" s="148"/>
      <c r="QEC2" s="148"/>
      <c r="QED2" s="148"/>
      <c r="QEE2" s="148"/>
      <c r="QEF2" s="148"/>
      <c r="QEG2" s="148"/>
      <c r="QEH2" s="148"/>
      <c r="QEI2" s="148"/>
      <c r="QEJ2" s="148"/>
      <c r="QEK2" s="148"/>
      <c r="QEL2" s="148"/>
      <c r="QEM2" s="148"/>
      <c r="QEN2" s="148"/>
      <c r="QEO2" s="148"/>
      <c r="QEP2" s="148"/>
      <c r="QEQ2" s="148"/>
      <c r="QER2" s="148"/>
      <c r="QES2" s="148"/>
      <c r="QET2" s="148"/>
      <c r="QEU2" s="148"/>
      <c r="QEV2" s="148"/>
      <c r="QEW2" s="148"/>
      <c r="QEX2" s="148"/>
      <c r="QEY2" s="148"/>
      <c r="QEZ2" s="148"/>
      <c r="QFA2" s="148"/>
      <c r="QFB2" s="148"/>
      <c r="QFC2" s="148"/>
      <c r="QFD2" s="148"/>
      <c r="QFE2" s="148"/>
      <c r="QFF2" s="148"/>
      <c r="QFG2" s="148"/>
      <c r="QFH2" s="148"/>
      <c r="QFI2" s="148"/>
      <c r="QFJ2" s="148"/>
      <c r="QFK2" s="148"/>
      <c r="QFL2" s="148"/>
      <c r="QFM2" s="148"/>
      <c r="QFN2" s="148"/>
      <c r="QFO2" s="148"/>
      <c r="QFP2" s="148"/>
      <c r="QFQ2" s="148"/>
      <c r="QFR2" s="148"/>
      <c r="QFS2" s="148"/>
      <c r="QFT2" s="148"/>
      <c r="QFU2" s="148"/>
      <c r="QFV2" s="148"/>
      <c r="QFW2" s="148"/>
      <c r="QFX2" s="148"/>
      <c r="QFY2" s="148"/>
      <c r="QFZ2" s="148"/>
      <c r="QGA2" s="148"/>
      <c r="QGB2" s="148"/>
      <c r="QGC2" s="148"/>
      <c r="QGD2" s="148"/>
      <c r="QGE2" s="148"/>
      <c r="QGF2" s="148"/>
      <c r="QGG2" s="148"/>
      <c r="QGH2" s="148"/>
      <c r="QGI2" s="148"/>
      <c r="QGJ2" s="148"/>
      <c r="QGK2" s="148"/>
      <c r="QGL2" s="148"/>
      <c r="QGM2" s="148"/>
      <c r="QGN2" s="148"/>
      <c r="QGO2" s="148"/>
      <c r="QGP2" s="148"/>
      <c r="QGQ2" s="148"/>
      <c r="QGR2" s="148"/>
      <c r="QGS2" s="148"/>
      <c r="QGT2" s="148"/>
      <c r="QGU2" s="148"/>
      <c r="QGV2" s="148"/>
      <c r="QGW2" s="148"/>
      <c r="QGX2" s="148"/>
      <c r="QGY2" s="148"/>
      <c r="QGZ2" s="148"/>
      <c r="QHA2" s="148"/>
      <c r="QHB2" s="148"/>
      <c r="QHC2" s="148"/>
      <c r="QHD2" s="148"/>
      <c r="QHE2" s="148"/>
      <c r="QHF2" s="148"/>
      <c r="QHG2" s="148"/>
      <c r="QHH2" s="148"/>
      <c r="QHI2" s="148"/>
      <c r="QHJ2" s="148"/>
      <c r="QHK2" s="148"/>
      <c r="QHL2" s="148"/>
      <c r="QHM2" s="148"/>
      <c r="QHN2" s="148"/>
      <c r="QHO2" s="148"/>
      <c r="QHP2" s="148"/>
      <c r="QHQ2" s="148"/>
      <c r="QHR2" s="148"/>
      <c r="QHS2" s="148"/>
      <c r="QHT2" s="148"/>
      <c r="QHU2" s="148"/>
      <c r="QHV2" s="148"/>
      <c r="QHW2" s="148"/>
      <c r="QHX2" s="148"/>
      <c r="QHY2" s="148"/>
      <c r="QHZ2" s="148"/>
      <c r="QIA2" s="148"/>
      <c r="QIB2" s="148"/>
      <c r="QIC2" s="148"/>
      <c r="QID2" s="148"/>
      <c r="QIE2" s="148"/>
      <c r="QIF2" s="148"/>
      <c r="QIG2" s="148"/>
      <c r="QIH2" s="148"/>
      <c r="QII2" s="148"/>
      <c r="QIJ2" s="148"/>
      <c r="QIK2" s="148"/>
      <c r="QIL2" s="148"/>
      <c r="QIM2" s="148"/>
      <c r="QIN2" s="148"/>
      <c r="QIO2" s="148"/>
      <c r="QIP2" s="148"/>
      <c r="QIQ2" s="148"/>
      <c r="QIR2" s="148"/>
      <c r="QIS2" s="148"/>
      <c r="QIT2" s="148"/>
      <c r="QIU2" s="148"/>
      <c r="QIV2" s="148"/>
      <c r="QIW2" s="148"/>
      <c r="QIX2" s="148"/>
      <c r="QIY2" s="148"/>
      <c r="QIZ2" s="148"/>
      <c r="QJA2" s="148"/>
      <c r="QJB2" s="148"/>
      <c r="QJC2" s="148"/>
      <c r="QJD2" s="148"/>
      <c r="QJE2" s="148"/>
      <c r="QJF2" s="148"/>
      <c r="QJG2" s="148"/>
      <c r="QJH2" s="148"/>
      <c r="QJI2" s="148"/>
      <c r="QJJ2" s="148"/>
      <c r="QJK2" s="148"/>
      <c r="QJL2" s="148"/>
      <c r="QJM2" s="148"/>
      <c r="QJN2" s="148"/>
      <c r="QJO2" s="148"/>
      <c r="QJP2" s="148"/>
      <c r="QJQ2" s="148"/>
      <c r="QJR2" s="148"/>
      <c r="QJS2" s="148"/>
      <c r="QJT2" s="148"/>
      <c r="QJU2" s="148"/>
      <c r="QJV2" s="148"/>
      <c r="QJW2" s="148"/>
      <c r="QJX2" s="148"/>
      <c r="QJY2" s="148"/>
      <c r="QJZ2" s="148"/>
      <c r="QKA2" s="148"/>
      <c r="QKB2" s="148"/>
      <c r="QKC2" s="148"/>
      <c r="QKD2" s="148"/>
      <c r="QKE2" s="148"/>
      <c r="QKF2" s="148"/>
      <c r="QKG2" s="148"/>
      <c r="QKH2" s="148"/>
      <c r="QKI2" s="148"/>
      <c r="QKJ2" s="148"/>
      <c r="QKK2" s="148"/>
      <c r="QKL2" s="148"/>
      <c r="QKM2" s="148"/>
      <c r="QKN2" s="148"/>
      <c r="QKO2" s="148"/>
      <c r="QKP2" s="148"/>
      <c r="QKQ2" s="148"/>
      <c r="QKR2" s="148"/>
      <c r="QKS2" s="148"/>
      <c r="QKT2" s="148"/>
      <c r="QKU2" s="148"/>
      <c r="QKV2" s="148"/>
      <c r="QKW2" s="148"/>
      <c r="QKX2" s="148"/>
      <c r="QKY2" s="148"/>
      <c r="QKZ2" s="148"/>
      <c r="QLA2" s="148"/>
      <c r="QLB2" s="148"/>
      <c r="QLC2" s="148"/>
      <c r="QLD2" s="148"/>
      <c r="QLE2" s="148"/>
      <c r="QLF2" s="148"/>
      <c r="QLG2" s="148"/>
      <c r="QLH2" s="148"/>
      <c r="QLI2" s="148"/>
      <c r="QLJ2" s="148"/>
      <c r="QLK2" s="148"/>
      <c r="QLL2" s="148"/>
      <c r="QLM2" s="148"/>
      <c r="QLN2" s="148"/>
      <c r="QLO2" s="148"/>
      <c r="QLP2" s="148"/>
      <c r="QLQ2" s="148"/>
      <c r="QLR2" s="148"/>
      <c r="QLS2" s="148"/>
      <c r="QLT2" s="148"/>
      <c r="QLU2" s="148"/>
      <c r="QLV2" s="148"/>
      <c r="QLW2" s="148"/>
      <c r="QLX2" s="148"/>
      <c r="QLY2" s="148"/>
      <c r="QLZ2" s="148"/>
      <c r="QMA2" s="148"/>
      <c r="QMB2" s="148"/>
      <c r="QMC2" s="148"/>
      <c r="QMD2" s="148"/>
      <c r="QME2" s="148"/>
      <c r="QMF2" s="148"/>
      <c r="QMG2" s="148"/>
      <c r="QMH2" s="148"/>
      <c r="QMI2" s="148"/>
      <c r="QMJ2" s="148"/>
      <c r="QMK2" s="148"/>
      <c r="QML2" s="148"/>
      <c r="QMM2" s="148"/>
      <c r="QMN2" s="148"/>
      <c r="QMO2" s="148"/>
      <c r="QMP2" s="148"/>
      <c r="QMQ2" s="148"/>
      <c r="QMR2" s="148"/>
      <c r="QMS2" s="148"/>
      <c r="QMT2" s="148"/>
      <c r="QMU2" s="148"/>
      <c r="QMV2" s="148"/>
      <c r="QMW2" s="148"/>
      <c r="QMX2" s="148"/>
      <c r="QMY2" s="148"/>
      <c r="QMZ2" s="148"/>
      <c r="QNA2" s="148"/>
      <c r="QNB2" s="148"/>
      <c r="QNC2" s="148"/>
      <c r="QND2" s="148"/>
      <c r="QNE2" s="148"/>
      <c r="QNF2" s="148"/>
      <c r="QNG2" s="148"/>
      <c r="QNH2" s="148"/>
      <c r="QNI2" s="148"/>
      <c r="QNJ2" s="148"/>
      <c r="QNK2" s="148"/>
      <c r="QNL2" s="148"/>
      <c r="QNM2" s="148"/>
      <c r="QNN2" s="148"/>
      <c r="QNO2" s="148"/>
      <c r="QNP2" s="148"/>
      <c r="QNQ2" s="148"/>
      <c r="QNR2" s="148"/>
      <c r="QNS2" s="148"/>
      <c r="QNT2" s="148"/>
      <c r="QNU2" s="148"/>
      <c r="QNV2" s="148"/>
      <c r="QNW2" s="148"/>
      <c r="QNX2" s="148"/>
      <c r="QNY2" s="148"/>
      <c r="QNZ2" s="148"/>
      <c r="QOA2" s="148"/>
      <c r="QOB2" s="148"/>
      <c r="QOC2" s="148"/>
      <c r="QOD2" s="148"/>
      <c r="QOE2" s="148"/>
      <c r="QOF2" s="148"/>
      <c r="QOG2" s="148"/>
      <c r="QOH2" s="148"/>
      <c r="QOI2" s="148"/>
      <c r="QOJ2" s="148"/>
      <c r="QOK2" s="148"/>
      <c r="QOL2" s="148"/>
      <c r="QOM2" s="148"/>
      <c r="QON2" s="148"/>
      <c r="QOO2" s="148"/>
      <c r="QOP2" s="148"/>
      <c r="QOQ2" s="148"/>
      <c r="QOR2" s="148"/>
      <c r="QOS2" s="148"/>
      <c r="QOT2" s="148"/>
      <c r="QOU2" s="148"/>
      <c r="QOV2" s="148"/>
      <c r="QOW2" s="148"/>
      <c r="QOX2" s="148"/>
      <c r="QOY2" s="148"/>
      <c r="QOZ2" s="148"/>
      <c r="QPA2" s="148"/>
      <c r="QPB2" s="148"/>
      <c r="QPC2" s="148"/>
      <c r="QPD2" s="148"/>
      <c r="QPE2" s="148"/>
      <c r="QPF2" s="148"/>
      <c r="QPG2" s="148"/>
      <c r="QPH2" s="148"/>
      <c r="QPI2" s="148"/>
      <c r="QPJ2" s="148"/>
      <c r="QPK2" s="148"/>
      <c r="QPL2" s="148"/>
      <c r="QPM2" s="148"/>
      <c r="QPN2" s="148"/>
      <c r="QPO2" s="148"/>
      <c r="QPP2" s="148"/>
      <c r="QPQ2" s="148"/>
      <c r="QPR2" s="148"/>
      <c r="QPS2" s="148"/>
      <c r="QPT2" s="148"/>
      <c r="QPU2" s="148"/>
      <c r="QPV2" s="148"/>
      <c r="QPW2" s="148"/>
      <c r="QPX2" s="148"/>
      <c r="QPY2" s="148"/>
      <c r="QPZ2" s="148"/>
      <c r="QQA2" s="148"/>
      <c r="QQB2" s="148"/>
      <c r="QQC2" s="148"/>
      <c r="QQD2" s="148"/>
      <c r="QQE2" s="148"/>
      <c r="QQF2" s="148"/>
      <c r="QQG2" s="148"/>
      <c r="QQH2" s="148"/>
      <c r="QQI2" s="148"/>
      <c r="QQJ2" s="148"/>
      <c r="QQK2" s="148"/>
      <c r="QQL2" s="148"/>
      <c r="QQM2" s="148"/>
      <c r="QQN2" s="148"/>
      <c r="QQO2" s="148"/>
      <c r="QQP2" s="148"/>
      <c r="QQQ2" s="148"/>
      <c r="QQR2" s="148"/>
      <c r="QQS2" s="148"/>
      <c r="QQT2" s="148"/>
      <c r="QQU2" s="148"/>
      <c r="QQV2" s="148"/>
      <c r="QQW2" s="148"/>
      <c r="QQX2" s="148"/>
      <c r="QQY2" s="148"/>
      <c r="QQZ2" s="148"/>
      <c r="QRA2" s="148"/>
      <c r="QRB2" s="148"/>
      <c r="QRC2" s="148"/>
      <c r="QRD2" s="148"/>
      <c r="QRE2" s="148"/>
      <c r="QRF2" s="148"/>
      <c r="QRG2" s="148"/>
      <c r="QRH2" s="148"/>
      <c r="QRI2" s="148"/>
      <c r="QRJ2" s="148"/>
      <c r="QRK2" s="148"/>
      <c r="QRL2" s="148"/>
      <c r="QRM2" s="148"/>
      <c r="QRN2" s="148"/>
      <c r="QRO2" s="148"/>
      <c r="QRP2" s="148"/>
      <c r="QRQ2" s="148"/>
      <c r="QRR2" s="148"/>
      <c r="QRS2" s="148"/>
      <c r="QRT2" s="148"/>
      <c r="QRU2" s="148"/>
      <c r="QRV2" s="148"/>
      <c r="QRW2" s="148"/>
      <c r="QRX2" s="148"/>
      <c r="QRY2" s="148"/>
      <c r="QRZ2" s="148"/>
      <c r="QSA2" s="148"/>
      <c r="QSB2" s="148"/>
      <c r="QSC2" s="148"/>
      <c r="QSD2" s="148"/>
      <c r="QSE2" s="148"/>
      <c r="QSF2" s="148"/>
      <c r="QSG2" s="148"/>
      <c r="QSH2" s="148"/>
      <c r="QSI2" s="148"/>
      <c r="QSJ2" s="148"/>
      <c r="QSK2" s="148"/>
      <c r="QSL2" s="148"/>
      <c r="QSM2" s="148"/>
      <c r="QSN2" s="148"/>
      <c r="QSO2" s="148"/>
      <c r="QSP2" s="148"/>
      <c r="QSQ2" s="148"/>
      <c r="QSR2" s="148"/>
      <c r="QSS2" s="148"/>
      <c r="QST2" s="148"/>
      <c r="QSU2" s="148"/>
      <c r="QSV2" s="148"/>
      <c r="QSW2" s="148"/>
      <c r="QSX2" s="148"/>
      <c r="QSY2" s="148"/>
      <c r="QSZ2" s="148"/>
      <c r="QTA2" s="148"/>
      <c r="QTB2" s="148"/>
      <c r="QTC2" s="148"/>
      <c r="QTD2" s="148"/>
      <c r="QTE2" s="148"/>
      <c r="QTF2" s="148"/>
      <c r="QTG2" s="148"/>
      <c r="QTH2" s="148"/>
      <c r="QTI2" s="148"/>
      <c r="QTJ2" s="148"/>
      <c r="QTK2" s="148"/>
      <c r="QTL2" s="148"/>
      <c r="QTM2" s="148"/>
      <c r="QTN2" s="148"/>
      <c r="QTO2" s="148"/>
      <c r="QTP2" s="148"/>
      <c r="QTQ2" s="148"/>
      <c r="QTR2" s="148"/>
      <c r="QTS2" s="148"/>
      <c r="QTT2" s="148"/>
      <c r="QTU2" s="148"/>
      <c r="QTV2" s="148"/>
      <c r="QTW2" s="148"/>
      <c r="QTX2" s="148"/>
      <c r="QTY2" s="148"/>
      <c r="QTZ2" s="148"/>
      <c r="QUA2" s="148"/>
      <c r="QUB2" s="148"/>
      <c r="QUC2" s="148"/>
      <c r="QUD2" s="148"/>
      <c r="QUE2" s="148"/>
      <c r="QUF2" s="148"/>
      <c r="QUG2" s="148"/>
      <c r="QUH2" s="148"/>
      <c r="QUI2" s="148"/>
      <c r="QUJ2" s="148"/>
      <c r="QUK2" s="148"/>
      <c r="QUL2" s="148"/>
      <c r="QUM2" s="148"/>
      <c r="QUN2" s="148"/>
      <c r="QUO2" s="148"/>
      <c r="QUP2" s="148"/>
      <c r="QUQ2" s="148"/>
      <c r="QUR2" s="148"/>
      <c r="QUS2" s="148"/>
      <c r="QUT2" s="148"/>
      <c r="QUU2" s="148"/>
      <c r="QUV2" s="148"/>
      <c r="QUW2" s="148"/>
      <c r="QUX2" s="148"/>
      <c r="QUY2" s="148"/>
      <c r="QUZ2" s="148"/>
      <c r="QVA2" s="148"/>
      <c r="QVB2" s="148"/>
      <c r="QVC2" s="148"/>
      <c r="QVD2" s="148"/>
      <c r="QVE2" s="148"/>
      <c r="QVF2" s="148"/>
      <c r="QVG2" s="148"/>
      <c r="QVH2" s="148"/>
      <c r="QVI2" s="148"/>
      <c r="QVJ2" s="148"/>
      <c r="QVK2" s="148"/>
      <c r="QVL2" s="148"/>
      <c r="QVM2" s="148"/>
      <c r="QVN2" s="148"/>
      <c r="QVO2" s="148"/>
      <c r="QVP2" s="148"/>
      <c r="QVQ2" s="148"/>
      <c r="QVR2" s="148"/>
      <c r="QVS2" s="148"/>
      <c r="QVT2" s="148"/>
      <c r="QVU2" s="148"/>
      <c r="QVV2" s="148"/>
      <c r="QVW2" s="148"/>
      <c r="QVX2" s="148"/>
      <c r="QVY2" s="148"/>
      <c r="QVZ2" s="148"/>
      <c r="QWA2" s="148"/>
      <c r="QWB2" s="148"/>
      <c r="QWC2" s="148"/>
      <c r="QWD2" s="148"/>
      <c r="QWE2" s="148"/>
      <c r="QWF2" s="148"/>
      <c r="QWG2" s="148"/>
      <c r="QWH2" s="148"/>
      <c r="QWI2" s="148"/>
      <c r="QWJ2" s="148"/>
      <c r="QWK2" s="148"/>
      <c r="QWL2" s="148"/>
      <c r="QWM2" s="148"/>
      <c r="QWN2" s="148"/>
      <c r="QWO2" s="148"/>
      <c r="QWP2" s="148"/>
      <c r="QWQ2" s="148"/>
      <c r="QWR2" s="148"/>
      <c r="QWS2" s="148"/>
      <c r="QWT2" s="148"/>
      <c r="QWU2" s="148"/>
      <c r="QWV2" s="148"/>
      <c r="QWW2" s="148"/>
      <c r="QWX2" s="148"/>
      <c r="QWY2" s="148"/>
      <c r="QWZ2" s="148"/>
      <c r="QXA2" s="148"/>
      <c r="QXB2" s="148"/>
      <c r="QXC2" s="148"/>
      <c r="QXD2" s="148"/>
      <c r="QXE2" s="148"/>
      <c r="QXF2" s="148"/>
      <c r="QXG2" s="148"/>
      <c r="QXH2" s="148"/>
      <c r="QXI2" s="148"/>
      <c r="QXJ2" s="148"/>
      <c r="QXK2" s="148"/>
      <c r="QXL2" s="148"/>
      <c r="QXM2" s="148"/>
      <c r="QXN2" s="148"/>
      <c r="QXO2" s="148"/>
      <c r="QXP2" s="148"/>
      <c r="QXQ2" s="148"/>
      <c r="QXR2" s="148"/>
      <c r="QXS2" s="148"/>
      <c r="QXT2" s="148"/>
      <c r="QXU2" s="148"/>
      <c r="QXV2" s="148"/>
      <c r="QXW2" s="148"/>
      <c r="QXX2" s="148"/>
      <c r="QXY2" s="148"/>
      <c r="QXZ2" s="148"/>
      <c r="QYA2" s="148"/>
      <c r="QYB2" s="148"/>
      <c r="QYC2" s="148"/>
      <c r="QYD2" s="148"/>
      <c r="QYE2" s="148"/>
      <c r="QYF2" s="148"/>
      <c r="QYG2" s="148"/>
      <c r="QYH2" s="148"/>
      <c r="QYI2" s="148"/>
      <c r="QYJ2" s="148"/>
      <c r="QYK2" s="148"/>
      <c r="QYL2" s="148"/>
      <c r="QYM2" s="148"/>
      <c r="QYN2" s="148"/>
      <c r="QYO2" s="148"/>
      <c r="QYP2" s="148"/>
      <c r="QYQ2" s="148"/>
      <c r="QYR2" s="148"/>
      <c r="QYS2" s="148"/>
      <c r="QYT2" s="148"/>
      <c r="QYU2" s="148"/>
      <c r="QYV2" s="148"/>
      <c r="QYW2" s="148"/>
      <c r="QYX2" s="148"/>
      <c r="QYY2" s="148"/>
      <c r="QYZ2" s="148"/>
      <c r="QZA2" s="148"/>
      <c r="QZB2" s="148"/>
      <c r="QZC2" s="148"/>
      <c r="QZD2" s="148"/>
      <c r="QZE2" s="148"/>
      <c r="QZF2" s="148"/>
      <c r="QZG2" s="148"/>
      <c r="QZH2" s="148"/>
      <c r="QZI2" s="148"/>
      <c r="QZJ2" s="148"/>
      <c r="QZK2" s="148"/>
      <c r="QZL2" s="148"/>
      <c r="QZM2" s="148"/>
      <c r="QZN2" s="148"/>
      <c r="QZO2" s="148"/>
      <c r="QZP2" s="148"/>
      <c r="QZQ2" s="148"/>
      <c r="QZR2" s="148"/>
      <c r="QZS2" s="148"/>
      <c r="QZT2" s="148"/>
      <c r="QZU2" s="148"/>
      <c r="QZV2" s="148"/>
      <c r="QZW2" s="148"/>
      <c r="QZX2" s="148"/>
      <c r="QZY2" s="148"/>
      <c r="QZZ2" s="148"/>
      <c r="RAA2" s="148"/>
      <c r="RAB2" s="148"/>
      <c r="RAC2" s="148"/>
      <c r="RAD2" s="148"/>
      <c r="RAE2" s="148"/>
      <c r="RAF2" s="148"/>
      <c r="RAG2" s="148"/>
      <c r="RAH2" s="148"/>
      <c r="RAI2" s="148"/>
      <c r="RAJ2" s="148"/>
      <c r="RAK2" s="148"/>
      <c r="RAL2" s="148"/>
      <c r="RAM2" s="148"/>
      <c r="RAN2" s="148"/>
      <c r="RAO2" s="148"/>
      <c r="RAP2" s="148"/>
      <c r="RAQ2" s="148"/>
      <c r="RAR2" s="148"/>
      <c r="RAS2" s="148"/>
      <c r="RAT2" s="148"/>
      <c r="RAU2" s="148"/>
      <c r="RAV2" s="148"/>
      <c r="RAW2" s="148"/>
      <c r="RAX2" s="148"/>
      <c r="RAY2" s="148"/>
      <c r="RAZ2" s="148"/>
      <c r="RBA2" s="148"/>
      <c r="RBB2" s="148"/>
      <c r="RBC2" s="148"/>
      <c r="RBD2" s="148"/>
      <c r="RBE2" s="148"/>
      <c r="RBF2" s="148"/>
      <c r="RBG2" s="148"/>
      <c r="RBH2" s="148"/>
      <c r="RBI2" s="148"/>
      <c r="RBJ2" s="148"/>
      <c r="RBK2" s="148"/>
      <c r="RBL2" s="148"/>
      <c r="RBM2" s="148"/>
      <c r="RBN2" s="148"/>
      <c r="RBO2" s="148"/>
      <c r="RBP2" s="148"/>
      <c r="RBQ2" s="148"/>
      <c r="RBR2" s="148"/>
      <c r="RBS2" s="148"/>
      <c r="RBT2" s="148"/>
      <c r="RBU2" s="148"/>
      <c r="RBV2" s="148"/>
      <c r="RBW2" s="148"/>
      <c r="RBX2" s="148"/>
      <c r="RBY2" s="148"/>
      <c r="RBZ2" s="148"/>
      <c r="RCA2" s="148"/>
      <c r="RCB2" s="148"/>
      <c r="RCC2" s="148"/>
      <c r="RCD2" s="148"/>
      <c r="RCE2" s="148"/>
      <c r="RCF2" s="148"/>
      <c r="RCG2" s="148"/>
      <c r="RCH2" s="148"/>
      <c r="RCI2" s="148"/>
      <c r="RCJ2" s="148"/>
      <c r="RCK2" s="148"/>
      <c r="RCL2" s="148"/>
      <c r="RCM2" s="148"/>
      <c r="RCN2" s="148"/>
      <c r="RCO2" s="148"/>
      <c r="RCP2" s="148"/>
      <c r="RCQ2" s="148"/>
      <c r="RCR2" s="148"/>
      <c r="RCS2" s="148"/>
      <c r="RCT2" s="148"/>
      <c r="RCU2" s="148"/>
      <c r="RCV2" s="148"/>
      <c r="RCW2" s="148"/>
      <c r="RCX2" s="148"/>
      <c r="RCY2" s="148"/>
      <c r="RCZ2" s="148"/>
      <c r="RDA2" s="148"/>
      <c r="RDB2" s="148"/>
      <c r="RDC2" s="148"/>
      <c r="RDD2" s="148"/>
      <c r="RDE2" s="148"/>
      <c r="RDF2" s="148"/>
      <c r="RDG2" s="148"/>
      <c r="RDH2" s="148"/>
      <c r="RDI2" s="148"/>
      <c r="RDJ2" s="148"/>
      <c r="RDK2" s="148"/>
      <c r="RDL2" s="148"/>
      <c r="RDM2" s="148"/>
      <c r="RDN2" s="148"/>
      <c r="RDO2" s="148"/>
      <c r="RDP2" s="148"/>
      <c r="RDQ2" s="148"/>
      <c r="RDR2" s="148"/>
      <c r="RDS2" s="148"/>
      <c r="RDT2" s="148"/>
      <c r="RDU2" s="148"/>
      <c r="RDV2" s="148"/>
      <c r="RDW2" s="148"/>
      <c r="RDX2" s="148"/>
      <c r="RDY2" s="148"/>
      <c r="RDZ2" s="148"/>
      <c r="REA2" s="148"/>
      <c r="REB2" s="148"/>
      <c r="REC2" s="148"/>
      <c r="RED2" s="148"/>
      <c r="REE2" s="148"/>
      <c r="REF2" s="148"/>
      <c r="REG2" s="148"/>
      <c r="REH2" s="148"/>
      <c r="REI2" s="148"/>
      <c r="REJ2" s="148"/>
      <c r="REK2" s="148"/>
      <c r="REL2" s="148"/>
      <c r="REM2" s="148"/>
      <c r="REN2" s="148"/>
      <c r="REO2" s="148"/>
      <c r="REP2" s="148"/>
      <c r="REQ2" s="148"/>
      <c r="RER2" s="148"/>
      <c r="RES2" s="148"/>
      <c r="RET2" s="148"/>
      <c r="REU2" s="148"/>
      <c r="REV2" s="148"/>
      <c r="REW2" s="148"/>
      <c r="REX2" s="148"/>
      <c r="REY2" s="148"/>
      <c r="REZ2" s="148"/>
      <c r="RFA2" s="148"/>
      <c r="RFB2" s="148"/>
      <c r="RFC2" s="148"/>
      <c r="RFD2" s="148"/>
      <c r="RFE2" s="148"/>
      <c r="RFF2" s="148"/>
      <c r="RFG2" s="148"/>
      <c r="RFH2" s="148"/>
      <c r="RFI2" s="148"/>
      <c r="RFJ2" s="148"/>
      <c r="RFK2" s="148"/>
      <c r="RFL2" s="148"/>
      <c r="RFM2" s="148"/>
      <c r="RFN2" s="148"/>
      <c r="RFO2" s="148"/>
      <c r="RFP2" s="148"/>
      <c r="RFQ2" s="148"/>
      <c r="RFR2" s="148"/>
      <c r="RFS2" s="148"/>
      <c r="RFT2" s="148"/>
      <c r="RFU2" s="148"/>
      <c r="RFV2" s="148"/>
      <c r="RFW2" s="148"/>
      <c r="RFX2" s="148"/>
      <c r="RFY2" s="148"/>
      <c r="RFZ2" s="148"/>
      <c r="RGA2" s="148"/>
      <c r="RGB2" s="148"/>
      <c r="RGC2" s="148"/>
      <c r="RGD2" s="148"/>
      <c r="RGE2" s="148"/>
      <c r="RGF2" s="148"/>
      <c r="RGG2" s="148"/>
      <c r="RGH2" s="148"/>
      <c r="RGI2" s="148"/>
      <c r="RGJ2" s="148"/>
      <c r="RGK2" s="148"/>
      <c r="RGL2" s="148"/>
      <c r="RGM2" s="148"/>
      <c r="RGN2" s="148"/>
      <c r="RGO2" s="148"/>
      <c r="RGP2" s="148"/>
      <c r="RGQ2" s="148"/>
      <c r="RGR2" s="148"/>
      <c r="RGS2" s="148"/>
      <c r="RGT2" s="148"/>
      <c r="RGU2" s="148"/>
      <c r="RGV2" s="148"/>
      <c r="RGW2" s="148"/>
      <c r="RGX2" s="148"/>
      <c r="RGY2" s="148"/>
      <c r="RGZ2" s="148"/>
      <c r="RHA2" s="148"/>
      <c r="RHB2" s="148"/>
      <c r="RHC2" s="148"/>
      <c r="RHD2" s="148"/>
      <c r="RHE2" s="148"/>
      <c r="RHF2" s="148"/>
      <c r="RHG2" s="148"/>
      <c r="RHH2" s="148"/>
      <c r="RHI2" s="148"/>
      <c r="RHJ2" s="148"/>
      <c r="RHK2" s="148"/>
      <c r="RHL2" s="148"/>
      <c r="RHM2" s="148"/>
      <c r="RHN2" s="148"/>
      <c r="RHO2" s="148"/>
      <c r="RHP2" s="148"/>
      <c r="RHQ2" s="148"/>
      <c r="RHR2" s="148"/>
      <c r="RHS2" s="148"/>
      <c r="RHT2" s="148"/>
      <c r="RHU2" s="148"/>
      <c r="RHV2" s="148"/>
      <c r="RHW2" s="148"/>
      <c r="RHX2" s="148"/>
      <c r="RHY2" s="148"/>
      <c r="RHZ2" s="148"/>
      <c r="RIA2" s="148"/>
      <c r="RIB2" s="148"/>
      <c r="RIC2" s="148"/>
      <c r="RID2" s="148"/>
      <c r="RIE2" s="148"/>
      <c r="RIF2" s="148"/>
      <c r="RIG2" s="148"/>
      <c r="RIH2" s="148"/>
      <c r="RII2" s="148"/>
      <c r="RIJ2" s="148"/>
      <c r="RIK2" s="148"/>
      <c r="RIL2" s="148"/>
      <c r="RIM2" s="148"/>
      <c r="RIN2" s="148"/>
      <c r="RIO2" s="148"/>
      <c r="RIP2" s="148"/>
      <c r="RIQ2" s="148"/>
      <c r="RIR2" s="148"/>
      <c r="RIS2" s="148"/>
      <c r="RIT2" s="148"/>
      <c r="RIU2" s="148"/>
      <c r="RIV2" s="148"/>
      <c r="RIW2" s="148"/>
      <c r="RIX2" s="148"/>
      <c r="RIY2" s="148"/>
      <c r="RIZ2" s="148"/>
      <c r="RJA2" s="148"/>
      <c r="RJB2" s="148"/>
      <c r="RJC2" s="148"/>
      <c r="RJD2" s="148"/>
      <c r="RJE2" s="148"/>
      <c r="RJF2" s="148"/>
      <c r="RJG2" s="148"/>
      <c r="RJH2" s="148"/>
      <c r="RJI2" s="148"/>
      <c r="RJJ2" s="148"/>
      <c r="RJK2" s="148"/>
      <c r="RJL2" s="148"/>
      <c r="RJM2" s="148"/>
      <c r="RJN2" s="148"/>
      <c r="RJO2" s="148"/>
      <c r="RJP2" s="148"/>
      <c r="RJQ2" s="148"/>
      <c r="RJR2" s="148"/>
      <c r="RJS2" s="148"/>
      <c r="RJT2" s="148"/>
      <c r="RJU2" s="148"/>
      <c r="RJV2" s="148"/>
      <c r="RJW2" s="148"/>
      <c r="RJX2" s="148"/>
      <c r="RJY2" s="148"/>
      <c r="RJZ2" s="148"/>
      <c r="RKA2" s="148"/>
      <c r="RKB2" s="148"/>
      <c r="RKC2" s="148"/>
      <c r="RKD2" s="148"/>
      <c r="RKE2" s="148"/>
      <c r="RKF2" s="148"/>
      <c r="RKG2" s="148"/>
      <c r="RKH2" s="148"/>
      <c r="RKI2" s="148"/>
      <c r="RKJ2" s="148"/>
      <c r="RKK2" s="148"/>
      <c r="RKL2" s="148"/>
      <c r="RKM2" s="148"/>
      <c r="RKN2" s="148"/>
      <c r="RKO2" s="148"/>
      <c r="RKP2" s="148"/>
      <c r="RKQ2" s="148"/>
      <c r="RKR2" s="148"/>
      <c r="RKS2" s="148"/>
      <c r="RKT2" s="148"/>
      <c r="RKU2" s="148"/>
      <c r="RKV2" s="148"/>
      <c r="RKW2" s="148"/>
      <c r="RKX2" s="148"/>
      <c r="RKY2" s="148"/>
      <c r="RKZ2" s="148"/>
      <c r="RLA2" s="148"/>
      <c r="RLB2" s="148"/>
      <c r="RLC2" s="148"/>
      <c r="RLD2" s="148"/>
      <c r="RLE2" s="148"/>
      <c r="RLF2" s="148"/>
      <c r="RLG2" s="148"/>
      <c r="RLH2" s="148"/>
      <c r="RLI2" s="148"/>
      <c r="RLJ2" s="148"/>
      <c r="RLK2" s="148"/>
      <c r="RLL2" s="148"/>
      <c r="RLM2" s="148"/>
      <c r="RLN2" s="148"/>
      <c r="RLO2" s="148"/>
      <c r="RLP2" s="148"/>
      <c r="RLQ2" s="148"/>
      <c r="RLR2" s="148"/>
      <c r="RLS2" s="148"/>
      <c r="RLT2" s="148"/>
      <c r="RLU2" s="148"/>
      <c r="RLV2" s="148"/>
      <c r="RLW2" s="148"/>
      <c r="RLX2" s="148"/>
      <c r="RLY2" s="148"/>
      <c r="RLZ2" s="148"/>
      <c r="RMA2" s="148"/>
      <c r="RMB2" s="148"/>
      <c r="RMC2" s="148"/>
      <c r="RMD2" s="148"/>
      <c r="RME2" s="148"/>
      <c r="RMF2" s="148"/>
      <c r="RMG2" s="148"/>
      <c r="RMH2" s="148"/>
      <c r="RMI2" s="148"/>
      <c r="RMJ2" s="148"/>
      <c r="RMK2" s="148"/>
      <c r="RML2" s="148"/>
      <c r="RMM2" s="148"/>
      <c r="RMN2" s="148"/>
      <c r="RMO2" s="148"/>
      <c r="RMP2" s="148"/>
      <c r="RMQ2" s="148"/>
      <c r="RMR2" s="148"/>
      <c r="RMS2" s="148"/>
      <c r="RMT2" s="148"/>
      <c r="RMU2" s="148"/>
      <c r="RMV2" s="148"/>
      <c r="RMW2" s="148"/>
      <c r="RMX2" s="148"/>
      <c r="RMY2" s="148"/>
      <c r="RMZ2" s="148"/>
      <c r="RNA2" s="148"/>
      <c r="RNB2" s="148"/>
      <c r="RNC2" s="148"/>
      <c r="RND2" s="148"/>
      <c r="RNE2" s="148"/>
      <c r="RNF2" s="148"/>
      <c r="RNG2" s="148"/>
      <c r="RNH2" s="148"/>
      <c r="RNI2" s="148"/>
      <c r="RNJ2" s="148"/>
      <c r="RNK2" s="148"/>
      <c r="RNL2" s="148"/>
      <c r="RNM2" s="148"/>
      <c r="RNN2" s="148"/>
      <c r="RNO2" s="148"/>
      <c r="RNP2" s="148"/>
      <c r="RNQ2" s="148"/>
      <c r="RNR2" s="148"/>
      <c r="RNS2" s="148"/>
      <c r="RNT2" s="148"/>
      <c r="RNU2" s="148"/>
      <c r="RNV2" s="148"/>
      <c r="RNW2" s="148"/>
      <c r="RNX2" s="148"/>
      <c r="RNY2" s="148"/>
      <c r="RNZ2" s="148"/>
      <c r="ROA2" s="148"/>
      <c r="ROB2" s="148"/>
      <c r="ROC2" s="148"/>
      <c r="ROD2" s="148"/>
      <c r="ROE2" s="148"/>
      <c r="ROF2" s="148"/>
      <c r="ROG2" s="148"/>
      <c r="ROH2" s="148"/>
      <c r="ROI2" s="148"/>
      <c r="ROJ2" s="148"/>
      <c r="ROK2" s="148"/>
      <c r="ROL2" s="148"/>
      <c r="ROM2" s="148"/>
      <c r="RON2" s="148"/>
      <c r="ROO2" s="148"/>
      <c r="ROP2" s="148"/>
      <c r="ROQ2" s="148"/>
      <c r="ROR2" s="148"/>
      <c r="ROS2" s="148"/>
      <c r="ROT2" s="148"/>
      <c r="ROU2" s="148"/>
      <c r="ROV2" s="148"/>
      <c r="ROW2" s="148"/>
      <c r="ROX2" s="148"/>
      <c r="ROY2" s="148"/>
      <c r="ROZ2" s="148"/>
      <c r="RPA2" s="148"/>
      <c r="RPB2" s="148"/>
      <c r="RPC2" s="148"/>
      <c r="RPD2" s="148"/>
      <c r="RPE2" s="148"/>
      <c r="RPF2" s="148"/>
      <c r="RPG2" s="148"/>
      <c r="RPH2" s="148"/>
      <c r="RPI2" s="148"/>
      <c r="RPJ2" s="148"/>
      <c r="RPK2" s="148"/>
      <c r="RPL2" s="148"/>
      <c r="RPM2" s="148"/>
      <c r="RPN2" s="148"/>
      <c r="RPO2" s="148"/>
      <c r="RPP2" s="148"/>
      <c r="RPQ2" s="148"/>
      <c r="RPR2" s="148"/>
      <c r="RPS2" s="148"/>
      <c r="RPT2" s="148"/>
      <c r="RPU2" s="148"/>
      <c r="RPV2" s="148"/>
      <c r="RPW2" s="148"/>
      <c r="RPX2" s="148"/>
      <c r="RPY2" s="148"/>
      <c r="RPZ2" s="148"/>
      <c r="RQA2" s="148"/>
      <c r="RQB2" s="148"/>
      <c r="RQC2" s="148"/>
      <c r="RQD2" s="148"/>
      <c r="RQE2" s="148"/>
      <c r="RQF2" s="148"/>
      <c r="RQG2" s="148"/>
      <c r="RQH2" s="148"/>
      <c r="RQI2" s="148"/>
      <c r="RQJ2" s="148"/>
      <c r="RQK2" s="148"/>
      <c r="RQL2" s="148"/>
      <c r="RQM2" s="148"/>
      <c r="RQN2" s="148"/>
      <c r="RQO2" s="148"/>
      <c r="RQP2" s="148"/>
      <c r="RQQ2" s="148"/>
      <c r="RQR2" s="148"/>
      <c r="RQS2" s="148"/>
      <c r="RQT2" s="148"/>
      <c r="RQU2" s="148"/>
      <c r="RQV2" s="148"/>
      <c r="RQW2" s="148"/>
      <c r="RQX2" s="148"/>
      <c r="RQY2" s="148"/>
      <c r="RQZ2" s="148"/>
      <c r="RRA2" s="148"/>
      <c r="RRB2" s="148"/>
      <c r="RRC2" s="148"/>
      <c r="RRD2" s="148"/>
      <c r="RRE2" s="148"/>
      <c r="RRF2" s="148"/>
      <c r="RRG2" s="148"/>
      <c r="RRH2" s="148"/>
      <c r="RRI2" s="148"/>
      <c r="RRJ2" s="148"/>
      <c r="RRK2" s="148"/>
      <c r="RRL2" s="148"/>
      <c r="RRM2" s="148"/>
      <c r="RRN2" s="148"/>
      <c r="RRO2" s="148"/>
      <c r="RRP2" s="148"/>
      <c r="RRQ2" s="148"/>
      <c r="RRR2" s="148"/>
      <c r="RRS2" s="148"/>
      <c r="RRT2" s="148"/>
      <c r="RRU2" s="148"/>
      <c r="RRV2" s="148"/>
      <c r="RRW2" s="148"/>
      <c r="RRX2" s="148"/>
      <c r="RRY2" s="148"/>
      <c r="RRZ2" s="148"/>
      <c r="RSA2" s="148"/>
      <c r="RSB2" s="148"/>
      <c r="RSC2" s="148"/>
      <c r="RSD2" s="148"/>
      <c r="RSE2" s="148"/>
      <c r="RSF2" s="148"/>
      <c r="RSG2" s="148"/>
      <c r="RSH2" s="148"/>
      <c r="RSI2" s="148"/>
      <c r="RSJ2" s="148"/>
      <c r="RSK2" s="148"/>
      <c r="RSL2" s="148"/>
      <c r="RSM2" s="148"/>
      <c r="RSN2" s="148"/>
      <c r="RSO2" s="148"/>
      <c r="RSP2" s="148"/>
      <c r="RSQ2" s="148"/>
      <c r="RSR2" s="148"/>
      <c r="RSS2" s="148"/>
      <c r="RST2" s="148"/>
      <c r="RSU2" s="148"/>
      <c r="RSV2" s="148"/>
      <c r="RSW2" s="148"/>
      <c r="RSX2" s="148"/>
      <c r="RSY2" s="148"/>
      <c r="RSZ2" s="148"/>
      <c r="RTA2" s="148"/>
      <c r="RTB2" s="148"/>
      <c r="RTC2" s="148"/>
      <c r="RTD2" s="148"/>
      <c r="RTE2" s="148"/>
      <c r="RTF2" s="148"/>
      <c r="RTG2" s="148"/>
      <c r="RTH2" s="148"/>
      <c r="RTI2" s="148"/>
      <c r="RTJ2" s="148"/>
      <c r="RTK2" s="148"/>
      <c r="RTL2" s="148"/>
      <c r="RTM2" s="148"/>
      <c r="RTN2" s="148"/>
      <c r="RTO2" s="148"/>
      <c r="RTP2" s="148"/>
      <c r="RTQ2" s="148"/>
      <c r="RTR2" s="148"/>
      <c r="RTS2" s="148"/>
      <c r="RTT2" s="148"/>
      <c r="RTU2" s="148"/>
      <c r="RTV2" s="148"/>
      <c r="RTW2" s="148"/>
      <c r="RTX2" s="148"/>
      <c r="RTY2" s="148"/>
      <c r="RTZ2" s="148"/>
      <c r="RUA2" s="148"/>
      <c r="RUB2" s="148"/>
      <c r="RUC2" s="148"/>
      <c r="RUD2" s="148"/>
      <c r="RUE2" s="148"/>
      <c r="RUF2" s="148"/>
      <c r="RUG2" s="148"/>
      <c r="RUH2" s="148"/>
      <c r="RUI2" s="148"/>
      <c r="RUJ2" s="148"/>
      <c r="RUK2" s="148"/>
      <c r="RUL2" s="148"/>
      <c r="RUM2" s="148"/>
      <c r="RUN2" s="148"/>
      <c r="RUO2" s="148"/>
      <c r="RUP2" s="148"/>
      <c r="RUQ2" s="148"/>
      <c r="RUR2" s="148"/>
      <c r="RUS2" s="148"/>
      <c r="RUT2" s="148"/>
      <c r="RUU2" s="148"/>
      <c r="RUV2" s="148"/>
      <c r="RUW2" s="148"/>
      <c r="RUX2" s="148"/>
      <c r="RUY2" s="148"/>
      <c r="RUZ2" s="148"/>
      <c r="RVA2" s="148"/>
      <c r="RVB2" s="148"/>
      <c r="RVC2" s="148"/>
      <c r="RVD2" s="148"/>
      <c r="RVE2" s="148"/>
      <c r="RVF2" s="148"/>
      <c r="RVG2" s="148"/>
      <c r="RVH2" s="148"/>
      <c r="RVI2" s="148"/>
      <c r="RVJ2" s="148"/>
      <c r="RVK2" s="148"/>
      <c r="RVL2" s="148"/>
      <c r="RVM2" s="148"/>
      <c r="RVN2" s="148"/>
      <c r="RVO2" s="148"/>
      <c r="RVP2" s="148"/>
      <c r="RVQ2" s="148"/>
      <c r="RVR2" s="148"/>
      <c r="RVS2" s="148"/>
      <c r="RVT2" s="148"/>
      <c r="RVU2" s="148"/>
      <c r="RVV2" s="148"/>
      <c r="RVW2" s="148"/>
      <c r="RVX2" s="148"/>
      <c r="RVY2" s="148"/>
      <c r="RVZ2" s="148"/>
      <c r="RWA2" s="148"/>
      <c r="RWB2" s="148"/>
      <c r="RWC2" s="148"/>
      <c r="RWD2" s="148"/>
      <c r="RWE2" s="148"/>
      <c r="RWF2" s="148"/>
      <c r="RWG2" s="148"/>
      <c r="RWH2" s="148"/>
      <c r="RWI2" s="148"/>
      <c r="RWJ2" s="148"/>
      <c r="RWK2" s="148"/>
      <c r="RWL2" s="148"/>
      <c r="RWM2" s="148"/>
      <c r="RWN2" s="148"/>
      <c r="RWO2" s="148"/>
      <c r="RWP2" s="148"/>
      <c r="RWQ2" s="148"/>
      <c r="RWR2" s="148"/>
      <c r="RWS2" s="148"/>
      <c r="RWT2" s="148"/>
      <c r="RWU2" s="148"/>
      <c r="RWV2" s="148"/>
      <c r="RWW2" s="148"/>
      <c r="RWX2" s="148"/>
      <c r="RWY2" s="148"/>
      <c r="RWZ2" s="148"/>
      <c r="RXA2" s="148"/>
      <c r="RXB2" s="148"/>
      <c r="RXC2" s="148"/>
      <c r="RXD2" s="148"/>
      <c r="RXE2" s="148"/>
      <c r="RXF2" s="148"/>
      <c r="RXG2" s="148"/>
      <c r="RXH2" s="148"/>
      <c r="RXI2" s="148"/>
      <c r="RXJ2" s="148"/>
      <c r="RXK2" s="148"/>
      <c r="RXL2" s="148"/>
      <c r="RXM2" s="148"/>
      <c r="RXN2" s="148"/>
      <c r="RXO2" s="148"/>
      <c r="RXP2" s="148"/>
      <c r="RXQ2" s="148"/>
      <c r="RXR2" s="148"/>
      <c r="RXS2" s="148"/>
      <c r="RXT2" s="148"/>
      <c r="RXU2" s="148"/>
      <c r="RXV2" s="148"/>
      <c r="RXW2" s="148"/>
      <c r="RXX2" s="148"/>
      <c r="RXY2" s="148"/>
      <c r="RXZ2" s="148"/>
      <c r="RYA2" s="148"/>
      <c r="RYB2" s="148"/>
      <c r="RYC2" s="148"/>
      <c r="RYD2" s="148"/>
      <c r="RYE2" s="148"/>
      <c r="RYF2" s="148"/>
      <c r="RYG2" s="148"/>
      <c r="RYH2" s="148"/>
      <c r="RYI2" s="148"/>
      <c r="RYJ2" s="148"/>
      <c r="RYK2" s="148"/>
      <c r="RYL2" s="148"/>
      <c r="RYM2" s="148"/>
      <c r="RYN2" s="148"/>
      <c r="RYO2" s="148"/>
      <c r="RYP2" s="148"/>
      <c r="RYQ2" s="148"/>
      <c r="RYR2" s="148"/>
      <c r="RYS2" s="148"/>
      <c r="RYT2" s="148"/>
      <c r="RYU2" s="148"/>
      <c r="RYV2" s="148"/>
      <c r="RYW2" s="148"/>
      <c r="RYX2" s="148"/>
      <c r="RYY2" s="148"/>
      <c r="RYZ2" s="148"/>
      <c r="RZA2" s="148"/>
      <c r="RZB2" s="148"/>
      <c r="RZC2" s="148"/>
      <c r="RZD2" s="148"/>
      <c r="RZE2" s="148"/>
      <c r="RZF2" s="148"/>
      <c r="RZG2" s="148"/>
      <c r="RZH2" s="148"/>
      <c r="RZI2" s="148"/>
      <c r="RZJ2" s="148"/>
      <c r="RZK2" s="148"/>
      <c r="RZL2" s="148"/>
      <c r="RZM2" s="148"/>
      <c r="RZN2" s="148"/>
      <c r="RZO2" s="148"/>
      <c r="RZP2" s="148"/>
      <c r="RZQ2" s="148"/>
      <c r="RZR2" s="148"/>
      <c r="RZS2" s="148"/>
      <c r="RZT2" s="148"/>
      <c r="RZU2" s="148"/>
      <c r="RZV2" s="148"/>
      <c r="RZW2" s="148"/>
      <c r="RZX2" s="148"/>
      <c r="RZY2" s="148"/>
      <c r="RZZ2" s="148"/>
      <c r="SAA2" s="148"/>
      <c r="SAB2" s="148"/>
      <c r="SAC2" s="148"/>
      <c r="SAD2" s="148"/>
      <c r="SAE2" s="148"/>
      <c r="SAF2" s="148"/>
      <c r="SAG2" s="148"/>
      <c r="SAH2" s="148"/>
      <c r="SAI2" s="148"/>
      <c r="SAJ2" s="148"/>
      <c r="SAK2" s="148"/>
      <c r="SAL2" s="148"/>
      <c r="SAM2" s="148"/>
      <c r="SAN2" s="148"/>
      <c r="SAO2" s="148"/>
      <c r="SAP2" s="148"/>
      <c r="SAQ2" s="148"/>
      <c r="SAR2" s="148"/>
      <c r="SAS2" s="148"/>
      <c r="SAT2" s="148"/>
      <c r="SAU2" s="148"/>
      <c r="SAV2" s="148"/>
      <c r="SAW2" s="148"/>
      <c r="SAX2" s="148"/>
      <c r="SAY2" s="148"/>
      <c r="SAZ2" s="148"/>
      <c r="SBA2" s="148"/>
      <c r="SBB2" s="148"/>
      <c r="SBC2" s="148"/>
      <c r="SBD2" s="148"/>
      <c r="SBE2" s="148"/>
      <c r="SBF2" s="148"/>
      <c r="SBG2" s="148"/>
      <c r="SBH2" s="148"/>
      <c r="SBI2" s="148"/>
      <c r="SBJ2" s="148"/>
      <c r="SBK2" s="148"/>
      <c r="SBL2" s="148"/>
      <c r="SBM2" s="148"/>
      <c r="SBN2" s="148"/>
      <c r="SBO2" s="148"/>
      <c r="SBP2" s="148"/>
      <c r="SBQ2" s="148"/>
      <c r="SBR2" s="148"/>
      <c r="SBS2" s="148"/>
      <c r="SBT2" s="148"/>
      <c r="SBU2" s="148"/>
      <c r="SBV2" s="148"/>
      <c r="SBW2" s="148"/>
      <c r="SBX2" s="148"/>
      <c r="SBY2" s="148"/>
      <c r="SBZ2" s="148"/>
      <c r="SCA2" s="148"/>
      <c r="SCB2" s="148"/>
      <c r="SCC2" s="148"/>
      <c r="SCD2" s="148"/>
      <c r="SCE2" s="148"/>
      <c r="SCF2" s="148"/>
      <c r="SCG2" s="148"/>
      <c r="SCH2" s="148"/>
      <c r="SCI2" s="148"/>
      <c r="SCJ2" s="148"/>
      <c r="SCK2" s="148"/>
      <c r="SCL2" s="148"/>
      <c r="SCM2" s="148"/>
      <c r="SCN2" s="148"/>
      <c r="SCO2" s="148"/>
      <c r="SCP2" s="148"/>
      <c r="SCQ2" s="148"/>
      <c r="SCR2" s="148"/>
      <c r="SCS2" s="148"/>
      <c r="SCT2" s="148"/>
      <c r="SCU2" s="148"/>
      <c r="SCV2" s="148"/>
      <c r="SCW2" s="148"/>
      <c r="SCX2" s="148"/>
      <c r="SCY2" s="148"/>
      <c r="SCZ2" s="148"/>
      <c r="SDA2" s="148"/>
      <c r="SDB2" s="148"/>
      <c r="SDC2" s="148"/>
      <c r="SDD2" s="148"/>
      <c r="SDE2" s="148"/>
      <c r="SDF2" s="148"/>
      <c r="SDG2" s="148"/>
      <c r="SDH2" s="148"/>
      <c r="SDI2" s="148"/>
      <c r="SDJ2" s="148"/>
      <c r="SDK2" s="148"/>
      <c r="SDL2" s="148"/>
      <c r="SDM2" s="148"/>
      <c r="SDN2" s="148"/>
      <c r="SDO2" s="148"/>
      <c r="SDP2" s="148"/>
      <c r="SDQ2" s="148"/>
      <c r="SDR2" s="148"/>
      <c r="SDS2" s="148"/>
      <c r="SDT2" s="148"/>
      <c r="SDU2" s="148"/>
      <c r="SDV2" s="148"/>
      <c r="SDW2" s="148"/>
      <c r="SDX2" s="148"/>
      <c r="SDY2" s="148"/>
      <c r="SDZ2" s="148"/>
      <c r="SEA2" s="148"/>
      <c r="SEB2" s="148"/>
      <c r="SEC2" s="148"/>
      <c r="SED2" s="148"/>
      <c r="SEE2" s="148"/>
      <c r="SEF2" s="148"/>
      <c r="SEG2" s="148"/>
      <c r="SEH2" s="148"/>
      <c r="SEI2" s="148"/>
      <c r="SEJ2" s="148"/>
      <c r="SEK2" s="148"/>
      <c r="SEL2" s="148"/>
      <c r="SEM2" s="148"/>
      <c r="SEN2" s="148"/>
      <c r="SEO2" s="148"/>
      <c r="SEP2" s="148"/>
      <c r="SEQ2" s="148"/>
      <c r="SER2" s="148"/>
      <c r="SES2" s="148"/>
      <c r="SET2" s="148"/>
      <c r="SEU2" s="148"/>
      <c r="SEV2" s="148"/>
      <c r="SEW2" s="148"/>
      <c r="SEX2" s="148"/>
      <c r="SEY2" s="148"/>
      <c r="SEZ2" s="148"/>
      <c r="SFA2" s="148"/>
      <c r="SFB2" s="148"/>
      <c r="SFC2" s="148"/>
      <c r="SFD2" s="148"/>
      <c r="SFE2" s="148"/>
      <c r="SFF2" s="148"/>
      <c r="SFG2" s="148"/>
      <c r="SFH2" s="148"/>
      <c r="SFI2" s="148"/>
      <c r="SFJ2" s="148"/>
      <c r="SFK2" s="148"/>
      <c r="SFL2" s="148"/>
      <c r="SFM2" s="148"/>
      <c r="SFN2" s="148"/>
      <c r="SFO2" s="148"/>
      <c r="SFP2" s="148"/>
      <c r="SFQ2" s="148"/>
      <c r="SFR2" s="148"/>
      <c r="SFS2" s="148"/>
      <c r="SFT2" s="148"/>
      <c r="SFU2" s="148"/>
      <c r="SFV2" s="148"/>
      <c r="SFW2" s="148"/>
      <c r="SFX2" s="148"/>
      <c r="SFY2" s="148"/>
      <c r="SFZ2" s="148"/>
      <c r="SGA2" s="148"/>
      <c r="SGB2" s="148"/>
      <c r="SGC2" s="148"/>
      <c r="SGD2" s="148"/>
      <c r="SGE2" s="148"/>
      <c r="SGF2" s="148"/>
      <c r="SGG2" s="148"/>
      <c r="SGH2" s="148"/>
      <c r="SGI2" s="148"/>
      <c r="SGJ2" s="148"/>
      <c r="SGK2" s="148"/>
      <c r="SGL2" s="148"/>
      <c r="SGM2" s="148"/>
      <c r="SGN2" s="148"/>
      <c r="SGO2" s="148"/>
      <c r="SGP2" s="148"/>
      <c r="SGQ2" s="148"/>
      <c r="SGR2" s="148"/>
      <c r="SGS2" s="148"/>
      <c r="SGT2" s="148"/>
      <c r="SGU2" s="148"/>
      <c r="SGV2" s="148"/>
      <c r="SGW2" s="148"/>
      <c r="SGX2" s="148"/>
      <c r="SGY2" s="148"/>
      <c r="SGZ2" s="148"/>
      <c r="SHA2" s="148"/>
      <c r="SHB2" s="148"/>
      <c r="SHC2" s="148"/>
      <c r="SHD2" s="148"/>
      <c r="SHE2" s="148"/>
      <c r="SHF2" s="148"/>
      <c r="SHG2" s="148"/>
      <c r="SHH2" s="148"/>
      <c r="SHI2" s="148"/>
      <c r="SHJ2" s="148"/>
      <c r="SHK2" s="148"/>
      <c r="SHL2" s="148"/>
      <c r="SHM2" s="148"/>
      <c r="SHN2" s="148"/>
      <c r="SHO2" s="148"/>
      <c r="SHP2" s="148"/>
      <c r="SHQ2" s="148"/>
      <c r="SHR2" s="148"/>
      <c r="SHS2" s="148"/>
      <c r="SHT2" s="148"/>
      <c r="SHU2" s="148"/>
      <c r="SHV2" s="148"/>
      <c r="SHW2" s="148"/>
      <c r="SHX2" s="148"/>
      <c r="SHY2" s="148"/>
      <c r="SHZ2" s="148"/>
      <c r="SIA2" s="148"/>
      <c r="SIB2" s="148"/>
      <c r="SIC2" s="148"/>
      <c r="SID2" s="148"/>
      <c r="SIE2" s="148"/>
      <c r="SIF2" s="148"/>
      <c r="SIG2" s="148"/>
      <c r="SIH2" s="148"/>
      <c r="SII2" s="148"/>
      <c r="SIJ2" s="148"/>
      <c r="SIK2" s="148"/>
      <c r="SIL2" s="148"/>
      <c r="SIM2" s="148"/>
      <c r="SIN2" s="148"/>
      <c r="SIO2" s="148"/>
      <c r="SIP2" s="148"/>
      <c r="SIQ2" s="148"/>
      <c r="SIR2" s="148"/>
      <c r="SIS2" s="148"/>
      <c r="SIT2" s="148"/>
      <c r="SIU2" s="148"/>
      <c r="SIV2" s="148"/>
      <c r="SIW2" s="148"/>
      <c r="SIX2" s="148"/>
      <c r="SIY2" s="148"/>
      <c r="SIZ2" s="148"/>
      <c r="SJA2" s="148"/>
      <c r="SJB2" s="148"/>
      <c r="SJC2" s="148"/>
      <c r="SJD2" s="148"/>
      <c r="SJE2" s="148"/>
      <c r="SJF2" s="148"/>
      <c r="SJG2" s="148"/>
      <c r="SJH2" s="148"/>
      <c r="SJI2" s="148"/>
      <c r="SJJ2" s="148"/>
      <c r="SJK2" s="148"/>
      <c r="SJL2" s="148"/>
      <c r="SJM2" s="148"/>
      <c r="SJN2" s="148"/>
      <c r="SJO2" s="148"/>
      <c r="SJP2" s="148"/>
      <c r="SJQ2" s="148"/>
      <c r="SJR2" s="148"/>
      <c r="SJS2" s="148"/>
      <c r="SJT2" s="148"/>
      <c r="SJU2" s="148"/>
      <c r="SJV2" s="148"/>
      <c r="SJW2" s="148"/>
      <c r="SJX2" s="148"/>
      <c r="SJY2" s="148"/>
      <c r="SJZ2" s="148"/>
      <c r="SKA2" s="148"/>
      <c r="SKB2" s="148"/>
      <c r="SKC2" s="148"/>
      <c r="SKD2" s="148"/>
      <c r="SKE2" s="148"/>
      <c r="SKF2" s="148"/>
      <c r="SKG2" s="148"/>
      <c r="SKH2" s="148"/>
      <c r="SKI2" s="148"/>
      <c r="SKJ2" s="148"/>
      <c r="SKK2" s="148"/>
      <c r="SKL2" s="148"/>
      <c r="SKM2" s="148"/>
      <c r="SKN2" s="148"/>
      <c r="SKO2" s="148"/>
      <c r="SKP2" s="148"/>
      <c r="SKQ2" s="148"/>
      <c r="SKR2" s="148"/>
      <c r="SKS2" s="148"/>
      <c r="SKT2" s="148"/>
      <c r="SKU2" s="148"/>
      <c r="SKV2" s="148"/>
      <c r="SKW2" s="148"/>
      <c r="SKX2" s="148"/>
      <c r="SKY2" s="148"/>
      <c r="SKZ2" s="148"/>
      <c r="SLA2" s="148"/>
      <c r="SLB2" s="148"/>
      <c r="SLC2" s="148"/>
      <c r="SLD2" s="148"/>
      <c r="SLE2" s="148"/>
      <c r="SLF2" s="148"/>
      <c r="SLG2" s="148"/>
      <c r="SLH2" s="148"/>
      <c r="SLI2" s="148"/>
      <c r="SLJ2" s="148"/>
      <c r="SLK2" s="148"/>
      <c r="SLL2" s="148"/>
      <c r="SLM2" s="148"/>
      <c r="SLN2" s="148"/>
      <c r="SLO2" s="148"/>
      <c r="SLP2" s="148"/>
      <c r="SLQ2" s="148"/>
      <c r="SLR2" s="148"/>
      <c r="SLS2" s="148"/>
      <c r="SLT2" s="148"/>
      <c r="SLU2" s="148"/>
      <c r="SLV2" s="148"/>
      <c r="SLW2" s="148"/>
      <c r="SLX2" s="148"/>
      <c r="SLY2" s="148"/>
      <c r="SLZ2" s="148"/>
      <c r="SMA2" s="148"/>
      <c r="SMB2" s="148"/>
      <c r="SMC2" s="148"/>
      <c r="SMD2" s="148"/>
      <c r="SME2" s="148"/>
      <c r="SMF2" s="148"/>
      <c r="SMG2" s="148"/>
      <c r="SMH2" s="148"/>
      <c r="SMI2" s="148"/>
      <c r="SMJ2" s="148"/>
      <c r="SMK2" s="148"/>
      <c r="SML2" s="148"/>
      <c r="SMM2" s="148"/>
      <c r="SMN2" s="148"/>
      <c r="SMO2" s="148"/>
      <c r="SMP2" s="148"/>
      <c r="SMQ2" s="148"/>
      <c r="SMR2" s="148"/>
      <c r="SMS2" s="148"/>
      <c r="SMT2" s="148"/>
      <c r="SMU2" s="148"/>
      <c r="SMV2" s="148"/>
      <c r="SMW2" s="148"/>
      <c r="SMX2" s="148"/>
      <c r="SMY2" s="148"/>
      <c r="SMZ2" s="148"/>
      <c r="SNA2" s="148"/>
      <c r="SNB2" s="148"/>
      <c r="SNC2" s="148"/>
      <c r="SND2" s="148"/>
      <c r="SNE2" s="148"/>
      <c r="SNF2" s="148"/>
      <c r="SNG2" s="148"/>
      <c r="SNH2" s="148"/>
      <c r="SNI2" s="148"/>
      <c r="SNJ2" s="148"/>
      <c r="SNK2" s="148"/>
      <c r="SNL2" s="148"/>
      <c r="SNM2" s="148"/>
      <c r="SNN2" s="148"/>
      <c r="SNO2" s="148"/>
      <c r="SNP2" s="148"/>
      <c r="SNQ2" s="148"/>
      <c r="SNR2" s="148"/>
      <c r="SNS2" s="148"/>
      <c r="SNT2" s="148"/>
      <c r="SNU2" s="148"/>
      <c r="SNV2" s="148"/>
      <c r="SNW2" s="148"/>
      <c r="SNX2" s="148"/>
      <c r="SNY2" s="148"/>
      <c r="SNZ2" s="148"/>
      <c r="SOA2" s="148"/>
      <c r="SOB2" s="148"/>
      <c r="SOC2" s="148"/>
      <c r="SOD2" s="148"/>
      <c r="SOE2" s="148"/>
      <c r="SOF2" s="148"/>
      <c r="SOG2" s="148"/>
      <c r="SOH2" s="148"/>
      <c r="SOI2" s="148"/>
      <c r="SOJ2" s="148"/>
      <c r="SOK2" s="148"/>
      <c r="SOL2" s="148"/>
      <c r="SOM2" s="148"/>
      <c r="SON2" s="148"/>
      <c r="SOO2" s="148"/>
      <c r="SOP2" s="148"/>
      <c r="SOQ2" s="148"/>
      <c r="SOR2" s="148"/>
      <c r="SOS2" s="148"/>
      <c r="SOT2" s="148"/>
      <c r="SOU2" s="148"/>
      <c r="SOV2" s="148"/>
      <c r="SOW2" s="148"/>
      <c r="SOX2" s="148"/>
      <c r="SOY2" s="148"/>
      <c r="SOZ2" s="148"/>
      <c r="SPA2" s="148"/>
      <c r="SPB2" s="148"/>
      <c r="SPC2" s="148"/>
      <c r="SPD2" s="148"/>
      <c r="SPE2" s="148"/>
      <c r="SPF2" s="148"/>
      <c r="SPG2" s="148"/>
      <c r="SPH2" s="148"/>
      <c r="SPI2" s="148"/>
      <c r="SPJ2" s="148"/>
      <c r="SPK2" s="148"/>
      <c r="SPL2" s="148"/>
      <c r="SPM2" s="148"/>
      <c r="SPN2" s="148"/>
      <c r="SPO2" s="148"/>
      <c r="SPP2" s="148"/>
      <c r="SPQ2" s="148"/>
      <c r="SPR2" s="148"/>
      <c r="SPS2" s="148"/>
      <c r="SPT2" s="148"/>
      <c r="SPU2" s="148"/>
      <c r="SPV2" s="148"/>
      <c r="SPW2" s="148"/>
      <c r="SPX2" s="148"/>
      <c r="SPY2" s="148"/>
      <c r="SPZ2" s="148"/>
      <c r="SQA2" s="148"/>
      <c r="SQB2" s="148"/>
      <c r="SQC2" s="148"/>
      <c r="SQD2" s="148"/>
      <c r="SQE2" s="148"/>
      <c r="SQF2" s="148"/>
      <c r="SQG2" s="148"/>
      <c r="SQH2" s="148"/>
      <c r="SQI2" s="148"/>
      <c r="SQJ2" s="148"/>
      <c r="SQK2" s="148"/>
      <c r="SQL2" s="148"/>
      <c r="SQM2" s="148"/>
      <c r="SQN2" s="148"/>
      <c r="SQO2" s="148"/>
      <c r="SQP2" s="148"/>
      <c r="SQQ2" s="148"/>
      <c r="SQR2" s="148"/>
      <c r="SQS2" s="148"/>
      <c r="SQT2" s="148"/>
      <c r="SQU2" s="148"/>
      <c r="SQV2" s="148"/>
      <c r="SQW2" s="148"/>
      <c r="SQX2" s="148"/>
      <c r="SQY2" s="148"/>
      <c r="SQZ2" s="148"/>
      <c r="SRA2" s="148"/>
      <c r="SRB2" s="148"/>
      <c r="SRC2" s="148"/>
      <c r="SRD2" s="148"/>
      <c r="SRE2" s="148"/>
      <c r="SRF2" s="148"/>
      <c r="SRG2" s="148"/>
      <c r="SRH2" s="148"/>
      <c r="SRI2" s="148"/>
      <c r="SRJ2" s="148"/>
      <c r="SRK2" s="148"/>
      <c r="SRL2" s="148"/>
      <c r="SRM2" s="148"/>
      <c r="SRN2" s="148"/>
      <c r="SRO2" s="148"/>
      <c r="SRP2" s="148"/>
      <c r="SRQ2" s="148"/>
      <c r="SRR2" s="148"/>
      <c r="SRS2" s="148"/>
      <c r="SRT2" s="148"/>
      <c r="SRU2" s="148"/>
      <c r="SRV2" s="148"/>
      <c r="SRW2" s="148"/>
      <c r="SRX2" s="148"/>
      <c r="SRY2" s="148"/>
      <c r="SRZ2" s="148"/>
      <c r="SSA2" s="148"/>
      <c r="SSB2" s="148"/>
      <c r="SSC2" s="148"/>
      <c r="SSD2" s="148"/>
      <c r="SSE2" s="148"/>
      <c r="SSF2" s="148"/>
      <c r="SSG2" s="148"/>
      <c r="SSH2" s="148"/>
      <c r="SSI2" s="148"/>
      <c r="SSJ2" s="148"/>
      <c r="SSK2" s="148"/>
      <c r="SSL2" s="148"/>
      <c r="SSM2" s="148"/>
      <c r="SSN2" s="148"/>
      <c r="SSO2" s="148"/>
      <c r="SSP2" s="148"/>
      <c r="SSQ2" s="148"/>
      <c r="SSR2" s="148"/>
      <c r="SSS2" s="148"/>
      <c r="SST2" s="148"/>
      <c r="SSU2" s="148"/>
      <c r="SSV2" s="148"/>
      <c r="SSW2" s="148"/>
      <c r="SSX2" s="148"/>
      <c r="SSY2" s="148"/>
      <c r="SSZ2" s="148"/>
      <c r="STA2" s="148"/>
      <c r="STB2" s="148"/>
      <c r="STC2" s="148"/>
      <c r="STD2" s="148"/>
      <c r="STE2" s="148"/>
      <c r="STF2" s="148"/>
      <c r="STG2" s="148"/>
      <c r="STH2" s="148"/>
      <c r="STI2" s="148"/>
      <c r="STJ2" s="148"/>
      <c r="STK2" s="148"/>
      <c r="STL2" s="148"/>
      <c r="STM2" s="148"/>
      <c r="STN2" s="148"/>
      <c r="STO2" s="148"/>
      <c r="STP2" s="148"/>
      <c r="STQ2" s="148"/>
      <c r="STR2" s="148"/>
      <c r="STS2" s="148"/>
      <c r="STT2" s="148"/>
      <c r="STU2" s="148"/>
      <c r="STV2" s="148"/>
      <c r="STW2" s="148"/>
      <c r="STX2" s="148"/>
      <c r="STY2" s="148"/>
      <c r="STZ2" s="148"/>
      <c r="SUA2" s="148"/>
      <c r="SUB2" s="148"/>
      <c r="SUC2" s="148"/>
      <c r="SUD2" s="148"/>
      <c r="SUE2" s="148"/>
      <c r="SUF2" s="148"/>
      <c r="SUG2" s="148"/>
      <c r="SUH2" s="148"/>
      <c r="SUI2" s="148"/>
      <c r="SUJ2" s="148"/>
      <c r="SUK2" s="148"/>
      <c r="SUL2" s="148"/>
      <c r="SUM2" s="148"/>
      <c r="SUN2" s="148"/>
      <c r="SUO2" s="148"/>
      <c r="SUP2" s="148"/>
      <c r="SUQ2" s="148"/>
      <c r="SUR2" s="148"/>
      <c r="SUS2" s="148"/>
      <c r="SUT2" s="148"/>
      <c r="SUU2" s="148"/>
      <c r="SUV2" s="148"/>
      <c r="SUW2" s="148"/>
      <c r="SUX2" s="148"/>
      <c r="SUY2" s="148"/>
      <c r="SUZ2" s="148"/>
      <c r="SVA2" s="148"/>
      <c r="SVB2" s="148"/>
      <c r="SVC2" s="148"/>
      <c r="SVD2" s="148"/>
      <c r="SVE2" s="148"/>
      <c r="SVF2" s="148"/>
      <c r="SVG2" s="148"/>
      <c r="SVH2" s="148"/>
      <c r="SVI2" s="148"/>
      <c r="SVJ2" s="148"/>
      <c r="SVK2" s="148"/>
      <c r="SVL2" s="148"/>
      <c r="SVM2" s="148"/>
      <c r="SVN2" s="148"/>
      <c r="SVO2" s="148"/>
      <c r="SVP2" s="148"/>
      <c r="SVQ2" s="148"/>
      <c r="SVR2" s="148"/>
      <c r="SVS2" s="148"/>
      <c r="SVT2" s="148"/>
      <c r="SVU2" s="148"/>
      <c r="SVV2" s="148"/>
      <c r="SVW2" s="148"/>
      <c r="SVX2" s="148"/>
      <c r="SVY2" s="148"/>
      <c r="SVZ2" s="148"/>
      <c r="SWA2" s="148"/>
      <c r="SWB2" s="148"/>
      <c r="SWC2" s="148"/>
      <c r="SWD2" s="148"/>
      <c r="SWE2" s="148"/>
      <c r="SWF2" s="148"/>
      <c r="SWG2" s="148"/>
      <c r="SWH2" s="148"/>
      <c r="SWI2" s="148"/>
      <c r="SWJ2" s="148"/>
      <c r="SWK2" s="148"/>
      <c r="SWL2" s="148"/>
      <c r="SWM2" s="148"/>
      <c r="SWN2" s="148"/>
      <c r="SWO2" s="148"/>
      <c r="SWP2" s="148"/>
      <c r="SWQ2" s="148"/>
      <c r="SWR2" s="148"/>
      <c r="SWS2" s="148"/>
      <c r="SWT2" s="148"/>
      <c r="SWU2" s="148"/>
      <c r="SWV2" s="148"/>
      <c r="SWW2" s="148"/>
      <c r="SWX2" s="148"/>
      <c r="SWY2" s="148"/>
      <c r="SWZ2" s="148"/>
      <c r="SXA2" s="148"/>
      <c r="SXB2" s="148"/>
      <c r="SXC2" s="148"/>
      <c r="SXD2" s="148"/>
      <c r="SXE2" s="148"/>
      <c r="SXF2" s="148"/>
      <c r="SXG2" s="148"/>
      <c r="SXH2" s="148"/>
      <c r="SXI2" s="148"/>
      <c r="SXJ2" s="148"/>
      <c r="SXK2" s="148"/>
      <c r="SXL2" s="148"/>
      <c r="SXM2" s="148"/>
      <c r="SXN2" s="148"/>
      <c r="SXO2" s="148"/>
      <c r="SXP2" s="148"/>
      <c r="SXQ2" s="148"/>
      <c r="SXR2" s="148"/>
      <c r="SXS2" s="148"/>
      <c r="SXT2" s="148"/>
      <c r="SXU2" s="148"/>
      <c r="SXV2" s="148"/>
      <c r="SXW2" s="148"/>
      <c r="SXX2" s="148"/>
      <c r="SXY2" s="148"/>
      <c r="SXZ2" s="148"/>
      <c r="SYA2" s="148"/>
      <c r="SYB2" s="148"/>
      <c r="SYC2" s="148"/>
      <c r="SYD2" s="148"/>
      <c r="SYE2" s="148"/>
      <c r="SYF2" s="148"/>
      <c r="SYG2" s="148"/>
      <c r="SYH2" s="148"/>
      <c r="SYI2" s="148"/>
      <c r="SYJ2" s="148"/>
      <c r="SYK2" s="148"/>
      <c r="SYL2" s="148"/>
      <c r="SYM2" s="148"/>
      <c r="SYN2" s="148"/>
      <c r="SYO2" s="148"/>
      <c r="SYP2" s="148"/>
      <c r="SYQ2" s="148"/>
      <c r="SYR2" s="148"/>
      <c r="SYS2" s="148"/>
      <c r="SYT2" s="148"/>
      <c r="SYU2" s="148"/>
      <c r="SYV2" s="148"/>
      <c r="SYW2" s="148"/>
      <c r="SYX2" s="148"/>
      <c r="SYY2" s="148"/>
      <c r="SYZ2" s="148"/>
      <c r="SZA2" s="148"/>
      <c r="SZB2" s="148"/>
      <c r="SZC2" s="148"/>
      <c r="SZD2" s="148"/>
      <c r="SZE2" s="148"/>
      <c r="SZF2" s="148"/>
      <c r="SZG2" s="148"/>
      <c r="SZH2" s="148"/>
      <c r="SZI2" s="148"/>
      <c r="SZJ2" s="148"/>
      <c r="SZK2" s="148"/>
      <c r="SZL2" s="148"/>
      <c r="SZM2" s="148"/>
      <c r="SZN2" s="148"/>
      <c r="SZO2" s="148"/>
      <c r="SZP2" s="148"/>
      <c r="SZQ2" s="148"/>
      <c r="SZR2" s="148"/>
      <c r="SZS2" s="148"/>
      <c r="SZT2" s="148"/>
      <c r="SZU2" s="148"/>
      <c r="SZV2" s="148"/>
      <c r="SZW2" s="148"/>
      <c r="SZX2" s="148"/>
      <c r="SZY2" s="148"/>
      <c r="SZZ2" s="148"/>
      <c r="TAA2" s="148"/>
      <c r="TAB2" s="148"/>
      <c r="TAC2" s="148"/>
      <c r="TAD2" s="148"/>
      <c r="TAE2" s="148"/>
      <c r="TAF2" s="148"/>
      <c r="TAG2" s="148"/>
      <c r="TAH2" s="148"/>
      <c r="TAI2" s="148"/>
      <c r="TAJ2" s="148"/>
      <c r="TAK2" s="148"/>
      <c r="TAL2" s="148"/>
      <c r="TAM2" s="148"/>
      <c r="TAN2" s="148"/>
      <c r="TAO2" s="148"/>
      <c r="TAP2" s="148"/>
      <c r="TAQ2" s="148"/>
      <c r="TAR2" s="148"/>
      <c r="TAS2" s="148"/>
      <c r="TAT2" s="148"/>
      <c r="TAU2" s="148"/>
      <c r="TAV2" s="148"/>
      <c r="TAW2" s="148"/>
      <c r="TAX2" s="148"/>
      <c r="TAY2" s="148"/>
      <c r="TAZ2" s="148"/>
      <c r="TBA2" s="148"/>
      <c r="TBB2" s="148"/>
      <c r="TBC2" s="148"/>
      <c r="TBD2" s="148"/>
      <c r="TBE2" s="148"/>
      <c r="TBF2" s="148"/>
      <c r="TBG2" s="148"/>
      <c r="TBH2" s="148"/>
      <c r="TBI2" s="148"/>
      <c r="TBJ2" s="148"/>
      <c r="TBK2" s="148"/>
      <c r="TBL2" s="148"/>
      <c r="TBM2" s="148"/>
      <c r="TBN2" s="148"/>
      <c r="TBO2" s="148"/>
      <c r="TBP2" s="148"/>
      <c r="TBQ2" s="148"/>
      <c r="TBR2" s="148"/>
      <c r="TBS2" s="148"/>
      <c r="TBT2" s="148"/>
      <c r="TBU2" s="148"/>
      <c r="TBV2" s="148"/>
      <c r="TBW2" s="148"/>
      <c r="TBX2" s="148"/>
      <c r="TBY2" s="148"/>
      <c r="TBZ2" s="148"/>
      <c r="TCA2" s="148"/>
      <c r="TCB2" s="148"/>
      <c r="TCC2" s="148"/>
      <c r="TCD2" s="148"/>
      <c r="TCE2" s="148"/>
      <c r="TCF2" s="148"/>
      <c r="TCG2" s="148"/>
      <c r="TCH2" s="148"/>
      <c r="TCI2" s="148"/>
      <c r="TCJ2" s="148"/>
      <c r="TCK2" s="148"/>
      <c r="TCL2" s="148"/>
      <c r="TCM2" s="148"/>
      <c r="TCN2" s="148"/>
      <c r="TCO2" s="148"/>
      <c r="TCP2" s="148"/>
      <c r="TCQ2" s="148"/>
      <c r="TCR2" s="148"/>
      <c r="TCS2" s="148"/>
      <c r="TCT2" s="148"/>
      <c r="TCU2" s="148"/>
      <c r="TCV2" s="148"/>
      <c r="TCW2" s="148"/>
      <c r="TCX2" s="148"/>
      <c r="TCY2" s="148"/>
      <c r="TCZ2" s="148"/>
      <c r="TDA2" s="148"/>
      <c r="TDB2" s="148"/>
      <c r="TDC2" s="148"/>
      <c r="TDD2" s="148"/>
      <c r="TDE2" s="148"/>
      <c r="TDF2" s="148"/>
      <c r="TDG2" s="148"/>
      <c r="TDH2" s="148"/>
      <c r="TDI2" s="148"/>
      <c r="TDJ2" s="148"/>
      <c r="TDK2" s="148"/>
      <c r="TDL2" s="148"/>
      <c r="TDM2" s="148"/>
      <c r="TDN2" s="148"/>
      <c r="TDO2" s="148"/>
      <c r="TDP2" s="148"/>
      <c r="TDQ2" s="148"/>
      <c r="TDR2" s="148"/>
      <c r="TDS2" s="148"/>
      <c r="TDT2" s="148"/>
      <c r="TDU2" s="148"/>
      <c r="TDV2" s="148"/>
      <c r="TDW2" s="148"/>
      <c r="TDX2" s="148"/>
      <c r="TDY2" s="148"/>
      <c r="TDZ2" s="148"/>
      <c r="TEA2" s="148"/>
      <c r="TEB2" s="148"/>
      <c r="TEC2" s="148"/>
      <c r="TED2" s="148"/>
      <c r="TEE2" s="148"/>
      <c r="TEF2" s="148"/>
      <c r="TEG2" s="148"/>
      <c r="TEH2" s="148"/>
      <c r="TEI2" s="148"/>
      <c r="TEJ2" s="148"/>
      <c r="TEK2" s="148"/>
      <c r="TEL2" s="148"/>
      <c r="TEM2" s="148"/>
      <c r="TEN2" s="148"/>
      <c r="TEO2" s="148"/>
      <c r="TEP2" s="148"/>
      <c r="TEQ2" s="148"/>
      <c r="TER2" s="148"/>
      <c r="TES2" s="148"/>
      <c r="TET2" s="148"/>
      <c r="TEU2" s="148"/>
      <c r="TEV2" s="148"/>
      <c r="TEW2" s="148"/>
      <c r="TEX2" s="148"/>
      <c r="TEY2" s="148"/>
      <c r="TEZ2" s="148"/>
      <c r="TFA2" s="148"/>
      <c r="TFB2" s="148"/>
      <c r="TFC2" s="148"/>
      <c r="TFD2" s="148"/>
      <c r="TFE2" s="148"/>
      <c r="TFF2" s="148"/>
      <c r="TFG2" s="148"/>
      <c r="TFH2" s="148"/>
      <c r="TFI2" s="148"/>
      <c r="TFJ2" s="148"/>
      <c r="TFK2" s="148"/>
      <c r="TFL2" s="148"/>
      <c r="TFM2" s="148"/>
      <c r="TFN2" s="148"/>
      <c r="TFO2" s="148"/>
      <c r="TFP2" s="148"/>
      <c r="TFQ2" s="148"/>
      <c r="TFR2" s="148"/>
      <c r="TFS2" s="148"/>
      <c r="TFT2" s="148"/>
      <c r="TFU2" s="148"/>
      <c r="TFV2" s="148"/>
      <c r="TFW2" s="148"/>
      <c r="TFX2" s="148"/>
      <c r="TFY2" s="148"/>
      <c r="TFZ2" s="148"/>
      <c r="TGA2" s="148"/>
      <c r="TGB2" s="148"/>
      <c r="TGC2" s="148"/>
      <c r="TGD2" s="148"/>
      <c r="TGE2" s="148"/>
      <c r="TGF2" s="148"/>
      <c r="TGG2" s="148"/>
      <c r="TGH2" s="148"/>
      <c r="TGI2" s="148"/>
      <c r="TGJ2" s="148"/>
      <c r="TGK2" s="148"/>
      <c r="TGL2" s="148"/>
      <c r="TGM2" s="148"/>
      <c r="TGN2" s="148"/>
      <c r="TGO2" s="148"/>
      <c r="TGP2" s="148"/>
      <c r="TGQ2" s="148"/>
      <c r="TGR2" s="148"/>
      <c r="TGS2" s="148"/>
      <c r="TGT2" s="148"/>
      <c r="TGU2" s="148"/>
      <c r="TGV2" s="148"/>
      <c r="TGW2" s="148"/>
      <c r="TGX2" s="148"/>
      <c r="TGY2" s="148"/>
      <c r="TGZ2" s="148"/>
      <c r="THA2" s="148"/>
      <c r="THB2" s="148"/>
      <c r="THC2" s="148"/>
      <c r="THD2" s="148"/>
      <c r="THE2" s="148"/>
      <c r="THF2" s="148"/>
      <c r="THG2" s="148"/>
      <c r="THH2" s="148"/>
      <c r="THI2" s="148"/>
      <c r="THJ2" s="148"/>
      <c r="THK2" s="148"/>
      <c r="THL2" s="148"/>
      <c r="THM2" s="148"/>
      <c r="THN2" s="148"/>
      <c r="THO2" s="148"/>
      <c r="THP2" s="148"/>
      <c r="THQ2" s="148"/>
      <c r="THR2" s="148"/>
      <c r="THS2" s="148"/>
      <c r="THT2" s="148"/>
      <c r="THU2" s="148"/>
      <c r="THV2" s="148"/>
      <c r="THW2" s="148"/>
      <c r="THX2" s="148"/>
      <c r="THY2" s="148"/>
      <c r="THZ2" s="148"/>
      <c r="TIA2" s="148"/>
      <c r="TIB2" s="148"/>
      <c r="TIC2" s="148"/>
      <c r="TID2" s="148"/>
      <c r="TIE2" s="148"/>
      <c r="TIF2" s="148"/>
      <c r="TIG2" s="148"/>
      <c r="TIH2" s="148"/>
      <c r="TII2" s="148"/>
      <c r="TIJ2" s="148"/>
      <c r="TIK2" s="148"/>
      <c r="TIL2" s="148"/>
      <c r="TIM2" s="148"/>
      <c r="TIN2" s="148"/>
      <c r="TIO2" s="148"/>
      <c r="TIP2" s="148"/>
      <c r="TIQ2" s="148"/>
      <c r="TIR2" s="148"/>
      <c r="TIS2" s="148"/>
      <c r="TIT2" s="148"/>
      <c r="TIU2" s="148"/>
      <c r="TIV2" s="148"/>
      <c r="TIW2" s="148"/>
      <c r="TIX2" s="148"/>
      <c r="TIY2" s="148"/>
      <c r="TIZ2" s="148"/>
      <c r="TJA2" s="148"/>
      <c r="TJB2" s="148"/>
      <c r="TJC2" s="148"/>
      <c r="TJD2" s="148"/>
      <c r="TJE2" s="148"/>
      <c r="TJF2" s="148"/>
      <c r="TJG2" s="148"/>
      <c r="TJH2" s="148"/>
      <c r="TJI2" s="148"/>
      <c r="TJJ2" s="148"/>
      <c r="TJK2" s="148"/>
      <c r="TJL2" s="148"/>
      <c r="TJM2" s="148"/>
      <c r="TJN2" s="148"/>
      <c r="TJO2" s="148"/>
      <c r="TJP2" s="148"/>
      <c r="TJQ2" s="148"/>
      <c r="TJR2" s="148"/>
      <c r="TJS2" s="148"/>
      <c r="TJT2" s="148"/>
      <c r="TJU2" s="148"/>
      <c r="TJV2" s="148"/>
      <c r="TJW2" s="148"/>
      <c r="TJX2" s="148"/>
      <c r="TJY2" s="148"/>
      <c r="TJZ2" s="148"/>
      <c r="TKA2" s="148"/>
      <c r="TKB2" s="148"/>
      <c r="TKC2" s="148"/>
      <c r="TKD2" s="148"/>
      <c r="TKE2" s="148"/>
      <c r="TKF2" s="148"/>
      <c r="TKG2" s="148"/>
      <c r="TKH2" s="148"/>
      <c r="TKI2" s="148"/>
      <c r="TKJ2" s="148"/>
      <c r="TKK2" s="148"/>
      <c r="TKL2" s="148"/>
      <c r="TKM2" s="148"/>
      <c r="TKN2" s="148"/>
      <c r="TKO2" s="148"/>
      <c r="TKP2" s="148"/>
      <c r="TKQ2" s="148"/>
      <c r="TKR2" s="148"/>
      <c r="TKS2" s="148"/>
      <c r="TKT2" s="148"/>
      <c r="TKU2" s="148"/>
      <c r="TKV2" s="148"/>
      <c r="TKW2" s="148"/>
      <c r="TKX2" s="148"/>
      <c r="TKY2" s="148"/>
      <c r="TKZ2" s="148"/>
      <c r="TLA2" s="148"/>
      <c r="TLB2" s="148"/>
      <c r="TLC2" s="148"/>
      <c r="TLD2" s="148"/>
      <c r="TLE2" s="148"/>
      <c r="TLF2" s="148"/>
      <c r="TLG2" s="148"/>
      <c r="TLH2" s="148"/>
      <c r="TLI2" s="148"/>
      <c r="TLJ2" s="148"/>
      <c r="TLK2" s="148"/>
      <c r="TLL2" s="148"/>
      <c r="TLM2" s="148"/>
      <c r="TLN2" s="148"/>
      <c r="TLO2" s="148"/>
      <c r="TLP2" s="148"/>
      <c r="TLQ2" s="148"/>
      <c r="TLR2" s="148"/>
      <c r="TLS2" s="148"/>
      <c r="TLT2" s="148"/>
      <c r="TLU2" s="148"/>
      <c r="TLV2" s="148"/>
      <c r="TLW2" s="148"/>
      <c r="TLX2" s="148"/>
      <c r="TLY2" s="148"/>
      <c r="TLZ2" s="148"/>
      <c r="TMA2" s="148"/>
      <c r="TMB2" s="148"/>
      <c r="TMC2" s="148"/>
      <c r="TMD2" s="148"/>
      <c r="TME2" s="148"/>
      <c r="TMF2" s="148"/>
      <c r="TMG2" s="148"/>
      <c r="TMH2" s="148"/>
      <c r="TMI2" s="148"/>
      <c r="TMJ2" s="148"/>
      <c r="TMK2" s="148"/>
      <c r="TML2" s="148"/>
      <c r="TMM2" s="148"/>
      <c r="TMN2" s="148"/>
      <c r="TMO2" s="148"/>
      <c r="TMP2" s="148"/>
      <c r="TMQ2" s="148"/>
      <c r="TMR2" s="148"/>
      <c r="TMS2" s="148"/>
      <c r="TMT2" s="148"/>
      <c r="TMU2" s="148"/>
      <c r="TMV2" s="148"/>
      <c r="TMW2" s="148"/>
      <c r="TMX2" s="148"/>
      <c r="TMY2" s="148"/>
      <c r="TMZ2" s="148"/>
      <c r="TNA2" s="148"/>
      <c r="TNB2" s="148"/>
      <c r="TNC2" s="148"/>
      <c r="TND2" s="148"/>
      <c r="TNE2" s="148"/>
      <c r="TNF2" s="148"/>
      <c r="TNG2" s="148"/>
      <c r="TNH2" s="148"/>
      <c r="TNI2" s="148"/>
      <c r="TNJ2" s="148"/>
      <c r="TNK2" s="148"/>
      <c r="TNL2" s="148"/>
      <c r="TNM2" s="148"/>
      <c r="TNN2" s="148"/>
      <c r="TNO2" s="148"/>
      <c r="TNP2" s="148"/>
      <c r="TNQ2" s="148"/>
      <c r="TNR2" s="148"/>
      <c r="TNS2" s="148"/>
      <c r="TNT2" s="148"/>
      <c r="TNU2" s="148"/>
      <c r="TNV2" s="148"/>
      <c r="TNW2" s="148"/>
      <c r="TNX2" s="148"/>
      <c r="TNY2" s="148"/>
      <c r="TNZ2" s="148"/>
      <c r="TOA2" s="148"/>
      <c r="TOB2" s="148"/>
      <c r="TOC2" s="148"/>
      <c r="TOD2" s="148"/>
      <c r="TOE2" s="148"/>
      <c r="TOF2" s="148"/>
      <c r="TOG2" s="148"/>
      <c r="TOH2" s="148"/>
      <c r="TOI2" s="148"/>
      <c r="TOJ2" s="148"/>
      <c r="TOK2" s="148"/>
      <c r="TOL2" s="148"/>
      <c r="TOM2" s="148"/>
      <c r="TON2" s="148"/>
      <c r="TOO2" s="148"/>
      <c r="TOP2" s="148"/>
      <c r="TOQ2" s="148"/>
      <c r="TOR2" s="148"/>
      <c r="TOS2" s="148"/>
      <c r="TOT2" s="148"/>
      <c r="TOU2" s="148"/>
      <c r="TOV2" s="148"/>
      <c r="TOW2" s="148"/>
      <c r="TOX2" s="148"/>
      <c r="TOY2" s="148"/>
      <c r="TOZ2" s="148"/>
      <c r="TPA2" s="148"/>
      <c r="TPB2" s="148"/>
      <c r="TPC2" s="148"/>
      <c r="TPD2" s="148"/>
      <c r="TPE2" s="148"/>
      <c r="TPF2" s="148"/>
      <c r="TPG2" s="148"/>
      <c r="TPH2" s="148"/>
      <c r="TPI2" s="148"/>
      <c r="TPJ2" s="148"/>
      <c r="TPK2" s="148"/>
      <c r="TPL2" s="148"/>
      <c r="TPM2" s="148"/>
      <c r="TPN2" s="148"/>
      <c r="TPO2" s="148"/>
      <c r="TPP2" s="148"/>
      <c r="TPQ2" s="148"/>
      <c r="TPR2" s="148"/>
      <c r="TPS2" s="148"/>
      <c r="TPT2" s="148"/>
      <c r="TPU2" s="148"/>
      <c r="TPV2" s="148"/>
      <c r="TPW2" s="148"/>
      <c r="TPX2" s="148"/>
      <c r="TPY2" s="148"/>
      <c r="TPZ2" s="148"/>
      <c r="TQA2" s="148"/>
      <c r="TQB2" s="148"/>
      <c r="TQC2" s="148"/>
      <c r="TQD2" s="148"/>
      <c r="TQE2" s="148"/>
      <c r="TQF2" s="148"/>
      <c r="TQG2" s="148"/>
      <c r="TQH2" s="148"/>
      <c r="TQI2" s="148"/>
      <c r="TQJ2" s="148"/>
      <c r="TQK2" s="148"/>
      <c r="TQL2" s="148"/>
      <c r="TQM2" s="148"/>
      <c r="TQN2" s="148"/>
      <c r="TQO2" s="148"/>
      <c r="TQP2" s="148"/>
      <c r="TQQ2" s="148"/>
      <c r="TQR2" s="148"/>
      <c r="TQS2" s="148"/>
      <c r="TQT2" s="148"/>
      <c r="TQU2" s="148"/>
      <c r="TQV2" s="148"/>
      <c r="TQW2" s="148"/>
      <c r="TQX2" s="148"/>
      <c r="TQY2" s="148"/>
      <c r="TQZ2" s="148"/>
      <c r="TRA2" s="148"/>
      <c r="TRB2" s="148"/>
      <c r="TRC2" s="148"/>
      <c r="TRD2" s="148"/>
      <c r="TRE2" s="148"/>
      <c r="TRF2" s="148"/>
      <c r="TRG2" s="148"/>
      <c r="TRH2" s="148"/>
      <c r="TRI2" s="148"/>
      <c r="TRJ2" s="148"/>
      <c r="TRK2" s="148"/>
      <c r="TRL2" s="148"/>
      <c r="TRM2" s="148"/>
      <c r="TRN2" s="148"/>
      <c r="TRO2" s="148"/>
      <c r="TRP2" s="148"/>
      <c r="TRQ2" s="148"/>
      <c r="TRR2" s="148"/>
      <c r="TRS2" s="148"/>
      <c r="TRT2" s="148"/>
      <c r="TRU2" s="148"/>
      <c r="TRV2" s="148"/>
      <c r="TRW2" s="148"/>
      <c r="TRX2" s="148"/>
      <c r="TRY2" s="148"/>
      <c r="TRZ2" s="148"/>
      <c r="TSA2" s="148"/>
      <c r="TSB2" s="148"/>
      <c r="TSC2" s="148"/>
      <c r="TSD2" s="148"/>
      <c r="TSE2" s="148"/>
      <c r="TSF2" s="148"/>
      <c r="TSG2" s="148"/>
      <c r="TSH2" s="148"/>
      <c r="TSI2" s="148"/>
      <c r="TSJ2" s="148"/>
      <c r="TSK2" s="148"/>
      <c r="TSL2" s="148"/>
      <c r="TSM2" s="148"/>
      <c r="TSN2" s="148"/>
      <c r="TSO2" s="148"/>
      <c r="TSP2" s="148"/>
      <c r="TSQ2" s="148"/>
      <c r="TSR2" s="148"/>
      <c r="TSS2" s="148"/>
      <c r="TST2" s="148"/>
      <c r="TSU2" s="148"/>
      <c r="TSV2" s="148"/>
      <c r="TSW2" s="148"/>
      <c r="TSX2" s="148"/>
      <c r="TSY2" s="148"/>
      <c r="TSZ2" s="148"/>
      <c r="TTA2" s="148"/>
      <c r="TTB2" s="148"/>
      <c r="TTC2" s="148"/>
      <c r="TTD2" s="148"/>
      <c r="TTE2" s="148"/>
      <c r="TTF2" s="148"/>
      <c r="TTG2" s="148"/>
      <c r="TTH2" s="148"/>
      <c r="TTI2" s="148"/>
      <c r="TTJ2" s="148"/>
      <c r="TTK2" s="148"/>
      <c r="TTL2" s="148"/>
      <c r="TTM2" s="148"/>
      <c r="TTN2" s="148"/>
      <c r="TTO2" s="148"/>
      <c r="TTP2" s="148"/>
      <c r="TTQ2" s="148"/>
      <c r="TTR2" s="148"/>
      <c r="TTS2" s="148"/>
      <c r="TTT2" s="148"/>
      <c r="TTU2" s="148"/>
      <c r="TTV2" s="148"/>
      <c r="TTW2" s="148"/>
      <c r="TTX2" s="148"/>
      <c r="TTY2" s="148"/>
      <c r="TTZ2" s="148"/>
      <c r="TUA2" s="148"/>
      <c r="TUB2" s="148"/>
      <c r="TUC2" s="148"/>
      <c r="TUD2" s="148"/>
      <c r="TUE2" s="148"/>
      <c r="TUF2" s="148"/>
      <c r="TUG2" s="148"/>
      <c r="TUH2" s="148"/>
      <c r="TUI2" s="148"/>
      <c r="TUJ2" s="148"/>
      <c r="TUK2" s="148"/>
      <c r="TUL2" s="148"/>
      <c r="TUM2" s="148"/>
      <c r="TUN2" s="148"/>
      <c r="TUO2" s="148"/>
      <c r="TUP2" s="148"/>
      <c r="TUQ2" s="148"/>
      <c r="TUR2" s="148"/>
      <c r="TUS2" s="148"/>
      <c r="TUT2" s="148"/>
      <c r="TUU2" s="148"/>
      <c r="TUV2" s="148"/>
      <c r="TUW2" s="148"/>
      <c r="TUX2" s="148"/>
      <c r="TUY2" s="148"/>
      <c r="TUZ2" s="148"/>
      <c r="TVA2" s="148"/>
      <c r="TVB2" s="148"/>
      <c r="TVC2" s="148"/>
      <c r="TVD2" s="148"/>
      <c r="TVE2" s="148"/>
      <c r="TVF2" s="148"/>
      <c r="TVG2" s="148"/>
      <c r="TVH2" s="148"/>
      <c r="TVI2" s="148"/>
      <c r="TVJ2" s="148"/>
      <c r="TVK2" s="148"/>
      <c r="TVL2" s="148"/>
      <c r="TVM2" s="148"/>
      <c r="TVN2" s="148"/>
      <c r="TVO2" s="148"/>
      <c r="TVP2" s="148"/>
      <c r="TVQ2" s="148"/>
      <c r="TVR2" s="148"/>
      <c r="TVS2" s="148"/>
      <c r="TVT2" s="148"/>
      <c r="TVU2" s="148"/>
      <c r="TVV2" s="148"/>
      <c r="TVW2" s="148"/>
      <c r="TVX2" s="148"/>
      <c r="TVY2" s="148"/>
      <c r="TVZ2" s="148"/>
      <c r="TWA2" s="148"/>
      <c r="TWB2" s="148"/>
      <c r="TWC2" s="148"/>
      <c r="TWD2" s="148"/>
      <c r="TWE2" s="148"/>
      <c r="TWF2" s="148"/>
      <c r="TWG2" s="148"/>
      <c r="TWH2" s="148"/>
      <c r="TWI2" s="148"/>
      <c r="TWJ2" s="148"/>
      <c r="TWK2" s="148"/>
      <c r="TWL2" s="148"/>
      <c r="TWM2" s="148"/>
      <c r="TWN2" s="148"/>
      <c r="TWO2" s="148"/>
      <c r="TWP2" s="148"/>
      <c r="TWQ2" s="148"/>
      <c r="TWR2" s="148"/>
      <c r="TWS2" s="148"/>
      <c r="TWT2" s="148"/>
      <c r="TWU2" s="148"/>
      <c r="TWV2" s="148"/>
      <c r="TWW2" s="148"/>
      <c r="TWX2" s="148"/>
      <c r="TWY2" s="148"/>
      <c r="TWZ2" s="148"/>
      <c r="TXA2" s="148"/>
      <c r="TXB2" s="148"/>
      <c r="TXC2" s="148"/>
      <c r="TXD2" s="148"/>
      <c r="TXE2" s="148"/>
      <c r="TXF2" s="148"/>
      <c r="TXG2" s="148"/>
      <c r="TXH2" s="148"/>
      <c r="TXI2" s="148"/>
      <c r="TXJ2" s="148"/>
      <c r="TXK2" s="148"/>
      <c r="TXL2" s="148"/>
      <c r="TXM2" s="148"/>
      <c r="TXN2" s="148"/>
      <c r="TXO2" s="148"/>
      <c r="TXP2" s="148"/>
      <c r="TXQ2" s="148"/>
      <c r="TXR2" s="148"/>
      <c r="TXS2" s="148"/>
      <c r="TXT2" s="148"/>
      <c r="TXU2" s="148"/>
      <c r="TXV2" s="148"/>
      <c r="TXW2" s="148"/>
      <c r="TXX2" s="148"/>
      <c r="TXY2" s="148"/>
      <c r="TXZ2" s="148"/>
      <c r="TYA2" s="148"/>
      <c r="TYB2" s="148"/>
      <c r="TYC2" s="148"/>
      <c r="TYD2" s="148"/>
      <c r="TYE2" s="148"/>
      <c r="TYF2" s="148"/>
      <c r="TYG2" s="148"/>
      <c r="TYH2" s="148"/>
      <c r="TYI2" s="148"/>
      <c r="TYJ2" s="148"/>
      <c r="TYK2" s="148"/>
      <c r="TYL2" s="148"/>
      <c r="TYM2" s="148"/>
      <c r="TYN2" s="148"/>
      <c r="TYO2" s="148"/>
      <c r="TYP2" s="148"/>
      <c r="TYQ2" s="148"/>
      <c r="TYR2" s="148"/>
      <c r="TYS2" s="148"/>
      <c r="TYT2" s="148"/>
      <c r="TYU2" s="148"/>
      <c r="TYV2" s="148"/>
      <c r="TYW2" s="148"/>
      <c r="TYX2" s="148"/>
      <c r="TYY2" s="148"/>
      <c r="TYZ2" s="148"/>
      <c r="TZA2" s="148"/>
      <c r="TZB2" s="148"/>
      <c r="TZC2" s="148"/>
      <c r="TZD2" s="148"/>
      <c r="TZE2" s="148"/>
      <c r="TZF2" s="148"/>
      <c r="TZG2" s="148"/>
      <c r="TZH2" s="148"/>
      <c r="TZI2" s="148"/>
      <c r="TZJ2" s="148"/>
      <c r="TZK2" s="148"/>
      <c r="TZL2" s="148"/>
      <c r="TZM2" s="148"/>
      <c r="TZN2" s="148"/>
      <c r="TZO2" s="148"/>
      <c r="TZP2" s="148"/>
      <c r="TZQ2" s="148"/>
      <c r="TZR2" s="148"/>
      <c r="TZS2" s="148"/>
      <c r="TZT2" s="148"/>
      <c r="TZU2" s="148"/>
      <c r="TZV2" s="148"/>
      <c r="TZW2" s="148"/>
      <c r="TZX2" s="148"/>
      <c r="TZY2" s="148"/>
      <c r="TZZ2" s="148"/>
      <c r="UAA2" s="148"/>
      <c r="UAB2" s="148"/>
      <c r="UAC2" s="148"/>
      <c r="UAD2" s="148"/>
      <c r="UAE2" s="148"/>
      <c r="UAF2" s="148"/>
      <c r="UAG2" s="148"/>
      <c r="UAH2" s="148"/>
      <c r="UAI2" s="148"/>
      <c r="UAJ2" s="148"/>
      <c r="UAK2" s="148"/>
      <c r="UAL2" s="148"/>
      <c r="UAM2" s="148"/>
      <c r="UAN2" s="148"/>
      <c r="UAO2" s="148"/>
      <c r="UAP2" s="148"/>
      <c r="UAQ2" s="148"/>
      <c r="UAR2" s="148"/>
      <c r="UAS2" s="148"/>
      <c r="UAT2" s="148"/>
      <c r="UAU2" s="148"/>
      <c r="UAV2" s="148"/>
      <c r="UAW2" s="148"/>
      <c r="UAX2" s="148"/>
      <c r="UAY2" s="148"/>
      <c r="UAZ2" s="148"/>
      <c r="UBA2" s="148"/>
      <c r="UBB2" s="148"/>
      <c r="UBC2" s="148"/>
      <c r="UBD2" s="148"/>
      <c r="UBE2" s="148"/>
      <c r="UBF2" s="148"/>
      <c r="UBG2" s="148"/>
      <c r="UBH2" s="148"/>
      <c r="UBI2" s="148"/>
      <c r="UBJ2" s="148"/>
      <c r="UBK2" s="148"/>
      <c r="UBL2" s="148"/>
      <c r="UBM2" s="148"/>
      <c r="UBN2" s="148"/>
      <c r="UBO2" s="148"/>
      <c r="UBP2" s="148"/>
      <c r="UBQ2" s="148"/>
      <c r="UBR2" s="148"/>
      <c r="UBS2" s="148"/>
      <c r="UBT2" s="148"/>
      <c r="UBU2" s="148"/>
      <c r="UBV2" s="148"/>
      <c r="UBW2" s="148"/>
      <c r="UBX2" s="148"/>
      <c r="UBY2" s="148"/>
      <c r="UBZ2" s="148"/>
      <c r="UCA2" s="148"/>
      <c r="UCB2" s="148"/>
      <c r="UCC2" s="148"/>
      <c r="UCD2" s="148"/>
      <c r="UCE2" s="148"/>
      <c r="UCF2" s="148"/>
      <c r="UCG2" s="148"/>
      <c r="UCH2" s="148"/>
      <c r="UCI2" s="148"/>
      <c r="UCJ2" s="148"/>
      <c r="UCK2" s="148"/>
      <c r="UCL2" s="148"/>
      <c r="UCM2" s="148"/>
      <c r="UCN2" s="148"/>
      <c r="UCO2" s="148"/>
      <c r="UCP2" s="148"/>
      <c r="UCQ2" s="148"/>
      <c r="UCR2" s="148"/>
      <c r="UCS2" s="148"/>
      <c r="UCT2" s="148"/>
      <c r="UCU2" s="148"/>
      <c r="UCV2" s="148"/>
      <c r="UCW2" s="148"/>
      <c r="UCX2" s="148"/>
      <c r="UCY2" s="148"/>
      <c r="UCZ2" s="148"/>
      <c r="UDA2" s="148"/>
      <c r="UDB2" s="148"/>
      <c r="UDC2" s="148"/>
      <c r="UDD2" s="148"/>
      <c r="UDE2" s="148"/>
      <c r="UDF2" s="148"/>
      <c r="UDG2" s="148"/>
      <c r="UDH2" s="148"/>
      <c r="UDI2" s="148"/>
      <c r="UDJ2" s="148"/>
      <c r="UDK2" s="148"/>
      <c r="UDL2" s="148"/>
      <c r="UDM2" s="148"/>
      <c r="UDN2" s="148"/>
      <c r="UDO2" s="148"/>
      <c r="UDP2" s="148"/>
      <c r="UDQ2" s="148"/>
      <c r="UDR2" s="148"/>
      <c r="UDS2" s="148"/>
      <c r="UDT2" s="148"/>
      <c r="UDU2" s="148"/>
      <c r="UDV2" s="148"/>
      <c r="UDW2" s="148"/>
      <c r="UDX2" s="148"/>
      <c r="UDY2" s="148"/>
      <c r="UDZ2" s="148"/>
      <c r="UEA2" s="148"/>
      <c r="UEB2" s="148"/>
      <c r="UEC2" s="148"/>
      <c r="UED2" s="148"/>
      <c r="UEE2" s="148"/>
      <c r="UEF2" s="148"/>
      <c r="UEG2" s="148"/>
      <c r="UEH2" s="148"/>
      <c r="UEI2" s="148"/>
      <c r="UEJ2" s="148"/>
      <c r="UEK2" s="148"/>
      <c r="UEL2" s="148"/>
      <c r="UEM2" s="148"/>
      <c r="UEN2" s="148"/>
      <c r="UEO2" s="148"/>
      <c r="UEP2" s="148"/>
      <c r="UEQ2" s="148"/>
      <c r="UER2" s="148"/>
      <c r="UES2" s="148"/>
      <c r="UET2" s="148"/>
      <c r="UEU2" s="148"/>
      <c r="UEV2" s="148"/>
      <c r="UEW2" s="148"/>
      <c r="UEX2" s="148"/>
      <c r="UEY2" s="148"/>
      <c r="UEZ2" s="148"/>
      <c r="UFA2" s="148"/>
      <c r="UFB2" s="148"/>
      <c r="UFC2" s="148"/>
      <c r="UFD2" s="148"/>
      <c r="UFE2" s="148"/>
      <c r="UFF2" s="148"/>
      <c r="UFG2" s="148"/>
      <c r="UFH2" s="148"/>
      <c r="UFI2" s="148"/>
      <c r="UFJ2" s="148"/>
      <c r="UFK2" s="148"/>
      <c r="UFL2" s="148"/>
      <c r="UFM2" s="148"/>
      <c r="UFN2" s="148"/>
      <c r="UFO2" s="148"/>
      <c r="UFP2" s="148"/>
      <c r="UFQ2" s="148"/>
      <c r="UFR2" s="148"/>
      <c r="UFS2" s="148"/>
      <c r="UFT2" s="148"/>
      <c r="UFU2" s="148"/>
      <c r="UFV2" s="148"/>
      <c r="UFW2" s="148"/>
      <c r="UFX2" s="148"/>
      <c r="UFY2" s="148"/>
      <c r="UFZ2" s="148"/>
      <c r="UGA2" s="148"/>
      <c r="UGB2" s="148"/>
      <c r="UGC2" s="148"/>
      <c r="UGD2" s="148"/>
      <c r="UGE2" s="148"/>
      <c r="UGF2" s="148"/>
      <c r="UGG2" s="148"/>
      <c r="UGH2" s="148"/>
      <c r="UGI2" s="148"/>
      <c r="UGJ2" s="148"/>
      <c r="UGK2" s="148"/>
      <c r="UGL2" s="148"/>
      <c r="UGM2" s="148"/>
      <c r="UGN2" s="148"/>
      <c r="UGO2" s="148"/>
      <c r="UGP2" s="148"/>
      <c r="UGQ2" s="148"/>
      <c r="UGR2" s="148"/>
      <c r="UGS2" s="148"/>
      <c r="UGT2" s="148"/>
      <c r="UGU2" s="148"/>
      <c r="UGV2" s="148"/>
      <c r="UGW2" s="148"/>
      <c r="UGX2" s="148"/>
      <c r="UGY2" s="148"/>
      <c r="UGZ2" s="148"/>
      <c r="UHA2" s="148"/>
      <c r="UHB2" s="148"/>
      <c r="UHC2" s="148"/>
      <c r="UHD2" s="148"/>
      <c r="UHE2" s="148"/>
      <c r="UHF2" s="148"/>
      <c r="UHG2" s="148"/>
      <c r="UHH2" s="148"/>
      <c r="UHI2" s="148"/>
      <c r="UHJ2" s="148"/>
      <c r="UHK2" s="148"/>
      <c r="UHL2" s="148"/>
      <c r="UHM2" s="148"/>
      <c r="UHN2" s="148"/>
      <c r="UHO2" s="148"/>
      <c r="UHP2" s="148"/>
      <c r="UHQ2" s="148"/>
      <c r="UHR2" s="148"/>
      <c r="UHS2" s="148"/>
      <c r="UHT2" s="148"/>
      <c r="UHU2" s="148"/>
      <c r="UHV2" s="148"/>
      <c r="UHW2" s="148"/>
      <c r="UHX2" s="148"/>
      <c r="UHY2" s="148"/>
      <c r="UHZ2" s="148"/>
      <c r="UIA2" s="148"/>
      <c r="UIB2" s="148"/>
      <c r="UIC2" s="148"/>
      <c r="UID2" s="148"/>
      <c r="UIE2" s="148"/>
      <c r="UIF2" s="148"/>
      <c r="UIG2" s="148"/>
      <c r="UIH2" s="148"/>
      <c r="UII2" s="148"/>
      <c r="UIJ2" s="148"/>
      <c r="UIK2" s="148"/>
      <c r="UIL2" s="148"/>
      <c r="UIM2" s="148"/>
      <c r="UIN2" s="148"/>
      <c r="UIO2" s="148"/>
      <c r="UIP2" s="148"/>
      <c r="UIQ2" s="148"/>
      <c r="UIR2" s="148"/>
      <c r="UIS2" s="148"/>
      <c r="UIT2" s="148"/>
      <c r="UIU2" s="148"/>
      <c r="UIV2" s="148"/>
      <c r="UIW2" s="148"/>
      <c r="UIX2" s="148"/>
      <c r="UIY2" s="148"/>
      <c r="UIZ2" s="148"/>
      <c r="UJA2" s="148"/>
      <c r="UJB2" s="148"/>
      <c r="UJC2" s="148"/>
      <c r="UJD2" s="148"/>
      <c r="UJE2" s="148"/>
      <c r="UJF2" s="148"/>
      <c r="UJG2" s="148"/>
      <c r="UJH2" s="148"/>
      <c r="UJI2" s="148"/>
      <c r="UJJ2" s="148"/>
      <c r="UJK2" s="148"/>
      <c r="UJL2" s="148"/>
      <c r="UJM2" s="148"/>
      <c r="UJN2" s="148"/>
      <c r="UJO2" s="148"/>
      <c r="UJP2" s="148"/>
      <c r="UJQ2" s="148"/>
      <c r="UJR2" s="148"/>
      <c r="UJS2" s="148"/>
      <c r="UJT2" s="148"/>
      <c r="UJU2" s="148"/>
      <c r="UJV2" s="148"/>
      <c r="UJW2" s="148"/>
      <c r="UJX2" s="148"/>
      <c r="UJY2" s="148"/>
      <c r="UJZ2" s="148"/>
      <c r="UKA2" s="148"/>
      <c r="UKB2" s="148"/>
      <c r="UKC2" s="148"/>
      <c r="UKD2" s="148"/>
      <c r="UKE2" s="148"/>
      <c r="UKF2" s="148"/>
      <c r="UKG2" s="148"/>
      <c r="UKH2" s="148"/>
      <c r="UKI2" s="148"/>
      <c r="UKJ2" s="148"/>
      <c r="UKK2" s="148"/>
      <c r="UKL2" s="148"/>
      <c r="UKM2" s="148"/>
      <c r="UKN2" s="148"/>
      <c r="UKO2" s="148"/>
      <c r="UKP2" s="148"/>
      <c r="UKQ2" s="148"/>
      <c r="UKR2" s="148"/>
      <c r="UKS2" s="148"/>
      <c r="UKT2" s="148"/>
      <c r="UKU2" s="148"/>
      <c r="UKV2" s="148"/>
      <c r="UKW2" s="148"/>
      <c r="UKX2" s="148"/>
      <c r="UKY2" s="148"/>
      <c r="UKZ2" s="148"/>
      <c r="ULA2" s="148"/>
      <c r="ULB2" s="148"/>
      <c r="ULC2" s="148"/>
      <c r="ULD2" s="148"/>
      <c r="ULE2" s="148"/>
      <c r="ULF2" s="148"/>
      <c r="ULG2" s="148"/>
      <c r="ULH2" s="148"/>
      <c r="ULI2" s="148"/>
      <c r="ULJ2" s="148"/>
      <c r="ULK2" s="148"/>
      <c r="ULL2" s="148"/>
      <c r="ULM2" s="148"/>
      <c r="ULN2" s="148"/>
      <c r="ULO2" s="148"/>
      <c r="ULP2" s="148"/>
      <c r="ULQ2" s="148"/>
      <c r="ULR2" s="148"/>
      <c r="ULS2" s="148"/>
      <c r="ULT2" s="148"/>
      <c r="ULU2" s="148"/>
      <c r="ULV2" s="148"/>
      <c r="ULW2" s="148"/>
      <c r="ULX2" s="148"/>
      <c r="ULY2" s="148"/>
      <c r="ULZ2" s="148"/>
      <c r="UMA2" s="148"/>
      <c r="UMB2" s="148"/>
      <c r="UMC2" s="148"/>
      <c r="UMD2" s="148"/>
      <c r="UME2" s="148"/>
      <c r="UMF2" s="148"/>
      <c r="UMG2" s="148"/>
      <c r="UMH2" s="148"/>
      <c r="UMI2" s="148"/>
      <c r="UMJ2" s="148"/>
      <c r="UMK2" s="148"/>
      <c r="UML2" s="148"/>
      <c r="UMM2" s="148"/>
      <c r="UMN2" s="148"/>
      <c r="UMO2" s="148"/>
      <c r="UMP2" s="148"/>
      <c r="UMQ2" s="148"/>
      <c r="UMR2" s="148"/>
      <c r="UMS2" s="148"/>
      <c r="UMT2" s="148"/>
      <c r="UMU2" s="148"/>
      <c r="UMV2" s="148"/>
      <c r="UMW2" s="148"/>
      <c r="UMX2" s="148"/>
      <c r="UMY2" s="148"/>
      <c r="UMZ2" s="148"/>
      <c r="UNA2" s="148"/>
      <c r="UNB2" s="148"/>
      <c r="UNC2" s="148"/>
      <c r="UND2" s="148"/>
      <c r="UNE2" s="148"/>
      <c r="UNF2" s="148"/>
      <c r="UNG2" s="148"/>
      <c r="UNH2" s="148"/>
      <c r="UNI2" s="148"/>
      <c r="UNJ2" s="148"/>
      <c r="UNK2" s="148"/>
      <c r="UNL2" s="148"/>
      <c r="UNM2" s="148"/>
      <c r="UNN2" s="148"/>
      <c r="UNO2" s="148"/>
      <c r="UNP2" s="148"/>
      <c r="UNQ2" s="148"/>
      <c r="UNR2" s="148"/>
      <c r="UNS2" s="148"/>
      <c r="UNT2" s="148"/>
      <c r="UNU2" s="148"/>
      <c r="UNV2" s="148"/>
      <c r="UNW2" s="148"/>
      <c r="UNX2" s="148"/>
      <c r="UNY2" s="148"/>
      <c r="UNZ2" s="148"/>
      <c r="UOA2" s="148"/>
      <c r="UOB2" s="148"/>
      <c r="UOC2" s="148"/>
      <c r="UOD2" s="148"/>
      <c r="UOE2" s="148"/>
      <c r="UOF2" s="148"/>
      <c r="UOG2" s="148"/>
      <c r="UOH2" s="148"/>
      <c r="UOI2" s="148"/>
      <c r="UOJ2" s="148"/>
      <c r="UOK2" s="148"/>
      <c r="UOL2" s="148"/>
      <c r="UOM2" s="148"/>
      <c r="UON2" s="148"/>
      <c r="UOO2" s="148"/>
      <c r="UOP2" s="148"/>
      <c r="UOQ2" s="148"/>
      <c r="UOR2" s="148"/>
      <c r="UOS2" s="148"/>
      <c r="UOT2" s="148"/>
      <c r="UOU2" s="148"/>
      <c r="UOV2" s="148"/>
      <c r="UOW2" s="148"/>
      <c r="UOX2" s="148"/>
      <c r="UOY2" s="148"/>
      <c r="UOZ2" s="148"/>
      <c r="UPA2" s="148"/>
      <c r="UPB2" s="148"/>
      <c r="UPC2" s="148"/>
      <c r="UPD2" s="148"/>
      <c r="UPE2" s="148"/>
      <c r="UPF2" s="148"/>
      <c r="UPG2" s="148"/>
      <c r="UPH2" s="148"/>
      <c r="UPI2" s="148"/>
      <c r="UPJ2" s="148"/>
      <c r="UPK2" s="148"/>
      <c r="UPL2" s="148"/>
      <c r="UPM2" s="148"/>
      <c r="UPN2" s="148"/>
      <c r="UPO2" s="148"/>
      <c r="UPP2" s="148"/>
      <c r="UPQ2" s="148"/>
      <c r="UPR2" s="148"/>
      <c r="UPS2" s="148"/>
      <c r="UPT2" s="148"/>
      <c r="UPU2" s="148"/>
      <c r="UPV2" s="148"/>
      <c r="UPW2" s="148"/>
      <c r="UPX2" s="148"/>
      <c r="UPY2" s="148"/>
      <c r="UPZ2" s="148"/>
      <c r="UQA2" s="148"/>
      <c r="UQB2" s="148"/>
      <c r="UQC2" s="148"/>
      <c r="UQD2" s="148"/>
      <c r="UQE2" s="148"/>
      <c r="UQF2" s="148"/>
      <c r="UQG2" s="148"/>
      <c r="UQH2" s="148"/>
      <c r="UQI2" s="148"/>
      <c r="UQJ2" s="148"/>
      <c r="UQK2" s="148"/>
      <c r="UQL2" s="148"/>
      <c r="UQM2" s="148"/>
      <c r="UQN2" s="148"/>
      <c r="UQO2" s="148"/>
      <c r="UQP2" s="148"/>
      <c r="UQQ2" s="148"/>
      <c r="UQR2" s="148"/>
      <c r="UQS2" s="148"/>
      <c r="UQT2" s="148"/>
      <c r="UQU2" s="148"/>
      <c r="UQV2" s="148"/>
      <c r="UQW2" s="148"/>
      <c r="UQX2" s="148"/>
      <c r="UQY2" s="148"/>
      <c r="UQZ2" s="148"/>
      <c r="URA2" s="148"/>
      <c r="URB2" s="148"/>
      <c r="URC2" s="148"/>
      <c r="URD2" s="148"/>
      <c r="URE2" s="148"/>
      <c r="URF2" s="148"/>
      <c r="URG2" s="148"/>
      <c r="URH2" s="148"/>
      <c r="URI2" s="148"/>
      <c r="URJ2" s="148"/>
      <c r="URK2" s="148"/>
      <c r="URL2" s="148"/>
      <c r="URM2" s="148"/>
      <c r="URN2" s="148"/>
      <c r="URO2" s="148"/>
      <c r="URP2" s="148"/>
      <c r="URQ2" s="148"/>
      <c r="URR2" s="148"/>
      <c r="URS2" s="148"/>
      <c r="URT2" s="148"/>
      <c r="URU2" s="148"/>
      <c r="URV2" s="148"/>
      <c r="URW2" s="148"/>
      <c r="URX2" s="148"/>
      <c r="URY2" s="148"/>
      <c r="URZ2" s="148"/>
      <c r="USA2" s="148"/>
      <c r="USB2" s="148"/>
      <c r="USC2" s="148"/>
      <c r="USD2" s="148"/>
      <c r="USE2" s="148"/>
      <c r="USF2" s="148"/>
      <c r="USG2" s="148"/>
      <c r="USH2" s="148"/>
      <c r="USI2" s="148"/>
      <c r="USJ2" s="148"/>
      <c r="USK2" s="148"/>
      <c r="USL2" s="148"/>
      <c r="USM2" s="148"/>
      <c r="USN2" s="148"/>
      <c r="USO2" s="148"/>
      <c r="USP2" s="148"/>
      <c r="USQ2" s="148"/>
      <c r="USR2" s="148"/>
      <c r="USS2" s="148"/>
      <c r="UST2" s="148"/>
      <c r="USU2" s="148"/>
      <c r="USV2" s="148"/>
      <c r="USW2" s="148"/>
      <c r="USX2" s="148"/>
      <c r="USY2" s="148"/>
      <c r="USZ2" s="148"/>
      <c r="UTA2" s="148"/>
      <c r="UTB2" s="148"/>
      <c r="UTC2" s="148"/>
      <c r="UTD2" s="148"/>
      <c r="UTE2" s="148"/>
      <c r="UTF2" s="148"/>
      <c r="UTG2" s="148"/>
      <c r="UTH2" s="148"/>
      <c r="UTI2" s="148"/>
      <c r="UTJ2" s="148"/>
      <c r="UTK2" s="148"/>
      <c r="UTL2" s="148"/>
      <c r="UTM2" s="148"/>
      <c r="UTN2" s="148"/>
      <c r="UTO2" s="148"/>
      <c r="UTP2" s="148"/>
      <c r="UTQ2" s="148"/>
      <c r="UTR2" s="148"/>
      <c r="UTS2" s="148"/>
      <c r="UTT2" s="148"/>
      <c r="UTU2" s="148"/>
      <c r="UTV2" s="148"/>
      <c r="UTW2" s="148"/>
      <c r="UTX2" s="148"/>
      <c r="UTY2" s="148"/>
      <c r="UTZ2" s="148"/>
      <c r="UUA2" s="148"/>
      <c r="UUB2" s="148"/>
      <c r="UUC2" s="148"/>
      <c r="UUD2" s="148"/>
      <c r="UUE2" s="148"/>
      <c r="UUF2" s="148"/>
      <c r="UUG2" s="148"/>
      <c r="UUH2" s="148"/>
      <c r="UUI2" s="148"/>
      <c r="UUJ2" s="148"/>
      <c r="UUK2" s="148"/>
      <c r="UUL2" s="148"/>
      <c r="UUM2" s="148"/>
      <c r="UUN2" s="148"/>
      <c r="UUO2" s="148"/>
      <c r="UUP2" s="148"/>
      <c r="UUQ2" s="148"/>
      <c r="UUR2" s="148"/>
      <c r="UUS2" s="148"/>
      <c r="UUT2" s="148"/>
      <c r="UUU2" s="148"/>
      <c r="UUV2" s="148"/>
      <c r="UUW2" s="148"/>
      <c r="UUX2" s="148"/>
      <c r="UUY2" s="148"/>
      <c r="UUZ2" s="148"/>
      <c r="UVA2" s="148"/>
      <c r="UVB2" s="148"/>
      <c r="UVC2" s="148"/>
      <c r="UVD2" s="148"/>
      <c r="UVE2" s="148"/>
      <c r="UVF2" s="148"/>
      <c r="UVG2" s="148"/>
      <c r="UVH2" s="148"/>
      <c r="UVI2" s="148"/>
      <c r="UVJ2" s="148"/>
      <c r="UVK2" s="148"/>
      <c r="UVL2" s="148"/>
      <c r="UVM2" s="148"/>
      <c r="UVN2" s="148"/>
      <c r="UVO2" s="148"/>
      <c r="UVP2" s="148"/>
      <c r="UVQ2" s="148"/>
      <c r="UVR2" s="148"/>
      <c r="UVS2" s="148"/>
      <c r="UVT2" s="148"/>
      <c r="UVU2" s="148"/>
      <c r="UVV2" s="148"/>
      <c r="UVW2" s="148"/>
      <c r="UVX2" s="148"/>
      <c r="UVY2" s="148"/>
      <c r="UVZ2" s="148"/>
      <c r="UWA2" s="148"/>
      <c r="UWB2" s="148"/>
      <c r="UWC2" s="148"/>
      <c r="UWD2" s="148"/>
      <c r="UWE2" s="148"/>
      <c r="UWF2" s="148"/>
      <c r="UWG2" s="148"/>
      <c r="UWH2" s="148"/>
      <c r="UWI2" s="148"/>
      <c r="UWJ2" s="148"/>
      <c r="UWK2" s="148"/>
      <c r="UWL2" s="148"/>
      <c r="UWM2" s="148"/>
      <c r="UWN2" s="148"/>
      <c r="UWO2" s="148"/>
      <c r="UWP2" s="148"/>
      <c r="UWQ2" s="148"/>
      <c r="UWR2" s="148"/>
      <c r="UWS2" s="148"/>
      <c r="UWT2" s="148"/>
      <c r="UWU2" s="148"/>
      <c r="UWV2" s="148"/>
      <c r="UWW2" s="148"/>
      <c r="UWX2" s="148"/>
      <c r="UWY2" s="148"/>
      <c r="UWZ2" s="148"/>
      <c r="UXA2" s="148"/>
      <c r="UXB2" s="148"/>
      <c r="UXC2" s="148"/>
      <c r="UXD2" s="148"/>
      <c r="UXE2" s="148"/>
      <c r="UXF2" s="148"/>
      <c r="UXG2" s="148"/>
      <c r="UXH2" s="148"/>
      <c r="UXI2" s="148"/>
      <c r="UXJ2" s="148"/>
      <c r="UXK2" s="148"/>
      <c r="UXL2" s="148"/>
      <c r="UXM2" s="148"/>
      <c r="UXN2" s="148"/>
      <c r="UXO2" s="148"/>
      <c r="UXP2" s="148"/>
      <c r="UXQ2" s="148"/>
      <c r="UXR2" s="148"/>
      <c r="UXS2" s="148"/>
      <c r="UXT2" s="148"/>
      <c r="UXU2" s="148"/>
      <c r="UXV2" s="148"/>
      <c r="UXW2" s="148"/>
      <c r="UXX2" s="148"/>
      <c r="UXY2" s="148"/>
      <c r="UXZ2" s="148"/>
      <c r="UYA2" s="148"/>
      <c r="UYB2" s="148"/>
      <c r="UYC2" s="148"/>
      <c r="UYD2" s="148"/>
      <c r="UYE2" s="148"/>
      <c r="UYF2" s="148"/>
      <c r="UYG2" s="148"/>
      <c r="UYH2" s="148"/>
      <c r="UYI2" s="148"/>
      <c r="UYJ2" s="148"/>
      <c r="UYK2" s="148"/>
      <c r="UYL2" s="148"/>
      <c r="UYM2" s="148"/>
      <c r="UYN2" s="148"/>
      <c r="UYO2" s="148"/>
      <c r="UYP2" s="148"/>
      <c r="UYQ2" s="148"/>
      <c r="UYR2" s="148"/>
      <c r="UYS2" s="148"/>
      <c r="UYT2" s="148"/>
      <c r="UYU2" s="148"/>
      <c r="UYV2" s="148"/>
      <c r="UYW2" s="148"/>
      <c r="UYX2" s="148"/>
      <c r="UYY2" s="148"/>
      <c r="UYZ2" s="148"/>
      <c r="UZA2" s="148"/>
      <c r="UZB2" s="148"/>
      <c r="UZC2" s="148"/>
      <c r="UZD2" s="148"/>
      <c r="UZE2" s="148"/>
      <c r="UZF2" s="148"/>
      <c r="UZG2" s="148"/>
      <c r="UZH2" s="148"/>
      <c r="UZI2" s="148"/>
      <c r="UZJ2" s="148"/>
      <c r="UZK2" s="148"/>
      <c r="UZL2" s="148"/>
      <c r="UZM2" s="148"/>
      <c r="UZN2" s="148"/>
      <c r="UZO2" s="148"/>
      <c r="UZP2" s="148"/>
      <c r="UZQ2" s="148"/>
      <c r="UZR2" s="148"/>
      <c r="UZS2" s="148"/>
      <c r="UZT2" s="148"/>
      <c r="UZU2" s="148"/>
      <c r="UZV2" s="148"/>
      <c r="UZW2" s="148"/>
      <c r="UZX2" s="148"/>
      <c r="UZY2" s="148"/>
      <c r="UZZ2" s="148"/>
      <c r="VAA2" s="148"/>
      <c r="VAB2" s="148"/>
      <c r="VAC2" s="148"/>
      <c r="VAD2" s="148"/>
      <c r="VAE2" s="148"/>
      <c r="VAF2" s="148"/>
      <c r="VAG2" s="148"/>
      <c r="VAH2" s="148"/>
      <c r="VAI2" s="148"/>
      <c r="VAJ2" s="148"/>
      <c r="VAK2" s="148"/>
      <c r="VAL2" s="148"/>
      <c r="VAM2" s="148"/>
      <c r="VAN2" s="148"/>
      <c r="VAO2" s="148"/>
      <c r="VAP2" s="148"/>
      <c r="VAQ2" s="148"/>
      <c r="VAR2" s="148"/>
      <c r="VAS2" s="148"/>
      <c r="VAT2" s="148"/>
      <c r="VAU2" s="148"/>
      <c r="VAV2" s="148"/>
      <c r="VAW2" s="148"/>
      <c r="VAX2" s="148"/>
      <c r="VAY2" s="148"/>
      <c r="VAZ2" s="148"/>
      <c r="VBA2" s="148"/>
      <c r="VBB2" s="148"/>
      <c r="VBC2" s="148"/>
      <c r="VBD2" s="148"/>
      <c r="VBE2" s="148"/>
      <c r="VBF2" s="148"/>
      <c r="VBG2" s="148"/>
      <c r="VBH2" s="148"/>
      <c r="VBI2" s="148"/>
      <c r="VBJ2" s="148"/>
      <c r="VBK2" s="148"/>
      <c r="VBL2" s="148"/>
      <c r="VBM2" s="148"/>
      <c r="VBN2" s="148"/>
      <c r="VBO2" s="148"/>
      <c r="VBP2" s="148"/>
      <c r="VBQ2" s="148"/>
      <c r="VBR2" s="148"/>
      <c r="VBS2" s="148"/>
      <c r="VBT2" s="148"/>
      <c r="VBU2" s="148"/>
      <c r="VBV2" s="148"/>
      <c r="VBW2" s="148"/>
      <c r="VBX2" s="148"/>
      <c r="VBY2" s="148"/>
      <c r="VBZ2" s="148"/>
      <c r="VCA2" s="148"/>
      <c r="VCB2" s="148"/>
      <c r="VCC2" s="148"/>
      <c r="VCD2" s="148"/>
      <c r="VCE2" s="148"/>
      <c r="VCF2" s="148"/>
      <c r="VCG2" s="148"/>
      <c r="VCH2" s="148"/>
      <c r="VCI2" s="148"/>
      <c r="VCJ2" s="148"/>
      <c r="VCK2" s="148"/>
      <c r="VCL2" s="148"/>
      <c r="VCM2" s="148"/>
      <c r="VCN2" s="148"/>
      <c r="VCO2" s="148"/>
      <c r="VCP2" s="148"/>
      <c r="VCQ2" s="148"/>
      <c r="VCR2" s="148"/>
      <c r="VCS2" s="148"/>
      <c r="VCT2" s="148"/>
      <c r="VCU2" s="148"/>
      <c r="VCV2" s="148"/>
      <c r="VCW2" s="148"/>
      <c r="VCX2" s="148"/>
      <c r="VCY2" s="148"/>
      <c r="VCZ2" s="148"/>
      <c r="VDA2" s="148"/>
      <c r="VDB2" s="148"/>
      <c r="VDC2" s="148"/>
      <c r="VDD2" s="148"/>
      <c r="VDE2" s="148"/>
      <c r="VDF2" s="148"/>
      <c r="VDG2" s="148"/>
      <c r="VDH2" s="148"/>
      <c r="VDI2" s="148"/>
      <c r="VDJ2" s="148"/>
      <c r="VDK2" s="148"/>
      <c r="VDL2" s="148"/>
      <c r="VDM2" s="148"/>
      <c r="VDN2" s="148"/>
      <c r="VDO2" s="148"/>
      <c r="VDP2" s="148"/>
      <c r="VDQ2" s="148"/>
      <c r="VDR2" s="148"/>
      <c r="VDS2" s="148"/>
      <c r="VDT2" s="148"/>
      <c r="VDU2" s="148"/>
      <c r="VDV2" s="148"/>
      <c r="VDW2" s="148"/>
      <c r="VDX2" s="148"/>
      <c r="VDY2" s="148"/>
      <c r="VDZ2" s="148"/>
      <c r="VEA2" s="148"/>
      <c r="VEB2" s="148"/>
      <c r="VEC2" s="148"/>
      <c r="VED2" s="148"/>
      <c r="VEE2" s="148"/>
      <c r="VEF2" s="148"/>
      <c r="VEG2" s="148"/>
      <c r="VEH2" s="148"/>
      <c r="VEI2" s="148"/>
      <c r="VEJ2" s="148"/>
      <c r="VEK2" s="148"/>
      <c r="VEL2" s="148"/>
      <c r="VEM2" s="148"/>
      <c r="VEN2" s="148"/>
      <c r="VEO2" s="148"/>
      <c r="VEP2" s="148"/>
      <c r="VEQ2" s="148"/>
      <c r="VER2" s="148"/>
      <c r="VES2" s="148"/>
      <c r="VET2" s="148"/>
      <c r="VEU2" s="148"/>
      <c r="VEV2" s="148"/>
      <c r="VEW2" s="148"/>
      <c r="VEX2" s="148"/>
      <c r="VEY2" s="148"/>
      <c r="VEZ2" s="148"/>
      <c r="VFA2" s="148"/>
      <c r="VFB2" s="148"/>
      <c r="VFC2" s="148"/>
      <c r="VFD2" s="148"/>
      <c r="VFE2" s="148"/>
      <c r="VFF2" s="148"/>
      <c r="VFG2" s="148"/>
      <c r="VFH2" s="148"/>
      <c r="VFI2" s="148"/>
      <c r="VFJ2" s="148"/>
      <c r="VFK2" s="148"/>
      <c r="VFL2" s="148"/>
      <c r="VFM2" s="148"/>
      <c r="VFN2" s="148"/>
      <c r="VFO2" s="148"/>
      <c r="VFP2" s="148"/>
      <c r="VFQ2" s="148"/>
      <c r="VFR2" s="148"/>
      <c r="VFS2" s="148"/>
      <c r="VFT2" s="148"/>
      <c r="VFU2" s="148"/>
      <c r="VFV2" s="148"/>
      <c r="VFW2" s="148"/>
      <c r="VFX2" s="148"/>
      <c r="VFY2" s="148"/>
      <c r="VFZ2" s="148"/>
      <c r="VGA2" s="148"/>
      <c r="VGB2" s="148"/>
      <c r="VGC2" s="148"/>
      <c r="VGD2" s="148"/>
      <c r="VGE2" s="148"/>
      <c r="VGF2" s="148"/>
      <c r="VGG2" s="148"/>
      <c r="VGH2" s="148"/>
      <c r="VGI2" s="148"/>
      <c r="VGJ2" s="148"/>
      <c r="VGK2" s="148"/>
      <c r="VGL2" s="148"/>
      <c r="VGM2" s="148"/>
      <c r="VGN2" s="148"/>
      <c r="VGO2" s="148"/>
      <c r="VGP2" s="148"/>
      <c r="VGQ2" s="148"/>
      <c r="VGR2" s="148"/>
      <c r="VGS2" s="148"/>
      <c r="VGT2" s="148"/>
      <c r="VGU2" s="148"/>
      <c r="VGV2" s="148"/>
      <c r="VGW2" s="148"/>
      <c r="VGX2" s="148"/>
      <c r="VGY2" s="148"/>
      <c r="VGZ2" s="148"/>
      <c r="VHA2" s="148"/>
      <c r="VHB2" s="148"/>
      <c r="VHC2" s="148"/>
      <c r="VHD2" s="148"/>
      <c r="VHE2" s="148"/>
      <c r="VHF2" s="148"/>
      <c r="VHG2" s="148"/>
      <c r="VHH2" s="148"/>
      <c r="VHI2" s="148"/>
      <c r="VHJ2" s="148"/>
      <c r="VHK2" s="148"/>
      <c r="VHL2" s="148"/>
      <c r="VHM2" s="148"/>
      <c r="VHN2" s="148"/>
      <c r="VHO2" s="148"/>
      <c r="VHP2" s="148"/>
      <c r="VHQ2" s="148"/>
      <c r="VHR2" s="148"/>
      <c r="VHS2" s="148"/>
      <c r="VHT2" s="148"/>
      <c r="VHU2" s="148"/>
      <c r="VHV2" s="148"/>
      <c r="VHW2" s="148"/>
      <c r="VHX2" s="148"/>
      <c r="VHY2" s="148"/>
      <c r="VHZ2" s="148"/>
      <c r="VIA2" s="148"/>
      <c r="VIB2" s="148"/>
      <c r="VIC2" s="148"/>
      <c r="VID2" s="148"/>
      <c r="VIE2" s="148"/>
      <c r="VIF2" s="148"/>
      <c r="VIG2" s="148"/>
      <c r="VIH2" s="148"/>
      <c r="VII2" s="148"/>
      <c r="VIJ2" s="148"/>
      <c r="VIK2" s="148"/>
      <c r="VIL2" s="148"/>
      <c r="VIM2" s="148"/>
      <c r="VIN2" s="148"/>
      <c r="VIO2" s="148"/>
      <c r="VIP2" s="148"/>
      <c r="VIQ2" s="148"/>
      <c r="VIR2" s="148"/>
      <c r="VIS2" s="148"/>
      <c r="VIT2" s="148"/>
      <c r="VIU2" s="148"/>
      <c r="VIV2" s="148"/>
      <c r="VIW2" s="148"/>
      <c r="VIX2" s="148"/>
      <c r="VIY2" s="148"/>
      <c r="VIZ2" s="148"/>
      <c r="VJA2" s="148"/>
      <c r="VJB2" s="148"/>
      <c r="VJC2" s="148"/>
      <c r="VJD2" s="148"/>
      <c r="VJE2" s="148"/>
      <c r="VJF2" s="148"/>
      <c r="VJG2" s="148"/>
      <c r="VJH2" s="148"/>
      <c r="VJI2" s="148"/>
      <c r="VJJ2" s="148"/>
      <c r="VJK2" s="148"/>
      <c r="VJL2" s="148"/>
      <c r="VJM2" s="148"/>
      <c r="VJN2" s="148"/>
      <c r="VJO2" s="148"/>
      <c r="VJP2" s="148"/>
      <c r="VJQ2" s="148"/>
      <c r="VJR2" s="148"/>
      <c r="VJS2" s="148"/>
      <c r="VJT2" s="148"/>
      <c r="VJU2" s="148"/>
      <c r="VJV2" s="148"/>
      <c r="VJW2" s="148"/>
      <c r="VJX2" s="148"/>
      <c r="VJY2" s="148"/>
      <c r="VJZ2" s="148"/>
      <c r="VKA2" s="148"/>
      <c r="VKB2" s="148"/>
      <c r="VKC2" s="148"/>
      <c r="VKD2" s="148"/>
      <c r="VKE2" s="148"/>
      <c r="VKF2" s="148"/>
      <c r="VKG2" s="148"/>
      <c r="VKH2" s="148"/>
      <c r="VKI2" s="148"/>
      <c r="VKJ2" s="148"/>
      <c r="VKK2" s="148"/>
      <c r="VKL2" s="148"/>
      <c r="VKM2" s="148"/>
      <c r="VKN2" s="148"/>
      <c r="VKO2" s="148"/>
      <c r="VKP2" s="148"/>
      <c r="VKQ2" s="148"/>
      <c r="VKR2" s="148"/>
      <c r="VKS2" s="148"/>
      <c r="VKT2" s="148"/>
      <c r="VKU2" s="148"/>
      <c r="VKV2" s="148"/>
      <c r="VKW2" s="148"/>
      <c r="VKX2" s="148"/>
      <c r="VKY2" s="148"/>
      <c r="VKZ2" s="148"/>
      <c r="VLA2" s="148"/>
      <c r="VLB2" s="148"/>
      <c r="VLC2" s="148"/>
      <c r="VLD2" s="148"/>
      <c r="VLE2" s="148"/>
      <c r="VLF2" s="148"/>
      <c r="VLG2" s="148"/>
      <c r="VLH2" s="148"/>
      <c r="VLI2" s="148"/>
      <c r="VLJ2" s="148"/>
      <c r="VLK2" s="148"/>
      <c r="VLL2" s="148"/>
      <c r="VLM2" s="148"/>
      <c r="VLN2" s="148"/>
      <c r="VLO2" s="148"/>
      <c r="VLP2" s="148"/>
      <c r="VLQ2" s="148"/>
      <c r="VLR2" s="148"/>
      <c r="VLS2" s="148"/>
      <c r="VLT2" s="148"/>
      <c r="VLU2" s="148"/>
      <c r="VLV2" s="148"/>
      <c r="VLW2" s="148"/>
      <c r="VLX2" s="148"/>
      <c r="VLY2" s="148"/>
      <c r="VLZ2" s="148"/>
      <c r="VMA2" s="148"/>
      <c r="VMB2" s="148"/>
      <c r="VMC2" s="148"/>
      <c r="VMD2" s="148"/>
      <c r="VME2" s="148"/>
      <c r="VMF2" s="148"/>
      <c r="VMG2" s="148"/>
      <c r="VMH2" s="148"/>
      <c r="VMI2" s="148"/>
      <c r="VMJ2" s="148"/>
      <c r="VMK2" s="148"/>
      <c r="VML2" s="148"/>
      <c r="VMM2" s="148"/>
      <c r="VMN2" s="148"/>
      <c r="VMO2" s="148"/>
      <c r="VMP2" s="148"/>
      <c r="VMQ2" s="148"/>
      <c r="VMR2" s="148"/>
      <c r="VMS2" s="148"/>
      <c r="VMT2" s="148"/>
      <c r="VMU2" s="148"/>
      <c r="VMV2" s="148"/>
      <c r="VMW2" s="148"/>
      <c r="VMX2" s="148"/>
      <c r="VMY2" s="148"/>
      <c r="VMZ2" s="148"/>
      <c r="VNA2" s="148"/>
      <c r="VNB2" s="148"/>
      <c r="VNC2" s="148"/>
      <c r="VND2" s="148"/>
      <c r="VNE2" s="148"/>
      <c r="VNF2" s="148"/>
      <c r="VNG2" s="148"/>
      <c r="VNH2" s="148"/>
      <c r="VNI2" s="148"/>
      <c r="VNJ2" s="148"/>
      <c r="VNK2" s="148"/>
      <c r="VNL2" s="148"/>
      <c r="VNM2" s="148"/>
      <c r="VNN2" s="148"/>
      <c r="VNO2" s="148"/>
      <c r="VNP2" s="148"/>
      <c r="VNQ2" s="148"/>
      <c r="VNR2" s="148"/>
      <c r="VNS2" s="148"/>
      <c r="VNT2" s="148"/>
      <c r="VNU2" s="148"/>
      <c r="VNV2" s="148"/>
      <c r="VNW2" s="148"/>
      <c r="VNX2" s="148"/>
      <c r="VNY2" s="148"/>
      <c r="VNZ2" s="148"/>
      <c r="VOA2" s="148"/>
      <c r="VOB2" s="148"/>
      <c r="VOC2" s="148"/>
      <c r="VOD2" s="148"/>
      <c r="VOE2" s="148"/>
      <c r="VOF2" s="148"/>
      <c r="VOG2" s="148"/>
      <c r="VOH2" s="148"/>
      <c r="VOI2" s="148"/>
      <c r="VOJ2" s="148"/>
      <c r="VOK2" s="148"/>
      <c r="VOL2" s="148"/>
      <c r="VOM2" s="148"/>
      <c r="VON2" s="148"/>
      <c r="VOO2" s="148"/>
      <c r="VOP2" s="148"/>
      <c r="VOQ2" s="148"/>
      <c r="VOR2" s="148"/>
      <c r="VOS2" s="148"/>
      <c r="VOT2" s="148"/>
      <c r="VOU2" s="148"/>
      <c r="VOV2" s="148"/>
      <c r="VOW2" s="148"/>
      <c r="VOX2" s="148"/>
      <c r="VOY2" s="148"/>
      <c r="VOZ2" s="148"/>
      <c r="VPA2" s="148"/>
      <c r="VPB2" s="148"/>
      <c r="VPC2" s="148"/>
      <c r="VPD2" s="148"/>
      <c r="VPE2" s="148"/>
      <c r="VPF2" s="148"/>
      <c r="VPG2" s="148"/>
      <c r="VPH2" s="148"/>
      <c r="VPI2" s="148"/>
      <c r="VPJ2" s="148"/>
      <c r="VPK2" s="148"/>
      <c r="VPL2" s="148"/>
      <c r="VPM2" s="148"/>
      <c r="VPN2" s="148"/>
      <c r="VPO2" s="148"/>
      <c r="VPP2" s="148"/>
      <c r="VPQ2" s="148"/>
      <c r="VPR2" s="148"/>
      <c r="VPS2" s="148"/>
      <c r="VPT2" s="148"/>
      <c r="VPU2" s="148"/>
      <c r="VPV2" s="148"/>
      <c r="VPW2" s="148"/>
      <c r="VPX2" s="148"/>
      <c r="VPY2" s="148"/>
      <c r="VPZ2" s="148"/>
      <c r="VQA2" s="148"/>
      <c r="VQB2" s="148"/>
      <c r="VQC2" s="148"/>
      <c r="VQD2" s="148"/>
      <c r="VQE2" s="148"/>
      <c r="VQF2" s="148"/>
      <c r="VQG2" s="148"/>
      <c r="VQH2" s="148"/>
      <c r="VQI2" s="148"/>
      <c r="VQJ2" s="148"/>
      <c r="VQK2" s="148"/>
      <c r="VQL2" s="148"/>
      <c r="VQM2" s="148"/>
      <c r="VQN2" s="148"/>
      <c r="VQO2" s="148"/>
      <c r="VQP2" s="148"/>
      <c r="VQQ2" s="148"/>
      <c r="VQR2" s="148"/>
      <c r="VQS2" s="148"/>
      <c r="VQT2" s="148"/>
      <c r="VQU2" s="148"/>
      <c r="VQV2" s="148"/>
      <c r="VQW2" s="148"/>
      <c r="VQX2" s="148"/>
      <c r="VQY2" s="148"/>
      <c r="VQZ2" s="148"/>
      <c r="VRA2" s="148"/>
      <c r="VRB2" s="148"/>
      <c r="VRC2" s="148"/>
      <c r="VRD2" s="148"/>
      <c r="VRE2" s="148"/>
      <c r="VRF2" s="148"/>
      <c r="VRG2" s="148"/>
      <c r="VRH2" s="148"/>
      <c r="VRI2" s="148"/>
      <c r="VRJ2" s="148"/>
      <c r="VRK2" s="148"/>
      <c r="VRL2" s="148"/>
      <c r="VRM2" s="148"/>
      <c r="VRN2" s="148"/>
      <c r="VRO2" s="148"/>
      <c r="VRP2" s="148"/>
      <c r="VRQ2" s="148"/>
      <c r="VRR2" s="148"/>
      <c r="VRS2" s="148"/>
      <c r="VRT2" s="148"/>
      <c r="VRU2" s="148"/>
      <c r="VRV2" s="148"/>
      <c r="VRW2" s="148"/>
      <c r="VRX2" s="148"/>
      <c r="VRY2" s="148"/>
      <c r="VRZ2" s="148"/>
      <c r="VSA2" s="148"/>
      <c r="VSB2" s="148"/>
      <c r="VSC2" s="148"/>
      <c r="VSD2" s="148"/>
      <c r="VSE2" s="148"/>
      <c r="VSF2" s="148"/>
      <c r="VSG2" s="148"/>
      <c r="VSH2" s="148"/>
      <c r="VSI2" s="148"/>
      <c r="VSJ2" s="148"/>
      <c r="VSK2" s="148"/>
      <c r="VSL2" s="148"/>
      <c r="VSM2" s="148"/>
      <c r="VSN2" s="148"/>
      <c r="VSO2" s="148"/>
      <c r="VSP2" s="148"/>
      <c r="VSQ2" s="148"/>
      <c r="VSR2" s="148"/>
      <c r="VSS2" s="148"/>
      <c r="VST2" s="148"/>
      <c r="VSU2" s="148"/>
      <c r="VSV2" s="148"/>
      <c r="VSW2" s="148"/>
      <c r="VSX2" s="148"/>
      <c r="VSY2" s="148"/>
      <c r="VSZ2" s="148"/>
      <c r="VTA2" s="148"/>
      <c r="VTB2" s="148"/>
      <c r="VTC2" s="148"/>
      <c r="VTD2" s="148"/>
      <c r="VTE2" s="148"/>
      <c r="VTF2" s="148"/>
      <c r="VTG2" s="148"/>
      <c r="VTH2" s="148"/>
      <c r="VTI2" s="148"/>
      <c r="VTJ2" s="148"/>
      <c r="VTK2" s="148"/>
      <c r="VTL2" s="148"/>
      <c r="VTM2" s="148"/>
      <c r="VTN2" s="148"/>
      <c r="VTO2" s="148"/>
      <c r="VTP2" s="148"/>
      <c r="VTQ2" s="148"/>
      <c r="VTR2" s="148"/>
      <c r="VTS2" s="148"/>
      <c r="VTT2" s="148"/>
      <c r="VTU2" s="148"/>
      <c r="VTV2" s="148"/>
      <c r="VTW2" s="148"/>
      <c r="VTX2" s="148"/>
      <c r="VTY2" s="148"/>
      <c r="VTZ2" s="148"/>
      <c r="VUA2" s="148"/>
      <c r="VUB2" s="148"/>
      <c r="VUC2" s="148"/>
      <c r="VUD2" s="148"/>
      <c r="VUE2" s="148"/>
      <c r="VUF2" s="148"/>
      <c r="VUG2" s="148"/>
      <c r="VUH2" s="148"/>
      <c r="VUI2" s="148"/>
      <c r="VUJ2" s="148"/>
      <c r="VUK2" s="148"/>
      <c r="VUL2" s="148"/>
      <c r="VUM2" s="148"/>
      <c r="VUN2" s="148"/>
      <c r="VUO2" s="148"/>
      <c r="VUP2" s="148"/>
      <c r="VUQ2" s="148"/>
      <c r="VUR2" s="148"/>
      <c r="VUS2" s="148"/>
      <c r="VUT2" s="148"/>
      <c r="VUU2" s="148"/>
      <c r="VUV2" s="148"/>
      <c r="VUW2" s="148"/>
      <c r="VUX2" s="148"/>
      <c r="VUY2" s="148"/>
      <c r="VUZ2" s="148"/>
      <c r="VVA2" s="148"/>
      <c r="VVB2" s="148"/>
      <c r="VVC2" s="148"/>
      <c r="VVD2" s="148"/>
      <c r="VVE2" s="148"/>
      <c r="VVF2" s="148"/>
      <c r="VVG2" s="148"/>
      <c r="VVH2" s="148"/>
      <c r="VVI2" s="148"/>
      <c r="VVJ2" s="148"/>
      <c r="VVK2" s="148"/>
      <c r="VVL2" s="148"/>
      <c r="VVM2" s="148"/>
      <c r="VVN2" s="148"/>
      <c r="VVO2" s="148"/>
      <c r="VVP2" s="148"/>
      <c r="VVQ2" s="148"/>
      <c r="VVR2" s="148"/>
      <c r="VVS2" s="148"/>
      <c r="VVT2" s="148"/>
      <c r="VVU2" s="148"/>
      <c r="VVV2" s="148"/>
      <c r="VVW2" s="148"/>
      <c r="VVX2" s="148"/>
      <c r="VVY2" s="148"/>
      <c r="VVZ2" s="148"/>
      <c r="VWA2" s="148"/>
      <c r="VWB2" s="148"/>
      <c r="VWC2" s="148"/>
      <c r="VWD2" s="148"/>
      <c r="VWE2" s="148"/>
      <c r="VWF2" s="148"/>
      <c r="VWG2" s="148"/>
      <c r="VWH2" s="148"/>
      <c r="VWI2" s="148"/>
      <c r="VWJ2" s="148"/>
      <c r="VWK2" s="148"/>
      <c r="VWL2" s="148"/>
      <c r="VWM2" s="148"/>
      <c r="VWN2" s="148"/>
      <c r="VWO2" s="148"/>
      <c r="VWP2" s="148"/>
      <c r="VWQ2" s="148"/>
      <c r="VWR2" s="148"/>
      <c r="VWS2" s="148"/>
      <c r="VWT2" s="148"/>
      <c r="VWU2" s="148"/>
      <c r="VWV2" s="148"/>
      <c r="VWW2" s="148"/>
      <c r="VWX2" s="148"/>
      <c r="VWY2" s="148"/>
      <c r="VWZ2" s="148"/>
      <c r="VXA2" s="148"/>
      <c r="VXB2" s="148"/>
      <c r="VXC2" s="148"/>
      <c r="VXD2" s="148"/>
      <c r="VXE2" s="148"/>
      <c r="VXF2" s="148"/>
      <c r="VXG2" s="148"/>
      <c r="VXH2" s="148"/>
      <c r="VXI2" s="148"/>
      <c r="VXJ2" s="148"/>
      <c r="VXK2" s="148"/>
      <c r="VXL2" s="148"/>
      <c r="VXM2" s="148"/>
      <c r="VXN2" s="148"/>
      <c r="VXO2" s="148"/>
      <c r="VXP2" s="148"/>
      <c r="VXQ2" s="148"/>
      <c r="VXR2" s="148"/>
      <c r="VXS2" s="148"/>
      <c r="VXT2" s="148"/>
      <c r="VXU2" s="148"/>
      <c r="VXV2" s="148"/>
      <c r="VXW2" s="148"/>
      <c r="VXX2" s="148"/>
      <c r="VXY2" s="148"/>
      <c r="VXZ2" s="148"/>
      <c r="VYA2" s="148"/>
      <c r="VYB2" s="148"/>
      <c r="VYC2" s="148"/>
      <c r="VYD2" s="148"/>
      <c r="VYE2" s="148"/>
      <c r="VYF2" s="148"/>
      <c r="VYG2" s="148"/>
      <c r="VYH2" s="148"/>
      <c r="VYI2" s="148"/>
      <c r="VYJ2" s="148"/>
      <c r="VYK2" s="148"/>
      <c r="VYL2" s="148"/>
      <c r="VYM2" s="148"/>
      <c r="VYN2" s="148"/>
      <c r="VYO2" s="148"/>
      <c r="VYP2" s="148"/>
      <c r="VYQ2" s="148"/>
      <c r="VYR2" s="148"/>
      <c r="VYS2" s="148"/>
      <c r="VYT2" s="148"/>
      <c r="VYU2" s="148"/>
      <c r="VYV2" s="148"/>
      <c r="VYW2" s="148"/>
      <c r="VYX2" s="148"/>
      <c r="VYY2" s="148"/>
      <c r="VYZ2" s="148"/>
      <c r="VZA2" s="148"/>
      <c r="VZB2" s="148"/>
      <c r="VZC2" s="148"/>
      <c r="VZD2" s="148"/>
      <c r="VZE2" s="148"/>
      <c r="VZF2" s="148"/>
      <c r="VZG2" s="148"/>
      <c r="VZH2" s="148"/>
      <c r="VZI2" s="148"/>
      <c r="VZJ2" s="148"/>
      <c r="VZK2" s="148"/>
      <c r="VZL2" s="148"/>
      <c r="VZM2" s="148"/>
      <c r="VZN2" s="148"/>
      <c r="VZO2" s="148"/>
      <c r="VZP2" s="148"/>
      <c r="VZQ2" s="148"/>
      <c r="VZR2" s="148"/>
      <c r="VZS2" s="148"/>
      <c r="VZT2" s="148"/>
      <c r="VZU2" s="148"/>
      <c r="VZV2" s="148"/>
      <c r="VZW2" s="148"/>
      <c r="VZX2" s="148"/>
      <c r="VZY2" s="148"/>
      <c r="VZZ2" s="148"/>
      <c r="WAA2" s="148"/>
      <c r="WAB2" s="148"/>
      <c r="WAC2" s="148"/>
      <c r="WAD2" s="148"/>
      <c r="WAE2" s="148"/>
      <c r="WAF2" s="148"/>
      <c r="WAG2" s="148"/>
      <c r="WAH2" s="148"/>
      <c r="WAI2" s="148"/>
      <c r="WAJ2" s="148"/>
      <c r="WAK2" s="148"/>
      <c r="WAL2" s="148"/>
      <c r="WAM2" s="148"/>
      <c r="WAN2" s="148"/>
      <c r="WAO2" s="148"/>
      <c r="WAP2" s="148"/>
      <c r="WAQ2" s="148"/>
      <c r="WAR2" s="148"/>
      <c r="WAS2" s="148"/>
      <c r="WAT2" s="148"/>
      <c r="WAU2" s="148"/>
      <c r="WAV2" s="148"/>
      <c r="WAW2" s="148"/>
      <c r="WAX2" s="148"/>
      <c r="WAY2" s="148"/>
      <c r="WAZ2" s="148"/>
      <c r="WBA2" s="148"/>
      <c r="WBB2" s="148"/>
      <c r="WBC2" s="148"/>
      <c r="WBD2" s="148"/>
      <c r="WBE2" s="148"/>
      <c r="WBF2" s="148"/>
      <c r="WBG2" s="148"/>
      <c r="WBH2" s="148"/>
      <c r="WBI2" s="148"/>
      <c r="WBJ2" s="148"/>
      <c r="WBK2" s="148"/>
      <c r="WBL2" s="148"/>
      <c r="WBM2" s="148"/>
      <c r="WBN2" s="148"/>
      <c r="WBO2" s="148"/>
      <c r="WBP2" s="148"/>
      <c r="WBQ2" s="148"/>
      <c r="WBR2" s="148"/>
      <c r="WBS2" s="148"/>
      <c r="WBT2" s="148"/>
      <c r="WBU2" s="148"/>
      <c r="WBV2" s="148"/>
      <c r="WBW2" s="148"/>
      <c r="WBX2" s="148"/>
      <c r="WBY2" s="148"/>
      <c r="WBZ2" s="148"/>
      <c r="WCA2" s="148"/>
      <c r="WCB2" s="148"/>
      <c r="WCC2" s="148"/>
      <c r="WCD2" s="148"/>
      <c r="WCE2" s="148"/>
      <c r="WCF2" s="148"/>
      <c r="WCG2" s="148"/>
      <c r="WCH2" s="148"/>
      <c r="WCI2" s="148"/>
      <c r="WCJ2" s="148"/>
      <c r="WCK2" s="148"/>
      <c r="WCL2" s="148"/>
      <c r="WCM2" s="148"/>
      <c r="WCN2" s="148"/>
      <c r="WCO2" s="148"/>
      <c r="WCP2" s="148"/>
      <c r="WCQ2" s="148"/>
      <c r="WCR2" s="148"/>
      <c r="WCS2" s="148"/>
      <c r="WCT2" s="148"/>
      <c r="WCU2" s="148"/>
      <c r="WCV2" s="148"/>
      <c r="WCW2" s="148"/>
      <c r="WCX2" s="148"/>
      <c r="WCY2" s="148"/>
      <c r="WCZ2" s="148"/>
      <c r="WDA2" s="148"/>
      <c r="WDB2" s="148"/>
      <c r="WDC2" s="148"/>
      <c r="WDD2" s="148"/>
      <c r="WDE2" s="148"/>
      <c r="WDF2" s="148"/>
      <c r="WDG2" s="148"/>
      <c r="WDH2" s="148"/>
      <c r="WDI2" s="148"/>
      <c r="WDJ2" s="148"/>
      <c r="WDK2" s="148"/>
      <c r="WDL2" s="148"/>
      <c r="WDM2" s="148"/>
      <c r="WDN2" s="148"/>
      <c r="WDO2" s="148"/>
      <c r="WDP2" s="148"/>
      <c r="WDQ2" s="148"/>
      <c r="WDR2" s="148"/>
      <c r="WDS2" s="148"/>
      <c r="WDT2" s="148"/>
      <c r="WDU2" s="148"/>
      <c r="WDV2" s="148"/>
      <c r="WDW2" s="148"/>
      <c r="WDX2" s="148"/>
      <c r="WDY2" s="148"/>
      <c r="WDZ2" s="148"/>
      <c r="WEA2" s="148"/>
      <c r="WEB2" s="148"/>
      <c r="WEC2" s="148"/>
      <c r="WED2" s="148"/>
      <c r="WEE2" s="148"/>
      <c r="WEF2" s="148"/>
      <c r="WEG2" s="148"/>
      <c r="WEH2" s="148"/>
      <c r="WEI2" s="148"/>
      <c r="WEJ2" s="148"/>
      <c r="WEK2" s="148"/>
      <c r="WEL2" s="148"/>
      <c r="WEM2" s="148"/>
      <c r="WEN2" s="148"/>
      <c r="WEO2" s="148"/>
      <c r="WEP2" s="148"/>
      <c r="WEQ2" s="148"/>
      <c r="WER2" s="148"/>
      <c r="WES2" s="148"/>
      <c r="WET2" s="148"/>
      <c r="WEU2" s="148"/>
      <c r="WEV2" s="148"/>
      <c r="WEW2" s="148"/>
      <c r="WEX2" s="148"/>
      <c r="WEY2" s="148"/>
      <c r="WEZ2" s="148"/>
      <c r="WFA2" s="148"/>
      <c r="WFB2" s="148"/>
      <c r="WFC2" s="148"/>
      <c r="WFD2" s="148"/>
      <c r="WFE2" s="148"/>
      <c r="WFF2" s="148"/>
      <c r="WFG2" s="148"/>
      <c r="WFH2" s="148"/>
      <c r="WFI2" s="148"/>
      <c r="WFJ2" s="148"/>
      <c r="WFK2" s="148"/>
      <c r="WFL2" s="148"/>
      <c r="WFM2" s="148"/>
      <c r="WFN2" s="148"/>
      <c r="WFO2" s="148"/>
      <c r="WFP2" s="148"/>
      <c r="WFQ2" s="148"/>
      <c r="WFR2" s="148"/>
      <c r="WFS2" s="148"/>
      <c r="WFT2" s="148"/>
      <c r="WFU2" s="148"/>
      <c r="WFV2" s="148"/>
      <c r="WFW2" s="148"/>
      <c r="WFX2" s="148"/>
      <c r="WFY2" s="148"/>
      <c r="WFZ2" s="148"/>
      <c r="WGA2" s="148"/>
      <c r="WGB2" s="148"/>
      <c r="WGC2" s="148"/>
      <c r="WGD2" s="148"/>
      <c r="WGE2" s="148"/>
      <c r="WGF2" s="148"/>
      <c r="WGG2" s="148"/>
      <c r="WGH2" s="148"/>
      <c r="WGI2" s="148"/>
      <c r="WGJ2" s="148"/>
      <c r="WGK2" s="148"/>
      <c r="WGL2" s="148"/>
      <c r="WGM2" s="148"/>
      <c r="WGN2" s="148"/>
      <c r="WGO2" s="148"/>
      <c r="WGP2" s="148"/>
      <c r="WGQ2" s="148"/>
      <c r="WGR2" s="148"/>
      <c r="WGS2" s="148"/>
      <c r="WGT2" s="148"/>
      <c r="WGU2" s="148"/>
      <c r="WGV2" s="148"/>
      <c r="WGW2" s="148"/>
      <c r="WGX2" s="148"/>
      <c r="WGY2" s="148"/>
      <c r="WGZ2" s="148"/>
      <c r="WHA2" s="148"/>
      <c r="WHB2" s="148"/>
      <c r="WHC2" s="148"/>
      <c r="WHD2" s="148"/>
      <c r="WHE2" s="148"/>
      <c r="WHF2" s="148"/>
      <c r="WHG2" s="148"/>
      <c r="WHH2" s="148"/>
      <c r="WHI2" s="148"/>
      <c r="WHJ2" s="148"/>
      <c r="WHK2" s="148"/>
      <c r="WHL2" s="148"/>
      <c r="WHM2" s="148"/>
      <c r="WHN2" s="148"/>
      <c r="WHO2" s="148"/>
      <c r="WHP2" s="148"/>
      <c r="WHQ2" s="148"/>
      <c r="WHR2" s="148"/>
      <c r="WHS2" s="148"/>
      <c r="WHT2" s="148"/>
      <c r="WHU2" s="148"/>
      <c r="WHV2" s="148"/>
      <c r="WHW2" s="148"/>
      <c r="WHX2" s="148"/>
      <c r="WHY2" s="148"/>
      <c r="WHZ2" s="148"/>
      <c r="WIA2" s="148"/>
      <c r="WIB2" s="148"/>
      <c r="WIC2" s="148"/>
      <c r="WID2" s="148"/>
      <c r="WIE2" s="148"/>
      <c r="WIF2" s="148"/>
      <c r="WIG2" s="148"/>
      <c r="WIH2" s="148"/>
      <c r="WII2" s="148"/>
      <c r="WIJ2" s="148"/>
      <c r="WIK2" s="148"/>
      <c r="WIL2" s="148"/>
      <c r="WIM2" s="148"/>
      <c r="WIN2" s="148"/>
      <c r="WIO2" s="148"/>
      <c r="WIP2" s="148"/>
      <c r="WIQ2" s="148"/>
      <c r="WIR2" s="148"/>
      <c r="WIS2" s="148"/>
      <c r="WIT2" s="148"/>
      <c r="WIU2" s="148"/>
      <c r="WIV2" s="148"/>
      <c r="WIW2" s="148"/>
      <c r="WIX2" s="148"/>
      <c r="WIY2" s="148"/>
      <c r="WIZ2" s="148"/>
      <c r="WJA2" s="148"/>
      <c r="WJB2" s="148"/>
      <c r="WJC2" s="148"/>
      <c r="WJD2" s="148"/>
      <c r="WJE2" s="148"/>
      <c r="WJF2" s="148"/>
      <c r="WJG2" s="148"/>
      <c r="WJH2" s="148"/>
      <c r="WJI2" s="148"/>
      <c r="WJJ2" s="148"/>
      <c r="WJK2" s="148"/>
      <c r="WJL2" s="148"/>
      <c r="WJM2" s="148"/>
      <c r="WJN2" s="148"/>
      <c r="WJO2" s="148"/>
      <c r="WJP2" s="148"/>
      <c r="WJQ2" s="148"/>
      <c r="WJR2" s="148"/>
      <c r="WJS2" s="148"/>
      <c r="WJT2" s="148"/>
      <c r="WJU2" s="148"/>
      <c r="WJV2" s="148"/>
      <c r="WJW2" s="148"/>
      <c r="WJX2" s="148"/>
      <c r="WJY2" s="148"/>
      <c r="WJZ2" s="148"/>
      <c r="WKA2" s="148"/>
      <c r="WKB2" s="148"/>
      <c r="WKC2" s="148"/>
      <c r="WKD2" s="148"/>
      <c r="WKE2" s="148"/>
      <c r="WKF2" s="148"/>
      <c r="WKG2" s="148"/>
      <c r="WKH2" s="148"/>
      <c r="WKI2" s="148"/>
      <c r="WKJ2" s="148"/>
      <c r="WKK2" s="148"/>
      <c r="WKL2" s="148"/>
      <c r="WKM2" s="148"/>
      <c r="WKN2" s="148"/>
      <c r="WKO2" s="148"/>
      <c r="WKP2" s="148"/>
      <c r="WKQ2" s="148"/>
      <c r="WKR2" s="148"/>
      <c r="WKS2" s="148"/>
      <c r="WKT2" s="148"/>
      <c r="WKU2" s="148"/>
      <c r="WKV2" s="148"/>
      <c r="WKW2" s="148"/>
      <c r="WKX2" s="148"/>
      <c r="WKY2" s="148"/>
      <c r="WKZ2" s="148"/>
      <c r="WLA2" s="148"/>
      <c r="WLB2" s="148"/>
      <c r="WLC2" s="148"/>
      <c r="WLD2" s="148"/>
      <c r="WLE2" s="148"/>
      <c r="WLF2" s="148"/>
      <c r="WLG2" s="148"/>
      <c r="WLH2" s="148"/>
      <c r="WLI2" s="148"/>
      <c r="WLJ2" s="148"/>
      <c r="WLK2" s="148"/>
      <c r="WLL2" s="148"/>
      <c r="WLM2" s="148"/>
      <c r="WLN2" s="148"/>
      <c r="WLO2" s="148"/>
      <c r="WLP2" s="148"/>
      <c r="WLQ2" s="148"/>
      <c r="WLR2" s="148"/>
      <c r="WLS2" s="148"/>
      <c r="WLT2" s="148"/>
      <c r="WLU2" s="148"/>
      <c r="WLV2" s="148"/>
      <c r="WLW2" s="148"/>
      <c r="WLX2" s="148"/>
      <c r="WLY2" s="148"/>
      <c r="WLZ2" s="148"/>
      <c r="WMA2" s="148"/>
      <c r="WMB2" s="148"/>
      <c r="WMC2" s="148"/>
      <c r="WMD2" s="148"/>
      <c r="WME2" s="148"/>
      <c r="WMF2" s="148"/>
      <c r="WMG2" s="148"/>
      <c r="WMH2" s="148"/>
      <c r="WMI2" s="148"/>
      <c r="WMJ2" s="148"/>
      <c r="WMK2" s="148"/>
      <c r="WML2" s="148"/>
      <c r="WMM2" s="148"/>
      <c r="WMN2" s="148"/>
      <c r="WMO2" s="148"/>
      <c r="WMP2" s="148"/>
      <c r="WMQ2" s="148"/>
      <c r="WMR2" s="148"/>
      <c r="WMS2" s="148"/>
      <c r="WMT2" s="148"/>
      <c r="WMU2" s="148"/>
      <c r="WMV2" s="148"/>
      <c r="WMW2" s="148"/>
      <c r="WMX2" s="148"/>
      <c r="WMY2" s="148"/>
      <c r="WMZ2" s="148"/>
      <c r="WNA2" s="148"/>
      <c r="WNB2" s="148"/>
      <c r="WNC2" s="148"/>
      <c r="WND2" s="148"/>
      <c r="WNE2" s="148"/>
      <c r="WNF2" s="148"/>
      <c r="WNG2" s="148"/>
      <c r="WNH2" s="148"/>
      <c r="WNI2" s="148"/>
      <c r="WNJ2" s="148"/>
      <c r="WNK2" s="148"/>
      <c r="WNL2" s="148"/>
      <c r="WNM2" s="148"/>
      <c r="WNN2" s="148"/>
      <c r="WNO2" s="148"/>
      <c r="WNP2" s="148"/>
      <c r="WNQ2" s="148"/>
      <c r="WNR2" s="148"/>
      <c r="WNS2" s="148"/>
      <c r="WNT2" s="148"/>
      <c r="WNU2" s="148"/>
      <c r="WNV2" s="148"/>
      <c r="WNW2" s="148"/>
      <c r="WNX2" s="148"/>
      <c r="WNY2" s="148"/>
      <c r="WNZ2" s="148"/>
      <c r="WOA2" s="148"/>
      <c r="WOB2" s="148"/>
      <c r="WOC2" s="148"/>
      <c r="WOD2" s="148"/>
      <c r="WOE2" s="148"/>
      <c r="WOF2" s="148"/>
      <c r="WOG2" s="148"/>
      <c r="WOH2" s="148"/>
      <c r="WOI2" s="148"/>
      <c r="WOJ2" s="148"/>
      <c r="WOK2" s="148"/>
      <c r="WOL2" s="148"/>
      <c r="WOM2" s="148"/>
      <c r="WON2" s="148"/>
      <c r="WOO2" s="148"/>
      <c r="WOP2" s="148"/>
      <c r="WOQ2" s="148"/>
      <c r="WOR2" s="148"/>
      <c r="WOS2" s="148"/>
      <c r="WOT2" s="148"/>
      <c r="WOU2" s="148"/>
      <c r="WOV2" s="148"/>
      <c r="WOW2" s="148"/>
      <c r="WOX2" s="148"/>
      <c r="WOY2" s="148"/>
      <c r="WOZ2" s="148"/>
      <c r="WPA2" s="148"/>
      <c r="WPB2" s="148"/>
      <c r="WPC2" s="148"/>
      <c r="WPD2" s="148"/>
      <c r="WPE2" s="148"/>
      <c r="WPF2" s="148"/>
      <c r="WPG2" s="148"/>
      <c r="WPH2" s="148"/>
      <c r="WPI2" s="148"/>
      <c r="WPJ2" s="148"/>
      <c r="WPK2" s="148"/>
      <c r="WPL2" s="148"/>
      <c r="WPM2" s="148"/>
      <c r="WPN2" s="148"/>
      <c r="WPO2" s="148"/>
      <c r="WPP2" s="148"/>
      <c r="WPQ2" s="148"/>
      <c r="WPR2" s="148"/>
      <c r="WPS2" s="148"/>
      <c r="WPT2" s="148"/>
      <c r="WPU2" s="148"/>
      <c r="WPV2" s="148"/>
      <c r="WPW2" s="148"/>
      <c r="WPX2" s="148"/>
      <c r="WPY2" s="148"/>
      <c r="WPZ2" s="148"/>
      <c r="WQA2" s="148"/>
      <c r="WQB2" s="148"/>
      <c r="WQC2" s="148"/>
      <c r="WQD2" s="148"/>
      <c r="WQE2" s="148"/>
      <c r="WQF2" s="148"/>
      <c r="WQG2" s="148"/>
      <c r="WQH2" s="148"/>
      <c r="WQI2" s="148"/>
      <c r="WQJ2" s="148"/>
      <c r="WQK2" s="148"/>
      <c r="WQL2" s="148"/>
      <c r="WQM2" s="148"/>
      <c r="WQN2" s="148"/>
      <c r="WQO2" s="148"/>
      <c r="WQP2" s="148"/>
      <c r="WQQ2" s="148"/>
      <c r="WQR2" s="148"/>
      <c r="WQS2" s="148"/>
      <c r="WQT2" s="148"/>
      <c r="WQU2" s="148"/>
      <c r="WQV2" s="148"/>
      <c r="WQW2" s="148"/>
      <c r="WQX2" s="148"/>
      <c r="WQY2" s="148"/>
      <c r="WQZ2" s="148"/>
      <c r="WRA2" s="148"/>
      <c r="WRB2" s="148"/>
      <c r="WRC2" s="148"/>
      <c r="WRD2" s="148"/>
      <c r="WRE2" s="148"/>
      <c r="WRF2" s="148"/>
      <c r="WRG2" s="148"/>
      <c r="WRH2" s="148"/>
      <c r="WRI2" s="148"/>
      <c r="WRJ2" s="148"/>
      <c r="WRK2" s="148"/>
      <c r="WRL2" s="148"/>
      <c r="WRM2" s="148"/>
      <c r="WRN2" s="148"/>
      <c r="WRO2" s="148"/>
      <c r="WRP2" s="148"/>
      <c r="WRQ2" s="148"/>
      <c r="WRR2" s="148"/>
      <c r="WRS2" s="148"/>
      <c r="WRT2" s="148"/>
      <c r="WRU2" s="148"/>
      <c r="WRV2" s="148"/>
      <c r="WRW2" s="148"/>
      <c r="WRX2" s="148"/>
      <c r="WRY2" s="148"/>
      <c r="WRZ2" s="148"/>
      <c r="WSA2" s="148"/>
      <c r="WSB2" s="148"/>
      <c r="WSC2" s="148"/>
      <c r="WSD2" s="148"/>
      <c r="WSE2" s="148"/>
      <c r="WSF2" s="148"/>
      <c r="WSG2" s="148"/>
      <c r="WSH2" s="148"/>
      <c r="WSI2" s="148"/>
      <c r="WSJ2" s="148"/>
      <c r="WSK2" s="148"/>
      <c r="WSL2" s="148"/>
      <c r="WSM2" s="148"/>
      <c r="WSN2" s="148"/>
      <c r="WSO2" s="148"/>
      <c r="WSP2" s="148"/>
      <c r="WSQ2" s="148"/>
      <c r="WSR2" s="148"/>
      <c r="WSS2" s="148"/>
      <c r="WST2" s="148"/>
      <c r="WSU2" s="148"/>
      <c r="WSV2" s="148"/>
      <c r="WSW2" s="148"/>
      <c r="WSX2" s="148"/>
      <c r="WSY2" s="148"/>
      <c r="WSZ2" s="148"/>
      <c r="WTA2" s="148"/>
      <c r="WTB2" s="148"/>
      <c r="WTC2" s="148"/>
      <c r="WTD2" s="148"/>
      <c r="WTE2" s="148"/>
      <c r="WTF2" s="148"/>
      <c r="WTG2" s="148"/>
      <c r="WTH2" s="148"/>
      <c r="WTI2" s="148"/>
      <c r="WTJ2" s="148"/>
      <c r="WTK2" s="148"/>
      <c r="WTL2" s="148"/>
      <c r="WTM2" s="148"/>
      <c r="WTN2" s="148"/>
      <c r="WTO2" s="148"/>
      <c r="WTP2" s="148"/>
      <c r="WTQ2" s="148"/>
      <c r="WTR2" s="148"/>
      <c r="WTS2" s="148"/>
      <c r="WTT2" s="148"/>
      <c r="WTU2" s="148"/>
      <c r="WTV2" s="148"/>
      <c r="WTW2" s="148"/>
      <c r="WTX2" s="148"/>
      <c r="WTY2" s="148"/>
      <c r="WTZ2" s="148"/>
      <c r="WUA2" s="148"/>
      <c r="WUB2" s="148"/>
      <c r="WUC2" s="148"/>
      <c r="WUD2" s="148"/>
      <c r="WUE2" s="148"/>
      <c r="WUF2" s="148"/>
      <c r="WUG2" s="148"/>
      <c r="WUH2" s="148"/>
      <c r="WUI2" s="148"/>
      <c r="WUJ2" s="148"/>
      <c r="WUK2" s="148"/>
      <c r="WUL2" s="148"/>
      <c r="WUM2" s="148"/>
      <c r="WUN2" s="148"/>
      <c r="WUO2" s="148"/>
      <c r="WUP2" s="148"/>
      <c r="WUQ2" s="148"/>
      <c r="WUR2" s="148"/>
      <c r="WUS2" s="148"/>
      <c r="WUT2" s="148"/>
      <c r="WUU2" s="148"/>
      <c r="WUV2" s="148"/>
      <c r="WUW2" s="148"/>
      <c r="WUX2" s="148"/>
      <c r="WUY2" s="148"/>
      <c r="WUZ2" s="148"/>
      <c r="WVA2" s="148"/>
      <c r="WVB2" s="148"/>
      <c r="WVC2" s="148"/>
      <c r="WVD2" s="148"/>
      <c r="WVE2" s="148"/>
      <c r="WVF2" s="148"/>
      <c r="WVG2" s="148"/>
      <c r="WVH2" s="148"/>
      <c r="WVI2" s="148"/>
      <c r="WVJ2" s="148"/>
      <c r="WVK2" s="148"/>
      <c r="WVL2" s="148"/>
      <c r="WVM2" s="148"/>
      <c r="WVN2" s="148"/>
      <c r="WVO2" s="148"/>
      <c r="WVP2" s="148"/>
      <c r="WVQ2" s="148"/>
      <c r="WVR2" s="148"/>
      <c r="WVS2" s="148"/>
      <c r="WVT2" s="148"/>
      <c r="WVU2" s="148"/>
      <c r="WVV2" s="148"/>
      <c r="WVW2" s="148"/>
      <c r="WVX2" s="148"/>
      <c r="WVY2" s="148"/>
      <c r="WVZ2" s="148"/>
      <c r="WWA2" s="148"/>
      <c r="WWB2" s="148"/>
      <c r="WWC2" s="148"/>
      <c r="WWD2" s="148"/>
      <c r="WWE2" s="148"/>
      <c r="WWF2" s="148"/>
      <c r="WWG2" s="148"/>
      <c r="WWH2" s="148"/>
      <c r="WWI2" s="148"/>
      <c r="WWJ2" s="148"/>
      <c r="WWK2" s="148"/>
      <c r="WWL2" s="148"/>
      <c r="WWM2" s="148"/>
      <c r="WWN2" s="148"/>
      <c r="WWO2" s="148"/>
      <c r="WWP2" s="148"/>
      <c r="WWQ2" s="148"/>
      <c r="WWR2" s="148"/>
      <c r="WWS2" s="148"/>
      <c r="WWT2" s="148"/>
      <c r="WWU2" s="148"/>
      <c r="WWV2" s="148"/>
      <c r="WWW2" s="148"/>
      <c r="WWX2" s="148"/>
      <c r="WWY2" s="148"/>
      <c r="WWZ2" s="148"/>
      <c r="WXA2" s="148"/>
      <c r="WXB2" s="148"/>
      <c r="WXC2" s="148"/>
      <c r="WXD2" s="148"/>
      <c r="WXE2" s="148"/>
      <c r="WXF2" s="148"/>
      <c r="WXG2" s="148"/>
      <c r="WXH2" s="148"/>
      <c r="WXI2" s="148"/>
      <c r="WXJ2" s="148"/>
      <c r="WXK2" s="148"/>
      <c r="WXL2" s="148"/>
      <c r="WXM2" s="148"/>
      <c r="WXN2" s="148"/>
      <c r="WXO2" s="148"/>
      <c r="WXP2" s="148"/>
      <c r="WXQ2" s="148"/>
      <c r="WXR2" s="148"/>
      <c r="WXS2" s="148"/>
      <c r="WXT2" s="148"/>
      <c r="WXU2" s="148"/>
      <c r="WXV2" s="148"/>
      <c r="WXW2" s="148"/>
      <c r="WXX2" s="148"/>
      <c r="WXY2" s="148"/>
      <c r="WXZ2" s="148"/>
      <c r="WYA2" s="148"/>
      <c r="WYB2" s="148"/>
      <c r="WYC2" s="148"/>
      <c r="WYD2" s="148"/>
      <c r="WYE2" s="148"/>
      <c r="WYF2" s="148"/>
      <c r="WYG2" s="148"/>
      <c r="WYH2" s="148"/>
      <c r="WYI2" s="148"/>
      <c r="WYJ2" s="148"/>
      <c r="WYK2" s="148"/>
      <c r="WYL2" s="148"/>
      <c r="WYM2" s="148"/>
      <c r="WYN2" s="148"/>
      <c r="WYO2" s="148"/>
      <c r="WYP2" s="148"/>
      <c r="WYQ2" s="148"/>
      <c r="WYR2" s="148"/>
      <c r="WYS2" s="148"/>
      <c r="WYT2" s="148"/>
      <c r="WYU2" s="148"/>
      <c r="WYV2" s="148"/>
      <c r="WYW2" s="148"/>
      <c r="WYX2" s="148"/>
      <c r="WYY2" s="148"/>
      <c r="WYZ2" s="148"/>
      <c r="WZA2" s="148"/>
      <c r="WZB2" s="148"/>
      <c r="WZC2" s="148"/>
      <c r="WZD2" s="148"/>
      <c r="WZE2" s="148"/>
      <c r="WZF2" s="148"/>
      <c r="WZG2" s="148"/>
      <c r="WZH2" s="148"/>
      <c r="WZI2" s="148"/>
      <c r="WZJ2" s="148"/>
      <c r="WZK2" s="148"/>
      <c r="WZL2" s="148"/>
      <c r="WZM2" s="148"/>
      <c r="WZN2" s="148"/>
      <c r="WZO2" s="148"/>
      <c r="WZP2" s="148"/>
      <c r="WZQ2" s="148"/>
      <c r="WZR2" s="148"/>
      <c r="WZS2" s="148"/>
      <c r="WZT2" s="148"/>
      <c r="WZU2" s="148"/>
      <c r="WZV2" s="148"/>
      <c r="WZW2" s="148"/>
      <c r="WZX2" s="148"/>
      <c r="WZY2" s="148"/>
      <c r="WZZ2" s="148"/>
      <c r="XAA2" s="148"/>
      <c r="XAB2" s="148"/>
      <c r="XAC2" s="148"/>
      <c r="XAD2" s="148"/>
      <c r="XAE2" s="148"/>
      <c r="XAF2" s="148"/>
      <c r="XAG2" s="148"/>
      <c r="XAH2" s="148"/>
      <c r="XAI2" s="148"/>
      <c r="XAJ2" s="148"/>
      <c r="XAK2" s="148"/>
      <c r="XAL2" s="148"/>
      <c r="XAM2" s="148"/>
      <c r="XAN2" s="148"/>
      <c r="XAO2" s="148"/>
      <c r="XAP2" s="148"/>
      <c r="XAQ2" s="148"/>
      <c r="XAR2" s="148"/>
      <c r="XAS2" s="148"/>
      <c r="XAT2" s="148"/>
      <c r="XAU2" s="148"/>
      <c r="XAV2" s="148"/>
      <c r="XAW2" s="148"/>
      <c r="XAX2" s="148"/>
      <c r="XAY2" s="148"/>
      <c r="XAZ2" s="148"/>
      <c r="XBA2" s="148"/>
      <c r="XBB2" s="148"/>
      <c r="XBC2" s="148"/>
      <c r="XBD2" s="148"/>
      <c r="XBE2" s="148"/>
      <c r="XBF2" s="148"/>
      <c r="XBG2" s="148"/>
      <c r="XBH2" s="148"/>
      <c r="XBI2" s="148"/>
      <c r="XBJ2" s="148"/>
      <c r="XBK2" s="148"/>
      <c r="XBL2" s="148"/>
      <c r="XBM2" s="148"/>
      <c r="XBN2" s="148"/>
      <c r="XBO2" s="148"/>
      <c r="XBP2" s="148"/>
      <c r="XBQ2" s="148"/>
      <c r="XBR2" s="148"/>
      <c r="XBS2" s="148"/>
      <c r="XBT2" s="148"/>
      <c r="XBU2" s="148"/>
      <c r="XBV2" s="148"/>
      <c r="XBW2" s="148"/>
      <c r="XBX2" s="148"/>
      <c r="XBY2" s="148"/>
      <c r="XBZ2" s="148"/>
      <c r="XCA2" s="148"/>
      <c r="XCB2" s="148"/>
      <c r="XCC2" s="148"/>
      <c r="XCD2" s="148"/>
      <c r="XCE2" s="148"/>
      <c r="XCF2" s="148"/>
      <c r="XCG2" s="148"/>
      <c r="XCH2" s="148"/>
      <c r="XCI2" s="148"/>
      <c r="XCJ2" s="148"/>
      <c r="XCK2" s="148"/>
      <c r="XCL2" s="148"/>
      <c r="XCM2" s="148"/>
      <c r="XCN2" s="148"/>
      <c r="XCO2" s="148"/>
      <c r="XCP2" s="148"/>
      <c r="XCQ2" s="148"/>
      <c r="XCR2" s="148"/>
      <c r="XCS2" s="148"/>
      <c r="XCT2" s="148"/>
      <c r="XCU2" s="148"/>
      <c r="XCV2" s="148"/>
      <c r="XCW2" s="148"/>
      <c r="XCX2" s="148"/>
      <c r="XCY2" s="148"/>
      <c r="XCZ2" s="148"/>
      <c r="XDA2" s="148"/>
      <c r="XDB2" s="148"/>
      <c r="XDC2" s="148"/>
      <c r="XDD2" s="148"/>
      <c r="XDE2" s="148"/>
      <c r="XDF2" s="148"/>
      <c r="XDG2" s="148"/>
      <c r="XDH2" s="148"/>
      <c r="XDI2" s="148"/>
      <c r="XDJ2" s="148"/>
      <c r="XDK2" s="148"/>
      <c r="XDL2" s="148"/>
      <c r="XDM2" s="148"/>
      <c r="XDN2" s="148"/>
      <c r="XDO2" s="148"/>
      <c r="XDP2" s="148"/>
      <c r="XDQ2" s="148"/>
      <c r="XDR2" s="148"/>
      <c r="XDS2" s="148"/>
      <c r="XDT2" s="148"/>
      <c r="XDU2" s="148"/>
      <c r="XDV2" s="148"/>
      <c r="XDW2" s="148"/>
      <c r="XDX2" s="148"/>
      <c r="XDY2" s="148"/>
      <c r="XDZ2" s="148"/>
      <c r="XEA2" s="148"/>
      <c r="XEB2" s="148"/>
      <c r="XEC2" s="148"/>
      <c r="XED2" s="148"/>
      <c r="XEE2" s="148"/>
      <c r="XEF2" s="148"/>
      <c r="XEG2" s="148"/>
      <c r="XEH2" s="148"/>
      <c r="XEI2" s="148"/>
      <c r="XEJ2" s="148"/>
      <c r="XEK2" s="148"/>
      <c r="XEL2" s="148"/>
      <c r="XEM2" s="148"/>
      <c r="XEN2" s="148"/>
      <c r="XEO2" s="148"/>
      <c r="XEP2" s="148"/>
      <c r="XEQ2" s="148"/>
      <c r="XER2" s="148"/>
      <c r="XES2" s="148"/>
      <c r="XET2" s="148"/>
      <c r="XEU2" s="148"/>
      <c r="XEV2" s="148"/>
      <c r="XEW2" s="148"/>
      <c r="XEX2" s="148"/>
      <c r="XEY2" s="148"/>
      <c r="XEZ2" s="148"/>
      <c r="XFA2" s="148"/>
      <c r="XFB2" s="148"/>
      <c r="XFC2" s="148"/>
      <c r="XFD2" s="148"/>
    </row>
    <row r="3" spans="2:16384" x14ac:dyDescent="0.25">
      <c r="B3" s="252" t="s">
        <v>1712</v>
      </c>
    </row>
    <row r="4" spans="2:16384" x14ac:dyDescent="0.25">
      <c r="B4" s="183" t="s">
        <v>365</v>
      </c>
      <c r="C4" t="s">
        <v>2183</v>
      </c>
      <c r="E4" s="253" t="s">
        <v>452</v>
      </c>
      <c r="F4" s="148">
        <v>2024</v>
      </c>
      <c r="H4" s="183" t="s">
        <v>452</v>
      </c>
      <c r="I4" t="s">
        <v>376</v>
      </c>
      <c r="K4" s="183" t="s">
        <v>452</v>
      </c>
      <c r="L4" t="s">
        <v>376</v>
      </c>
    </row>
    <row r="5" spans="2:16384" x14ac:dyDescent="0.25">
      <c r="B5" s="148" t="s">
        <v>1165</v>
      </c>
      <c r="C5" s="165">
        <v>25074</v>
      </c>
      <c r="E5" s="252" t="s">
        <v>1901</v>
      </c>
      <c r="H5" s="252" t="s">
        <v>2184</v>
      </c>
      <c r="K5" s="252" t="s">
        <v>2185</v>
      </c>
    </row>
    <row r="6" spans="2:16384" x14ac:dyDescent="0.25">
      <c r="B6" s="148" t="s">
        <v>1720</v>
      </c>
      <c r="C6" s="165">
        <v>202148.18999999997</v>
      </c>
      <c r="E6" s="183" t="s">
        <v>365</v>
      </c>
      <c r="F6" t="s">
        <v>2186</v>
      </c>
      <c r="H6" s="183" t="s">
        <v>365</v>
      </c>
      <c r="I6" t="s">
        <v>2183</v>
      </c>
      <c r="K6" s="183" t="s">
        <v>365</v>
      </c>
      <c r="L6" t="s">
        <v>2183</v>
      </c>
    </row>
    <row r="7" spans="2:16384" x14ac:dyDescent="0.25">
      <c r="B7" s="148" t="s">
        <v>1716</v>
      </c>
      <c r="C7" s="165">
        <v>24471</v>
      </c>
      <c r="E7" s="148" t="s">
        <v>464</v>
      </c>
      <c r="F7" s="97">
        <v>560233.11</v>
      </c>
      <c r="H7" s="148" t="s">
        <v>1129</v>
      </c>
      <c r="I7" s="165">
        <v>699.98</v>
      </c>
      <c r="K7" s="148" t="s">
        <v>2187</v>
      </c>
      <c r="L7" s="165">
        <v>132177.16</v>
      </c>
    </row>
    <row r="8" spans="2:16384" x14ac:dyDescent="0.25">
      <c r="B8" s="148" t="s">
        <v>1170</v>
      </c>
      <c r="C8" s="165">
        <v>19026.400000000001</v>
      </c>
      <c r="E8" s="148" t="s">
        <v>465</v>
      </c>
      <c r="F8" s="97">
        <v>443952.64000000001</v>
      </c>
      <c r="H8" s="148" t="s">
        <v>1115</v>
      </c>
      <c r="I8" s="165">
        <v>44278</v>
      </c>
      <c r="K8" s="148" t="s">
        <v>2188</v>
      </c>
      <c r="L8" s="165">
        <v>120167.29</v>
      </c>
    </row>
    <row r="9" spans="2:16384" x14ac:dyDescent="0.25">
      <c r="B9" s="148" t="s">
        <v>1717</v>
      </c>
      <c r="C9" s="165">
        <v>29421.9</v>
      </c>
      <c r="D9" s="148"/>
      <c r="E9" s="148" t="s">
        <v>466</v>
      </c>
      <c r="F9" s="97">
        <v>188907.03999999998</v>
      </c>
      <c r="H9" s="148" t="s">
        <v>1139</v>
      </c>
      <c r="I9" s="165">
        <v>2070</v>
      </c>
      <c r="K9" s="148" t="s">
        <v>2189</v>
      </c>
      <c r="L9" s="165">
        <v>91467.91</v>
      </c>
    </row>
    <row r="10" spans="2:16384" x14ac:dyDescent="0.25">
      <c r="B10" s="148" t="s">
        <v>1168</v>
      </c>
      <c r="C10" s="165">
        <v>53391</v>
      </c>
      <c r="D10" s="148"/>
      <c r="E10" s="252" t="s">
        <v>467</v>
      </c>
      <c r="F10" s="97">
        <v>470262.33999999997</v>
      </c>
      <c r="H10" s="148" t="s">
        <v>552</v>
      </c>
      <c r="I10" s="165">
        <v>9326</v>
      </c>
      <c r="K10" s="148" t="s">
        <v>2190</v>
      </c>
      <c r="L10" s="165">
        <v>194863.22</v>
      </c>
    </row>
    <row r="11" spans="2:16384" x14ac:dyDescent="0.25">
      <c r="B11" s="148" t="s">
        <v>1732</v>
      </c>
      <c r="C11" s="165">
        <v>46213</v>
      </c>
      <c r="D11" s="148"/>
      <c r="H11" s="148" t="s">
        <v>493</v>
      </c>
      <c r="I11" s="165">
        <v>192000</v>
      </c>
      <c r="K11" s="148" t="s">
        <v>1777</v>
      </c>
      <c r="L11" s="165">
        <v>198734.27999999997</v>
      </c>
    </row>
    <row r="12" spans="2:16384" x14ac:dyDescent="0.25">
      <c r="B12" s="148" t="s">
        <v>1735</v>
      </c>
      <c r="C12" s="165">
        <v>448225.4</v>
      </c>
      <c r="D12" s="148" t="s">
        <v>2191</v>
      </c>
      <c r="G12" s="97"/>
      <c r="H12" s="148" t="s">
        <v>512</v>
      </c>
      <c r="I12" s="165">
        <v>110896</v>
      </c>
      <c r="K12" s="148" t="s">
        <v>2192</v>
      </c>
      <c r="L12" s="165">
        <v>116512.50000000001</v>
      </c>
    </row>
    <row r="13" spans="2:16384" x14ac:dyDescent="0.25">
      <c r="B13" s="148" t="s">
        <v>1723</v>
      </c>
      <c r="C13" s="165">
        <v>25525.88</v>
      </c>
      <c r="D13" s="184">
        <f>+F19-F35</f>
        <v>1663355.13</v>
      </c>
      <c r="H13" s="148" t="s">
        <v>505</v>
      </c>
      <c r="I13" s="165">
        <v>12916.93</v>
      </c>
      <c r="K13" s="148" t="s">
        <v>2193</v>
      </c>
      <c r="L13" s="165">
        <v>107360.57</v>
      </c>
    </row>
    <row r="14" spans="2:16384" x14ac:dyDescent="0.25">
      <c r="B14" s="148" t="s">
        <v>1744</v>
      </c>
      <c r="C14" s="165">
        <v>3940.52</v>
      </c>
      <c r="H14" s="148" t="s">
        <v>496</v>
      </c>
      <c r="I14" s="165">
        <v>16057.02</v>
      </c>
      <c r="K14" s="148" t="s">
        <v>1912</v>
      </c>
      <c r="L14" s="165">
        <v>961282.92999999993</v>
      </c>
    </row>
    <row r="15" spans="2:16384" x14ac:dyDescent="0.25">
      <c r="B15" s="148" t="s">
        <v>1161</v>
      </c>
      <c r="C15" s="165">
        <v>55585.61</v>
      </c>
      <c r="H15" s="148" t="s">
        <v>1117</v>
      </c>
      <c r="I15" s="165">
        <v>88800</v>
      </c>
    </row>
    <row r="16" spans="2:16384" x14ac:dyDescent="0.25">
      <c r="B16" s="148" t="s">
        <v>1727</v>
      </c>
      <c r="C16" s="165">
        <v>28260.03</v>
      </c>
      <c r="H16" s="148" t="s">
        <v>1113</v>
      </c>
      <c r="I16" s="165">
        <v>13348.89</v>
      </c>
    </row>
    <row r="17" spans="2:9" x14ac:dyDescent="0.25">
      <c r="B17" s="148" t="s">
        <v>1912</v>
      </c>
      <c r="C17" s="165">
        <v>961282.93</v>
      </c>
      <c r="H17" s="148" t="s">
        <v>1135</v>
      </c>
      <c r="I17" s="165">
        <v>2065</v>
      </c>
    </row>
    <row r="18" spans="2:9" x14ac:dyDescent="0.25">
      <c r="H18" s="148" t="s">
        <v>676</v>
      </c>
      <c r="I18" s="165">
        <v>1260</v>
      </c>
    </row>
    <row r="19" spans="2:9" x14ac:dyDescent="0.25">
      <c r="B19" s="183" t="s">
        <v>452</v>
      </c>
      <c r="C19" t="s">
        <v>360</v>
      </c>
      <c r="F19" s="97">
        <f>SUM(F7:F18)</f>
        <v>1663355.13</v>
      </c>
      <c r="H19" s="148" t="s">
        <v>1109</v>
      </c>
      <c r="I19" s="165">
        <v>1578</v>
      </c>
    </row>
    <row r="20" spans="2:9" x14ac:dyDescent="0.25">
      <c r="B20" s="183" t="s">
        <v>453</v>
      </c>
      <c r="C20" t="s">
        <v>360</v>
      </c>
      <c r="H20" s="148" t="s">
        <v>534</v>
      </c>
      <c r="I20" s="165">
        <v>6872.99</v>
      </c>
    </row>
    <row r="21" spans="2:9" x14ac:dyDescent="0.25">
      <c r="B21" s="252" t="s">
        <v>2194</v>
      </c>
      <c r="E21" s="183" t="s">
        <v>1150</v>
      </c>
      <c r="F21" t="s">
        <v>360</v>
      </c>
      <c r="H21" s="148" t="s">
        <v>1131</v>
      </c>
      <c r="I21" s="165">
        <v>3400.92</v>
      </c>
    </row>
    <row r="22" spans="2:9" x14ac:dyDescent="0.25">
      <c r="B22" s="183" t="s">
        <v>365</v>
      </c>
      <c r="C22" t="s">
        <v>2183</v>
      </c>
      <c r="E22" s="252" t="s">
        <v>2195</v>
      </c>
      <c r="H22" s="148" t="s">
        <v>1137</v>
      </c>
      <c r="I22" s="165">
        <v>685.01</v>
      </c>
    </row>
    <row r="23" spans="2:9" x14ac:dyDescent="0.25">
      <c r="B23" s="148" t="s">
        <v>1737</v>
      </c>
      <c r="C23" s="165">
        <v>154608.31999999998</v>
      </c>
      <c r="E23" s="183" t="s">
        <v>365</v>
      </c>
      <c r="F23" t="s">
        <v>2183</v>
      </c>
      <c r="H23" s="148" t="s">
        <v>1141</v>
      </c>
      <c r="I23" s="165">
        <v>880</v>
      </c>
    </row>
    <row r="24" spans="2:9" x14ac:dyDescent="0.25">
      <c r="B24" s="148" t="s">
        <v>1171</v>
      </c>
      <c r="C24" s="165">
        <v>640</v>
      </c>
      <c r="E24" s="148" t="s">
        <v>2196</v>
      </c>
      <c r="F24" s="184">
        <v>303815.09999999998</v>
      </c>
      <c r="H24" s="148" t="s">
        <v>1127</v>
      </c>
      <c r="I24" s="165">
        <v>1495</v>
      </c>
    </row>
    <row r="25" spans="2:9" x14ac:dyDescent="0.25">
      <c r="B25" s="148" t="s">
        <v>1785</v>
      </c>
      <c r="C25" s="165">
        <v>12645.03</v>
      </c>
      <c r="E25" s="148" t="s">
        <v>2197</v>
      </c>
      <c r="F25" s="184">
        <v>216260.22</v>
      </c>
      <c r="H25" s="148" t="s">
        <v>1107</v>
      </c>
      <c r="I25" s="165">
        <v>1000</v>
      </c>
    </row>
    <row r="26" spans="2:9" x14ac:dyDescent="0.25">
      <c r="B26" s="148" t="s">
        <v>1722</v>
      </c>
      <c r="C26" s="165">
        <v>15019.070000000002</v>
      </c>
      <c r="E26" s="148" t="s">
        <v>2198</v>
      </c>
      <c r="F26" s="184">
        <v>272476.94999999995</v>
      </c>
      <c r="H26" s="148" t="s">
        <v>508</v>
      </c>
      <c r="I26" s="165">
        <v>20478.04</v>
      </c>
    </row>
    <row r="27" spans="2:9" x14ac:dyDescent="0.25">
      <c r="B27" s="148" t="s">
        <v>1796</v>
      </c>
      <c r="C27" s="165">
        <v>3720</v>
      </c>
      <c r="E27" s="148" t="s">
        <v>1955</v>
      </c>
      <c r="F27" s="184">
        <v>168730.65999999997</v>
      </c>
      <c r="H27" s="148" t="s">
        <v>1133</v>
      </c>
      <c r="I27" s="165">
        <v>1069.99</v>
      </c>
    </row>
    <row r="28" spans="2:9" x14ac:dyDescent="0.25">
      <c r="B28" s="148" t="s">
        <v>1770</v>
      </c>
      <c r="C28" s="165">
        <v>88800</v>
      </c>
      <c r="H28" s="148" t="s">
        <v>1119</v>
      </c>
      <c r="I28" s="165">
        <v>9516</v>
      </c>
    </row>
    <row r="29" spans="2:9" x14ac:dyDescent="0.25">
      <c r="B29" s="148" t="s">
        <v>1755</v>
      </c>
      <c r="C29" s="165">
        <v>2415.61</v>
      </c>
      <c r="H29" s="148" t="s">
        <v>578</v>
      </c>
      <c r="I29" s="165">
        <v>3049</v>
      </c>
    </row>
    <row r="30" spans="2:9" x14ac:dyDescent="0.25">
      <c r="B30" s="148" t="s">
        <v>1751</v>
      </c>
      <c r="C30" s="165">
        <v>142561.50999999998</v>
      </c>
      <c r="H30" s="148" t="s">
        <v>926</v>
      </c>
      <c r="I30" s="165">
        <v>4750.08</v>
      </c>
    </row>
    <row r="31" spans="2:9" x14ac:dyDescent="0.25">
      <c r="B31" s="148" t="s">
        <v>1763</v>
      </c>
      <c r="C31" s="165">
        <v>11596.8</v>
      </c>
      <c r="H31" s="148" t="s">
        <v>648</v>
      </c>
      <c r="I31" s="165">
        <v>1750</v>
      </c>
    </row>
    <row r="32" spans="2:9" x14ac:dyDescent="0.25">
      <c r="B32" s="148" t="s">
        <v>1841</v>
      </c>
      <c r="C32" s="165">
        <v>4729.9799999999996</v>
      </c>
      <c r="H32" s="148" t="s">
        <v>1125</v>
      </c>
      <c r="I32" s="165">
        <v>2224.0100000000002</v>
      </c>
    </row>
    <row r="33" spans="2:9" x14ac:dyDescent="0.25">
      <c r="B33" s="148" t="s">
        <v>1173</v>
      </c>
      <c r="C33" s="165">
        <v>23775.9</v>
      </c>
      <c r="H33" s="148" t="s">
        <v>1121</v>
      </c>
      <c r="I33" s="165">
        <v>11596.8</v>
      </c>
    </row>
    <row r="34" spans="2:9" x14ac:dyDescent="0.25">
      <c r="B34" s="148" t="s">
        <v>1798</v>
      </c>
      <c r="C34" s="165">
        <v>4627</v>
      </c>
      <c r="H34" s="148" t="s">
        <v>642</v>
      </c>
      <c r="I34" s="165">
        <v>1980</v>
      </c>
    </row>
    <row r="35" spans="2:9" x14ac:dyDescent="0.25">
      <c r="B35" s="148" t="s">
        <v>1715</v>
      </c>
      <c r="C35" s="165">
        <v>20601</v>
      </c>
      <c r="H35" s="148" t="s">
        <v>743</v>
      </c>
      <c r="I35" s="165">
        <v>4359.96</v>
      </c>
    </row>
    <row r="36" spans="2:9" x14ac:dyDescent="0.25">
      <c r="B36" s="148" t="s">
        <v>1790</v>
      </c>
      <c r="C36" s="165">
        <v>4170</v>
      </c>
      <c r="H36" s="148" t="s">
        <v>2199</v>
      </c>
      <c r="I36" s="165">
        <v>336022.41</v>
      </c>
    </row>
    <row r="37" spans="2:9" x14ac:dyDescent="0.25">
      <c r="B37" s="148" t="s">
        <v>1818</v>
      </c>
      <c r="C37" s="165">
        <v>685.01</v>
      </c>
      <c r="H37" s="148" t="s">
        <v>1111</v>
      </c>
      <c r="I37" s="165">
        <v>640</v>
      </c>
    </row>
    <row r="38" spans="2:9" x14ac:dyDescent="0.25">
      <c r="B38" s="148" t="s">
        <v>1734</v>
      </c>
      <c r="C38" s="165">
        <v>192000</v>
      </c>
      <c r="H38" s="148" t="s">
        <v>518</v>
      </c>
      <c r="I38" s="165">
        <v>9040</v>
      </c>
    </row>
    <row r="39" spans="2:9" x14ac:dyDescent="0.25">
      <c r="B39" s="148" t="s">
        <v>1767</v>
      </c>
      <c r="C39" s="165">
        <v>44278</v>
      </c>
      <c r="H39" s="148" t="s">
        <v>910</v>
      </c>
      <c r="I39" s="165">
        <v>44376.9</v>
      </c>
    </row>
    <row r="40" spans="2:9" x14ac:dyDescent="0.25">
      <c r="B40" s="148" t="s">
        <v>1789</v>
      </c>
      <c r="C40" s="165">
        <v>12000</v>
      </c>
      <c r="H40" s="148" t="s">
        <v>1123</v>
      </c>
      <c r="I40" s="165">
        <v>800</v>
      </c>
    </row>
    <row r="41" spans="2:9" x14ac:dyDescent="0.25">
      <c r="B41" s="148" t="s">
        <v>1787</v>
      </c>
      <c r="C41" s="165">
        <v>13348.89</v>
      </c>
      <c r="H41" s="148" t="s">
        <v>1912</v>
      </c>
      <c r="I41" s="165">
        <v>961282.93</v>
      </c>
    </row>
    <row r="42" spans="2:9" x14ac:dyDescent="0.25">
      <c r="B42" s="148" t="s">
        <v>1749</v>
      </c>
      <c r="C42" s="165">
        <v>3870</v>
      </c>
    </row>
    <row r="43" spans="2:9" x14ac:dyDescent="0.25">
      <c r="B43" s="148" t="s">
        <v>1761</v>
      </c>
      <c r="C43" s="165">
        <v>5646</v>
      </c>
    </row>
    <row r="44" spans="2:9" x14ac:dyDescent="0.25">
      <c r="B44" s="148" t="s">
        <v>1838</v>
      </c>
      <c r="C44" s="165">
        <v>1755</v>
      </c>
    </row>
    <row r="45" spans="2:9" x14ac:dyDescent="0.25">
      <c r="B45" s="148" t="s">
        <v>1828</v>
      </c>
      <c r="C45" s="165">
        <v>295</v>
      </c>
    </row>
    <row r="46" spans="2:9" x14ac:dyDescent="0.25">
      <c r="B46" s="148" t="s">
        <v>1793</v>
      </c>
      <c r="C46" s="165">
        <v>4092</v>
      </c>
    </row>
    <row r="47" spans="2:9" x14ac:dyDescent="0.25">
      <c r="B47" s="148" t="s">
        <v>1791</v>
      </c>
      <c r="C47" s="165">
        <v>2000</v>
      </c>
    </row>
    <row r="48" spans="2:9" x14ac:dyDescent="0.25">
      <c r="B48" s="148" t="s">
        <v>1739</v>
      </c>
      <c r="C48" s="165">
        <v>101617.08</v>
      </c>
    </row>
    <row r="49" spans="2:3" x14ac:dyDescent="0.25">
      <c r="B49" s="148" t="s">
        <v>1831</v>
      </c>
      <c r="C49" s="165">
        <v>5070</v>
      </c>
    </row>
    <row r="50" spans="2:3" x14ac:dyDescent="0.25">
      <c r="B50" s="148" t="s">
        <v>1743</v>
      </c>
      <c r="C50" s="165">
        <v>10273.91</v>
      </c>
    </row>
    <row r="51" spans="2:3" x14ac:dyDescent="0.25">
      <c r="B51" s="148" t="s">
        <v>1783</v>
      </c>
      <c r="C51" s="165">
        <v>4496.9999999999991</v>
      </c>
    </row>
    <row r="52" spans="2:3" x14ac:dyDescent="0.25">
      <c r="B52" s="148" t="s">
        <v>1719</v>
      </c>
      <c r="C52" s="165">
        <v>12940.970000000001</v>
      </c>
    </row>
    <row r="53" spans="2:3" x14ac:dyDescent="0.25">
      <c r="B53" s="148" t="s">
        <v>1726</v>
      </c>
      <c r="C53" s="165">
        <v>46000</v>
      </c>
    </row>
    <row r="54" spans="2:3" x14ac:dyDescent="0.25">
      <c r="B54" s="148" t="s">
        <v>1861</v>
      </c>
      <c r="C54" s="165">
        <v>880</v>
      </c>
    </row>
    <row r="55" spans="2:3" x14ac:dyDescent="0.25">
      <c r="B55" s="148" t="s">
        <v>1866</v>
      </c>
      <c r="C55" s="165">
        <v>1005</v>
      </c>
    </row>
    <row r="56" spans="2:3" x14ac:dyDescent="0.25">
      <c r="B56" s="148" t="s">
        <v>1868</v>
      </c>
      <c r="C56" s="165">
        <v>828.85000000000014</v>
      </c>
    </row>
    <row r="57" spans="2:3" x14ac:dyDescent="0.25">
      <c r="B57" s="148" t="s">
        <v>1871</v>
      </c>
      <c r="C57" s="165">
        <v>1600</v>
      </c>
    </row>
    <row r="58" spans="2:3" x14ac:dyDescent="0.25">
      <c r="B58" s="148" t="s">
        <v>1876</v>
      </c>
      <c r="C58" s="165">
        <v>1980</v>
      </c>
    </row>
    <row r="59" spans="2:3" x14ac:dyDescent="0.25">
      <c r="B59" s="148" t="s">
        <v>1881</v>
      </c>
      <c r="C59" s="165">
        <v>3000</v>
      </c>
    </row>
    <row r="60" spans="2:3" x14ac:dyDescent="0.25">
      <c r="B60" s="148" t="s">
        <v>1883</v>
      </c>
      <c r="C60" s="165">
        <v>450</v>
      </c>
    </row>
    <row r="61" spans="2:3" x14ac:dyDescent="0.25">
      <c r="B61" s="148" t="s">
        <v>1885</v>
      </c>
      <c r="C61" s="165">
        <v>630</v>
      </c>
    </row>
    <row r="62" spans="2:3" x14ac:dyDescent="0.25">
      <c r="B62" s="148" t="s">
        <v>1889</v>
      </c>
      <c r="C62" s="165">
        <v>630</v>
      </c>
    </row>
    <row r="63" spans="2:3" x14ac:dyDescent="0.25">
      <c r="B63" s="148" t="s">
        <v>1912</v>
      </c>
      <c r="C63" s="165">
        <v>961282.92999999993</v>
      </c>
    </row>
  </sheetData>
  <conditionalFormatting pivot="1" sqref="F7:F10">
    <cfRule type="colorScale" priority="5">
      <colorScale>
        <cfvo type="min"/>
        <cfvo type="percentile" val="50"/>
        <cfvo type="max"/>
        <color rgb="FFF8696B"/>
        <color rgb="FFFFEB84"/>
        <color rgb="FF63BE7B"/>
      </colorScale>
    </cfRule>
  </conditionalFormatting>
  <pageMargins left="0.7" right="0.7" top="0.75" bottom="0.75" header="0.3" footer="0.3"/>
  <pageSetup paperSize="9" orientation="portrait"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61186-0448-4501-A9DE-D760E0A68413}">
  <dimension ref="A1:N72"/>
  <sheetViews>
    <sheetView topLeftCell="B1" workbookViewId="0">
      <selection activeCell="A40" sqref="A40"/>
    </sheetView>
  </sheetViews>
  <sheetFormatPr baseColWidth="10" defaultRowHeight="15" x14ac:dyDescent="0.25"/>
  <cols>
    <col min="1" max="1" width="22.85546875" customWidth="1"/>
    <col min="2" max="4" width="21.85546875" customWidth="1"/>
    <col min="5" max="5" width="15.28515625" customWidth="1"/>
    <col min="6" max="6" width="22.85546875" customWidth="1"/>
    <col min="8" max="8" width="21.85546875" customWidth="1"/>
    <col min="9" max="9" width="21" customWidth="1"/>
    <col min="10" max="10" width="21.85546875" customWidth="1"/>
    <col min="11" max="11" width="2.85546875" customWidth="1"/>
    <col min="12" max="12" width="24.7109375" customWidth="1"/>
    <col min="13" max="14" width="2.85546875" customWidth="1"/>
  </cols>
  <sheetData>
    <row r="1" spans="1:14" ht="45" customHeight="1" x14ac:dyDescent="0.25">
      <c r="A1" s="444" t="s">
        <v>2249</v>
      </c>
      <c r="B1" s="445"/>
      <c r="C1" s="445"/>
      <c r="D1" s="445"/>
      <c r="E1" s="445"/>
      <c r="F1" s="445"/>
      <c r="G1" s="445"/>
      <c r="H1" s="445"/>
      <c r="I1" s="445"/>
      <c r="J1" s="445"/>
      <c r="K1" s="445"/>
      <c r="L1" s="445"/>
      <c r="M1" s="445"/>
      <c r="N1" s="445"/>
    </row>
    <row r="2" spans="1:14" ht="21.95" customHeight="1" x14ac:dyDescent="0.25">
      <c r="A2" s="446" t="s">
        <v>2250</v>
      </c>
      <c r="B2" s="421"/>
      <c r="C2" s="421"/>
      <c r="D2" s="421"/>
      <c r="E2" s="421"/>
      <c r="F2" s="421"/>
      <c r="G2" s="421"/>
      <c r="H2" s="421"/>
      <c r="I2" s="421"/>
      <c r="J2" s="421"/>
      <c r="K2" s="421"/>
      <c r="L2" s="421"/>
      <c r="M2" s="421"/>
      <c r="N2" s="421"/>
    </row>
    <row r="3" spans="1:14" ht="8.1" customHeight="1" x14ac:dyDescent="0.25"/>
    <row r="4" spans="1:14" ht="21.95" customHeight="1" x14ac:dyDescent="0.25">
      <c r="B4" s="350" t="s">
        <v>2251</v>
      </c>
      <c r="D4" s="350" t="s">
        <v>2282</v>
      </c>
      <c r="F4" s="350" t="s">
        <v>2252</v>
      </c>
      <c r="H4" s="350" t="s">
        <v>2253</v>
      </c>
      <c r="J4" s="350" t="s">
        <v>2254</v>
      </c>
      <c r="L4" s="350" t="s">
        <v>2283</v>
      </c>
    </row>
    <row r="5" spans="1:14" ht="38.1" customHeight="1" thickBot="1" x14ac:dyDescent="0.35">
      <c r="B5" s="351">
        <v>10458505</v>
      </c>
      <c r="D5" s="351">
        <v>1043426</v>
      </c>
      <c r="F5" s="351">
        <v>9390654</v>
      </c>
      <c r="H5" s="352">
        <v>49</v>
      </c>
      <c r="J5" s="352">
        <v>21</v>
      </c>
      <c r="L5" s="351">
        <v>213439</v>
      </c>
    </row>
    <row r="6" spans="1:14" ht="8.1" customHeight="1" thickTop="1" x14ac:dyDescent="0.25"/>
    <row r="7" spans="1:14" x14ac:dyDescent="0.25">
      <c r="A7" s="447" t="s">
        <v>2284</v>
      </c>
      <c r="B7" s="445"/>
      <c r="C7" s="445"/>
      <c r="D7" s="445"/>
      <c r="E7" s="445"/>
      <c r="G7" s="447" t="s">
        <v>2258</v>
      </c>
      <c r="H7" s="445"/>
      <c r="I7" s="445"/>
      <c r="J7" s="445"/>
    </row>
    <row r="8" spans="1:14" x14ac:dyDescent="0.25">
      <c r="A8" s="343" t="s">
        <v>32</v>
      </c>
      <c r="B8" s="342" t="s">
        <v>1701</v>
      </c>
      <c r="C8" s="342" t="s">
        <v>2256</v>
      </c>
      <c r="D8" s="342" t="s">
        <v>2257</v>
      </c>
      <c r="E8" s="344" t="s">
        <v>2281</v>
      </c>
      <c r="G8" s="343" t="s">
        <v>452</v>
      </c>
      <c r="H8" s="342" t="s">
        <v>2260</v>
      </c>
      <c r="I8" s="342" t="s">
        <v>2286</v>
      </c>
      <c r="J8" s="344" t="s">
        <v>2257</v>
      </c>
    </row>
    <row r="9" spans="1:14" x14ac:dyDescent="0.25">
      <c r="A9" s="346" t="s">
        <v>41</v>
      </c>
      <c r="B9" s="341">
        <v>6387547.2400000002</v>
      </c>
      <c r="C9" s="341">
        <v>638754.72</v>
      </c>
      <c r="D9" s="341">
        <v>5745433.7199999997</v>
      </c>
      <c r="E9" s="355">
        <v>0.61099999999999999</v>
      </c>
      <c r="G9" s="346">
        <v>2021</v>
      </c>
      <c r="H9" s="341">
        <v>926440.54</v>
      </c>
      <c r="I9" s="341">
        <v>92644.054000000004</v>
      </c>
      <c r="J9" s="345">
        <v>833796.48600000003</v>
      </c>
    </row>
    <row r="10" spans="1:14" x14ac:dyDescent="0.25">
      <c r="A10" s="347" t="s">
        <v>47</v>
      </c>
      <c r="B10" s="348">
        <v>1230292.3700000001</v>
      </c>
      <c r="C10" s="348">
        <v>123029.24</v>
      </c>
      <c r="D10" s="348">
        <v>1107263.1299999999</v>
      </c>
      <c r="E10" s="356">
        <v>0.11799999999999999</v>
      </c>
      <c r="G10" s="347">
        <v>2022</v>
      </c>
      <c r="H10" s="348">
        <v>2882202.39</v>
      </c>
      <c r="I10" s="348">
        <v>285944.86099999998</v>
      </c>
      <c r="J10" s="349">
        <v>2564149.764</v>
      </c>
    </row>
    <row r="11" spans="1:14" x14ac:dyDescent="0.25">
      <c r="A11" s="346" t="s">
        <v>49</v>
      </c>
      <c r="B11" s="341">
        <v>866550.01</v>
      </c>
      <c r="C11" s="341">
        <v>86655</v>
      </c>
      <c r="D11" s="341">
        <v>779895.01</v>
      </c>
      <c r="E11" s="355">
        <v>8.3000000000000004E-2</v>
      </c>
      <c r="G11" s="346">
        <v>2023</v>
      </c>
      <c r="H11" s="341">
        <v>3281240.45</v>
      </c>
      <c r="I11" s="341">
        <v>321187.467</v>
      </c>
      <c r="J11" s="345">
        <v>2894115.9029999999</v>
      </c>
    </row>
    <row r="12" spans="1:14" x14ac:dyDescent="0.25">
      <c r="A12" s="347" t="s">
        <v>53</v>
      </c>
      <c r="B12" s="348">
        <v>459014.02</v>
      </c>
      <c r="C12" s="348">
        <v>45901.4</v>
      </c>
      <c r="D12" s="348">
        <v>413112.62</v>
      </c>
      <c r="E12" s="356">
        <v>4.3999999999999997E-2</v>
      </c>
      <c r="G12" s="347">
        <v>2024</v>
      </c>
      <c r="H12" s="348">
        <v>2703106.01</v>
      </c>
      <c r="I12" s="348">
        <v>270310.60100000002</v>
      </c>
      <c r="J12" s="349">
        <v>2423178.517</v>
      </c>
    </row>
    <row r="13" spans="1:14" x14ac:dyDescent="0.25">
      <c r="A13" s="346" t="s">
        <v>45</v>
      </c>
      <c r="B13" s="341">
        <v>312046.78000000003</v>
      </c>
      <c r="C13" s="341">
        <v>31204.68</v>
      </c>
      <c r="D13" s="341">
        <v>280842.09999999998</v>
      </c>
      <c r="E13" s="355">
        <v>0.03</v>
      </c>
      <c r="G13" s="346">
        <v>2025</v>
      </c>
      <c r="H13" s="341">
        <v>745557.6</v>
      </c>
      <c r="I13" s="341">
        <v>74555.759999999995</v>
      </c>
      <c r="J13" s="345">
        <v>671001.84</v>
      </c>
    </row>
    <row r="14" spans="1:14" x14ac:dyDescent="0.25">
      <c r="A14" s="347" t="s">
        <v>70</v>
      </c>
      <c r="B14" s="348">
        <v>222375.3</v>
      </c>
      <c r="C14" s="348">
        <v>22237.53</v>
      </c>
      <c r="D14" s="348">
        <v>200137.77</v>
      </c>
      <c r="E14" s="356">
        <v>2.1000000000000001E-2</v>
      </c>
      <c r="G14" s="347">
        <v>2026</v>
      </c>
      <c r="H14" s="348">
        <v>189138.68</v>
      </c>
      <c r="I14" s="348">
        <v>18913.867999999999</v>
      </c>
      <c r="J14" s="349">
        <v>170224.81200000001</v>
      </c>
    </row>
    <row r="15" spans="1:14" x14ac:dyDescent="0.25">
      <c r="A15" s="346" t="s">
        <v>77</v>
      </c>
      <c r="B15" s="341">
        <v>207168.4</v>
      </c>
      <c r="C15" s="341">
        <v>20716.84</v>
      </c>
      <c r="D15" s="341">
        <v>186451.56</v>
      </c>
      <c r="E15" s="355">
        <v>0.02</v>
      </c>
      <c r="G15" s="354" t="s">
        <v>398</v>
      </c>
      <c r="H15" s="353">
        <v>10727685.67</v>
      </c>
      <c r="I15" s="353">
        <v>1063556.6100000001</v>
      </c>
      <c r="J15" s="358">
        <v>9556467.3200000003</v>
      </c>
    </row>
    <row r="16" spans="1:14" x14ac:dyDescent="0.25">
      <c r="A16" s="347" t="s">
        <v>93</v>
      </c>
      <c r="B16" s="348">
        <v>198849.25</v>
      </c>
      <c r="C16" s="348">
        <v>19884.93</v>
      </c>
      <c r="D16" s="348">
        <v>178964.33</v>
      </c>
      <c r="E16" s="356">
        <v>1.9E-2</v>
      </c>
    </row>
    <row r="17" spans="1:5" x14ac:dyDescent="0.25">
      <c r="A17" s="346" t="s">
        <v>68</v>
      </c>
      <c r="B17" s="341">
        <v>147964</v>
      </c>
      <c r="C17" s="341">
        <v>14796.4</v>
      </c>
      <c r="D17" s="341">
        <v>133167.6</v>
      </c>
      <c r="E17" s="355">
        <v>1.4E-2</v>
      </c>
    </row>
    <row r="18" spans="1:5" x14ac:dyDescent="0.25">
      <c r="A18" s="347" t="s">
        <v>123</v>
      </c>
      <c r="B18" s="348">
        <v>122590</v>
      </c>
      <c r="C18" s="348">
        <v>12259</v>
      </c>
      <c r="D18" s="348">
        <v>110331</v>
      </c>
      <c r="E18" s="356">
        <v>1.2E-2</v>
      </c>
    </row>
    <row r="19" spans="1:5" x14ac:dyDescent="0.25">
      <c r="A19" s="354" t="s">
        <v>2285</v>
      </c>
      <c r="B19" s="353">
        <v>10154397.369999999</v>
      </c>
      <c r="C19" s="353">
        <v>1015439.74</v>
      </c>
      <c r="D19" s="353">
        <v>9135598.8399999999</v>
      </c>
      <c r="E19" s="357">
        <v>0.97099999999999997</v>
      </c>
    </row>
    <row r="20" spans="1:5" ht="8.1" customHeight="1" x14ac:dyDescent="0.25"/>
    <row r="21" spans="1:5" x14ac:dyDescent="0.25">
      <c r="A21" s="447" t="s">
        <v>2287</v>
      </c>
      <c r="B21" s="445"/>
      <c r="C21" s="445"/>
    </row>
    <row r="22" spans="1:5" x14ac:dyDescent="0.25">
      <c r="A22" s="343" t="s">
        <v>2259</v>
      </c>
      <c r="B22" s="342" t="s">
        <v>2260</v>
      </c>
      <c r="C22" s="344" t="s">
        <v>2257</v>
      </c>
    </row>
    <row r="23" spans="1:5" x14ac:dyDescent="0.25">
      <c r="A23" s="346" t="s">
        <v>2261</v>
      </c>
      <c r="B23" s="341">
        <v>368792.23</v>
      </c>
      <c r="C23" s="345">
        <v>331913.00699999998</v>
      </c>
    </row>
    <row r="24" spans="1:5" x14ac:dyDescent="0.25">
      <c r="A24" s="347" t="s">
        <v>2262</v>
      </c>
      <c r="B24" s="348">
        <v>216681.16</v>
      </c>
      <c r="C24" s="349">
        <v>195013.04399999999</v>
      </c>
    </row>
    <row r="25" spans="1:5" x14ac:dyDescent="0.25">
      <c r="A25" s="346" t="s">
        <v>2263</v>
      </c>
      <c r="B25" s="341">
        <v>137229.96</v>
      </c>
      <c r="C25" s="345">
        <v>123506.96400000001</v>
      </c>
    </row>
    <row r="26" spans="1:5" x14ac:dyDescent="0.25">
      <c r="A26" s="347" t="s">
        <v>2264</v>
      </c>
      <c r="B26" s="348">
        <v>113785</v>
      </c>
      <c r="C26" s="349">
        <v>102406.5</v>
      </c>
    </row>
    <row r="27" spans="1:5" x14ac:dyDescent="0.25">
      <c r="A27" s="346" t="s">
        <v>2265</v>
      </c>
      <c r="B27" s="341">
        <v>89952.19</v>
      </c>
      <c r="C27" s="345">
        <v>80956.971000000005</v>
      </c>
    </row>
    <row r="28" spans="1:5" x14ac:dyDescent="0.25">
      <c r="A28" s="347" t="s">
        <v>2266</v>
      </c>
      <c r="B28" s="348">
        <v>83788.5</v>
      </c>
      <c r="C28" s="349">
        <v>75409.649999999994</v>
      </c>
    </row>
    <row r="29" spans="1:5" x14ac:dyDescent="0.25">
      <c r="A29" s="346">
        <v>46075</v>
      </c>
      <c r="B29" s="341">
        <v>143690</v>
      </c>
      <c r="C29" s="345">
        <v>129321</v>
      </c>
    </row>
    <row r="30" spans="1:5" x14ac:dyDescent="0.25">
      <c r="A30" s="347">
        <v>46103</v>
      </c>
      <c r="B30" s="348">
        <v>94902.31</v>
      </c>
      <c r="C30" s="349">
        <v>85412.078999999998</v>
      </c>
    </row>
    <row r="31" spans="1:5" x14ac:dyDescent="0.25">
      <c r="A31" s="346" t="s">
        <v>2267</v>
      </c>
      <c r="B31" s="341">
        <v>188617.8</v>
      </c>
      <c r="C31" s="345">
        <v>169756.02</v>
      </c>
    </row>
    <row r="32" spans="1:5" x14ac:dyDescent="0.25">
      <c r="A32" s="347">
        <v>46164</v>
      </c>
      <c r="B32" s="348">
        <v>145176</v>
      </c>
      <c r="C32" s="349">
        <v>130658.4</v>
      </c>
    </row>
    <row r="33" spans="1:3" x14ac:dyDescent="0.25">
      <c r="A33" s="346">
        <v>46195</v>
      </c>
      <c r="B33" s="341">
        <v>44379</v>
      </c>
      <c r="C33" s="345">
        <v>39941.1</v>
      </c>
    </row>
    <row r="34" spans="1:3" x14ac:dyDescent="0.25">
      <c r="A34" s="347">
        <v>46225</v>
      </c>
      <c r="B34" s="348">
        <v>72990</v>
      </c>
      <c r="C34" s="349">
        <v>65691</v>
      </c>
    </row>
    <row r="35" spans="1:3" x14ac:dyDescent="0.25">
      <c r="A35" s="346" t="s">
        <v>2268</v>
      </c>
      <c r="B35" s="341">
        <v>273649.86</v>
      </c>
      <c r="C35" s="345">
        <v>246284.87400000001</v>
      </c>
    </row>
    <row r="36" spans="1:3" x14ac:dyDescent="0.25">
      <c r="A36" s="347">
        <v>46287</v>
      </c>
      <c r="B36" s="348">
        <v>926107.81</v>
      </c>
      <c r="C36" s="349">
        <v>829822.23800000001</v>
      </c>
    </row>
    <row r="37" spans="1:3" x14ac:dyDescent="0.25">
      <c r="A37" s="346">
        <v>46317</v>
      </c>
      <c r="B37" s="341">
        <v>223935.12</v>
      </c>
      <c r="C37" s="345">
        <v>200775.008</v>
      </c>
    </row>
    <row r="38" spans="1:3" x14ac:dyDescent="0.25">
      <c r="A38" s="347">
        <v>46348</v>
      </c>
      <c r="B38" s="348">
        <v>342692.02</v>
      </c>
      <c r="C38" s="349">
        <v>308422.81800000003</v>
      </c>
    </row>
    <row r="39" spans="1:3" x14ac:dyDescent="0.25">
      <c r="A39" s="346" t="s">
        <v>2269</v>
      </c>
      <c r="B39" s="341">
        <v>343974</v>
      </c>
      <c r="C39" s="345">
        <v>309126.59999999998</v>
      </c>
    </row>
    <row r="40" spans="1:3" x14ac:dyDescent="0.25">
      <c r="A40" s="347" t="s">
        <v>2270</v>
      </c>
      <c r="B40" s="348">
        <v>179024.61</v>
      </c>
      <c r="C40" s="349">
        <v>161122.149</v>
      </c>
    </row>
    <row r="41" spans="1:3" x14ac:dyDescent="0.25">
      <c r="A41" s="346">
        <v>46076</v>
      </c>
      <c r="B41" s="341">
        <v>26568</v>
      </c>
      <c r="C41" s="345">
        <v>23911.200000000001</v>
      </c>
    </row>
    <row r="42" spans="1:3" x14ac:dyDescent="0.25">
      <c r="A42" s="347">
        <v>46104</v>
      </c>
      <c r="B42" s="348">
        <v>256099.48</v>
      </c>
      <c r="C42" s="349">
        <v>230489.53200000001</v>
      </c>
    </row>
    <row r="43" spans="1:3" x14ac:dyDescent="0.25">
      <c r="A43" s="346" t="s">
        <v>2271</v>
      </c>
      <c r="B43" s="341">
        <v>289949.25</v>
      </c>
      <c r="C43" s="345">
        <v>260954.32500000001</v>
      </c>
    </row>
    <row r="44" spans="1:3" x14ac:dyDescent="0.25">
      <c r="A44" s="347">
        <v>46165</v>
      </c>
      <c r="B44" s="348">
        <v>309494.59999999998</v>
      </c>
      <c r="C44" s="349">
        <v>278545.14</v>
      </c>
    </row>
    <row r="45" spans="1:3" x14ac:dyDescent="0.25">
      <c r="A45" s="346">
        <v>46196</v>
      </c>
      <c r="B45" s="341">
        <v>318459</v>
      </c>
      <c r="C45" s="345">
        <v>286613.09999999998</v>
      </c>
    </row>
    <row r="46" spans="1:3" x14ac:dyDescent="0.25">
      <c r="A46" s="347">
        <v>46226</v>
      </c>
      <c r="B46" s="348">
        <v>210662.39999999999</v>
      </c>
      <c r="C46" s="349">
        <v>189596.16</v>
      </c>
    </row>
    <row r="47" spans="1:3" x14ac:dyDescent="0.25">
      <c r="A47" s="346" t="s">
        <v>2272</v>
      </c>
      <c r="B47" s="341">
        <v>448014.5</v>
      </c>
      <c r="C47" s="345">
        <v>403213.05</v>
      </c>
    </row>
    <row r="48" spans="1:3" x14ac:dyDescent="0.25">
      <c r="A48" s="347">
        <v>46288</v>
      </c>
      <c r="B48" s="348">
        <v>413944.2</v>
      </c>
      <c r="C48" s="349">
        <v>372549.78</v>
      </c>
    </row>
    <row r="49" spans="1:3" x14ac:dyDescent="0.25">
      <c r="A49" s="346">
        <v>46318</v>
      </c>
      <c r="B49" s="341">
        <v>231295.8</v>
      </c>
      <c r="C49" s="345">
        <v>208166.22</v>
      </c>
    </row>
    <row r="50" spans="1:3" x14ac:dyDescent="0.25">
      <c r="A50" s="347">
        <v>46349</v>
      </c>
      <c r="B50" s="348">
        <v>380692.83</v>
      </c>
      <c r="C50" s="349">
        <v>285923.54700000002</v>
      </c>
    </row>
    <row r="51" spans="1:3" x14ac:dyDescent="0.25">
      <c r="A51" s="346" t="s">
        <v>2273</v>
      </c>
      <c r="B51" s="341">
        <v>217035.8</v>
      </c>
      <c r="C51" s="345">
        <v>193207.5</v>
      </c>
    </row>
    <row r="52" spans="1:3" x14ac:dyDescent="0.25">
      <c r="A52" s="347" t="s">
        <v>2274</v>
      </c>
      <c r="B52" s="348">
        <v>410358</v>
      </c>
      <c r="C52" s="349">
        <v>369322.2</v>
      </c>
    </row>
    <row r="53" spans="1:3" x14ac:dyDescent="0.25">
      <c r="A53" s="346">
        <v>46077</v>
      </c>
      <c r="B53" s="341">
        <v>283384</v>
      </c>
      <c r="C53" s="345">
        <v>255045.6</v>
      </c>
    </row>
    <row r="54" spans="1:3" x14ac:dyDescent="0.25">
      <c r="A54" s="347" t="s">
        <v>2275</v>
      </c>
      <c r="B54" s="348">
        <v>312617</v>
      </c>
      <c r="C54" s="349">
        <v>281355.3</v>
      </c>
    </row>
    <row r="55" spans="1:3" x14ac:dyDescent="0.25">
      <c r="A55" s="346">
        <v>46166</v>
      </c>
      <c r="B55" s="341">
        <v>159834</v>
      </c>
      <c r="C55" s="345">
        <v>143850.6</v>
      </c>
    </row>
    <row r="56" spans="1:3" x14ac:dyDescent="0.25">
      <c r="A56" s="347">
        <v>46197</v>
      </c>
      <c r="B56" s="348">
        <v>219135.23</v>
      </c>
      <c r="C56" s="349">
        <v>197221.70699999999</v>
      </c>
    </row>
    <row r="57" spans="1:3" x14ac:dyDescent="0.25">
      <c r="A57" s="346">
        <v>46227</v>
      </c>
      <c r="B57" s="341">
        <v>122252</v>
      </c>
      <c r="C57" s="345">
        <v>106668</v>
      </c>
    </row>
    <row r="58" spans="1:3" x14ac:dyDescent="0.25">
      <c r="A58" s="347" t="s">
        <v>2276</v>
      </c>
      <c r="B58" s="348">
        <v>277267.32</v>
      </c>
      <c r="C58" s="349">
        <v>249540.58799999999</v>
      </c>
    </row>
    <row r="59" spans="1:3" x14ac:dyDescent="0.25">
      <c r="A59" s="346">
        <v>46289</v>
      </c>
      <c r="B59" s="341">
        <v>286625.67</v>
      </c>
      <c r="C59" s="345">
        <v>255935.00099999999</v>
      </c>
    </row>
    <row r="60" spans="1:3" x14ac:dyDescent="0.25">
      <c r="A60" s="347">
        <v>46319</v>
      </c>
      <c r="B60" s="348">
        <v>377121</v>
      </c>
      <c r="C60" s="349">
        <v>339408.9</v>
      </c>
    </row>
    <row r="61" spans="1:3" x14ac:dyDescent="0.25">
      <c r="A61" s="346">
        <v>46350</v>
      </c>
      <c r="B61" s="341">
        <v>134253.69</v>
      </c>
      <c r="C61" s="345">
        <v>120828.321</v>
      </c>
    </row>
    <row r="62" spans="1:3" x14ac:dyDescent="0.25">
      <c r="A62" s="347" t="s">
        <v>2277</v>
      </c>
      <c r="B62" s="348">
        <v>48413</v>
      </c>
      <c r="C62" s="349">
        <v>43571.7</v>
      </c>
    </row>
    <row r="63" spans="1:3" x14ac:dyDescent="0.25">
      <c r="A63" s="346">
        <v>46078</v>
      </c>
      <c r="B63" s="341">
        <v>84730</v>
      </c>
      <c r="C63" s="345">
        <v>76257</v>
      </c>
    </row>
    <row r="64" spans="1:3" x14ac:dyDescent="0.25">
      <c r="A64" s="347">
        <v>46106</v>
      </c>
      <c r="B64" s="348">
        <v>117357</v>
      </c>
      <c r="C64" s="349">
        <v>105621.3</v>
      </c>
    </row>
    <row r="65" spans="1:3" x14ac:dyDescent="0.25">
      <c r="A65" s="346" t="s">
        <v>2278</v>
      </c>
      <c r="B65" s="341">
        <v>23838.84</v>
      </c>
      <c r="C65" s="345">
        <v>21454.955999999998</v>
      </c>
    </row>
    <row r="66" spans="1:3" x14ac:dyDescent="0.25">
      <c r="A66" s="347">
        <v>46198</v>
      </c>
      <c r="B66" s="348">
        <v>4825.7700000000004</v>
      </c>
      <c r="C66" s="349">
        <v>4343.1930000000002</v>
      </c>
    </row>
    <row r="67" spans="1:3" x14ac:dyDescent="0.25">
      <c r="A67" s="346">
        <v>46228</v>
      </c>
      <c r="B67" s="341">
        <v>52962</v>
      </c>
      <c r="C67" s="345">
        <v>47665.8</v>
      </c>
    </row>
    <row r="68" spans="1:3" x14ac:dyDescent="0.25">
      <c r="A68" s="347" t="s">
        <v>2279</v>
      </c>
      <c r="B68" s="348">
        <v>137499</v>
      </c>
      <c r="C68" s="349">
        <v>123749.1</v>
      </c>
    </row>
    <row r="69" spans="1:3" x14ac:dyDescent="0.25">
      <c r="A69" s="346">
        <v>46290</v>
      </c>
      <c r="B69" s="341">
        <v>211940.99</v>
      </c>
      <c r="C69" s="345">
        <v>190746.891</v>
      </c>
    </row>
    <row r="70" spans="1:3" x14ac:dyDescent="0.25">
      <c r="A70" s="347">
        <v>46320</v>
      </c>
      <c r="B70" s="348">
        <v>112404</v>
      </c>
      <c r="C70" s="349">
        <v>101163.6</v>
      </c>
    </row>
    <row r="71" spans="1:3" x14ac:dyDescent="0.25">
      <c r="A71" s="346" t="s">
        <v>2280</v>
      </c>
      <c r="B71" s="341">
        <v>148758.68</v>
      </c>
      <c r="C71" s="345">
        <v>133882.81200000001</v>
      </c>
    </row>
    <row r="72" spans="1:3" x14ac:dyDescent="0.25">
      <c r="A72" s="360">
        <v>46079</v>
      </c>
      <c r="B72" s="359">
        <v>40380</v>
      </c>
      <c r="C72" s="361">
        <v>36342</v>
      </c>
    </row>
  </sheetData>
  <mergeCells count="5">
    <mergeCell ref="A1:N1"/>
    <mergeCell ref="A2:N2"/>
    <mergeCell ref="A7:E7"/>
    <mergeCell ref="G7:J7"/>
    <mergeCell ref="A21:C21"/>
  </mergeCells>
  <conditionalFormatting sqref="E9:E18">
    <cfRule type="dataBar" priority="1">
      <dataBar>
        <cfvo type="min"/>
        <cfvo type="max"/>
        <color rgb="FF2E75B6"/>
      </dataBar>
      <extLst>
        <ext xmlns:x14="http://schemas.microsoft.com/office/spreadsheetml/2009/9/main" uri="{B025F937-C7B1-47D3-B67F-A62EFF666E3E}">
          <x14:id>{1C52918F-18F0-46D4-8220-D41CD7E6287E}</x14:id>
        </ext>
      </extLst>
    </cfRule>
    <cfRule type="dataBar" priority="3">
      <dataBar>
        <cfvo type="min"/>
        <cfvo type="max"/>
        <color rgb="FF2E75B6"/>
      </dataBar>
      <extLst>
        <ext xmlns:x14="http://schemas.microsoft.com/office/spreadsheetml/2009/9/main" uri="{B025F937-C7B1-47D3-B67F-A62EFF666E3E}">
          <x14:id>{EF6A5A3D-C3CA-49BB-84BA-BB71CB28F59F}</x14:id>
        </ext>
      </extLst>
    </cfRule>
  </conditionalFormatting>
  <conditionalFormatting sqref="H9:H14">
    <cfRule type="dataBar" priority="2">
      <dataBar>
        <cfvo type="min"/>
        <cfvo type="max"/>
        <color rgb="FF4472C4"/>
      </dataBar>
      <extLst>
        <ext xmlns:x14="http://schemas.microsoft.com/office/spreadsheetml/2009/9/main" uri="{B025F937-C7B1-47D3-B67F-A62EFF666E3E}">
          <x14:id>{2718AEDA-397C-4AFB-B514-1EB96E82D5F1}</x14:id>
        </ext>
      </extLst>
    </cfRule>
    <cfRule type="dataBar" priority="4">
      <dataBar>
        <cfvo type="min"/>
        <cfvo type="max"/>
        <color rgb="FF4472C4"/>
      </dataBar>
      <extLst>
        <ext xmlns:x14="http://schemas.microsoft.com/office/spreadsheetml/2009/9/main" uri="{B025F937-C7B1-47D3-B67F-A62EFF666E3E}">
          <x14:id>{8EA8FA6F-09A2-48A0-B720-9465C68B9711}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C52918F-18F0-46D4-8220-D41CD7E6287E}">
            <x14:dataBar minLength="0" maxLength="100" border="1" direction="leftToRight" negativeBarColorSameAsPositive="1" axisPosition="none">
              <x14:cfvo type="min"/>
              <x14:cfvo type="max"/>
              <x14:borderColor rgb="FF1F4E79"/>
            </x14:dataBar>
          </x14:cfRule>
          <x14:cfRule type="dataBar" id="{EF6A5A3D-C3CA-49BB-84BA-BB71CB28F59F}">
            <x14:dataBar minLength="0" maxLength="100" border="1" direction="leftToRight" negativeBarColorSameAsPositive="1" axisPosition="none">
              <x14:cfvo type="min"/>
              <x14:cfvo type="max"/>
              <x14:borderColor rgb="FF1F4E79"/>
            </x14:dataBar>
          </x14:cfRule>
          <xm:sqref>E9:E18</xm:sqref>
        </x14:conditionalFormatting>
        <x14:conditionalFormatting xmlns:xm="http://schemas.microsoft.com/office/excel/2006/main">
          <x14:cfRule type="dataBar" id="{2718AEDA-397C-4AFB-B514-1EB96E82D5F1}">
            <x14:dataBar minLength="0" maxLength="100" border="1" direction="leftToRight" negativeBarColorSameAsPositive="1" axisPosition="none">
              <x14:cfvo type="min"/>
              <x14:cfvo type="max"/>
              <x14:borderColor rgb="FF2E75B6"/>
            </x14:dataBar>
          </x14:cfRule>
          <x14:cfRule type="dataBar" id="{8EA8FA6F-09A2-48A0-B720-9465C68B9711}">
            <x14:dataBar minLength="0" maxLength="100" border="1" direction="leftToRight" negativeBarColorSameAsPositive="1" axisPosition="none">
              <x14:cfvo type="min"/>
              <x14:cfvo type="max"/>
              <x14:borderColor rgb="FF2E75B6"/>
            </x14:dataBar>
          </x14:cfRule>
          <xm:sqref>H9:H14</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CE32-B718-45BC-927F-91198B277521}">
  <dimension ref="A1:A29"/>
  <sheetViews>
    <sheetView topLeftCell="A13" workbookViewId="0">
      <selection activeCell="N557" sqref="N557"/>
    </sheetView>
  </sheetViews>
  <sheetFormatPr baseColWidth="10" defaultColWidth="11.42578125" defaultRowHeight="15" x14ac:dyDescent="0.25"/>
  <cols>
    <col min="1" max="3" width="22.85546875" customWidth="1"/>
    <col min="4" max="4" width="21" customWidth="1"/>
    <col min="5" max="5" width="15.28515625" customWidth="1"/>
    <col min="6" max="6" width="17.140625" customWidth="1"/>
    <col min="7" max="8" width="21" customWidth="1"/>
  </cols>
  <sheetData>
    <row r="1" ht="39.950000000000003" customHeight="1" x14ac:dyDescent="0.25"/>
    <row r="2" ht="21.95" customHeight="1" x14ac:dyDescent="0.25"/>
    <row r="3" ht="9.9499999999999993" customHeight="1" x14ac:dyDescent="0.25"/>
    <row r="4" ht="20.100000000000001" customHeight="1" x14ac:dyDescent="0.25"/>
    <row r="5" ht="35.1" customHeight="1" x14ac:dyDescent="0.25"/>
    <row r="6" ht="9.9499999999999993" customHeight="1" x14ac:dyDescent="0.25"/>
    <row r="19" ht="9.9499999999999993" customHeight="1" x14ac:dyDescent="0.25"/>
    <row r="29" ht="9.9499999999999993" customHeight="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AC22D6C-831F-44B1-B65F-AACB2B0BA587}">
  <ds:schemaRefs>
    <ds:schemaRef ds:uri="http://gemini/pivotcustomization/TableWidget"/>
  </ds:schemaRefs>
</ds:datastoreItem>
</file>

<file path=customXml/itemProps2.xml><?xml version="1.0" encoding="utf-8"?>
<ds:datastoreItem xmlns:ds="http://schemas.openxmlformats.org/officeDocument/2006/customXml" ds:itemID="{BEAAC83C-2552-43C9-BFFA-E8F27BF18399}">
  <ds:schemaRefs>
    <ds:schemaRef ds:uri="http://gemini/pivotcustomization/TableXML_sueldos"/>
  </ds:schemaRefs>
</ds:datastoreItem>
</file>

<file path=customXml/itemProps3.xml><?xml version="1.0" encoding="utf-8"?>
<ds:datastoreItem xmlns:ds="http://schemas.openxmlformats.org/officeDocument/2006/customXml" ds:itemID="{C405D014-7539-4154-929D-9778A0BC722A}">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HORARIOS DE CONSULTAS Y CX</vt:lpstr>
      <vt:lpstr>consolidacion de pago bien </vt:lpstr>
      <vt:lpstr>CONSOLIDADOS DE PAGOS</vt:lpstr>
      <vt:lpstr>SUELDOS</vt:lpstr>
      <vt:lpstr>Dashboard Sueldos</vt:lpstr>
      <vt:lpstr>Leyenda</vt:lpstr>
      <vt:lpstr>Gastos2024</vt:lpstr>
      <vt:lpstr>Detalles2025</vt:lpstr>
      <vt:lpstr>Presupuesto</vt:lpstr>
      <vt:lpstr>Ingreso_Egreso</vt:lpstr>
      <vt:lpstr>Hoja1</vt:lpstr>
      <vt:lpstr>Listas de validacion</vt:lpstr>
      <vt:lpstr>Tablas</vt:lpstr>
      <vt:lpstr>Dashboard Pagos ARS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Lorenzo Otaño</cp:lastModifiedBy>
  <cp:revision/>
  <dcterms:created xsi:type="dcterms:W3CDTF">2021-07-14T16:17:12Z</dcterms:created>
  <dcterms:modified xsi:type="dcterms:W3CDTF">2026-06-05T14:10:52Z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60e8341f-0096-497b-b173-9d3e688085c7</vt:lpwstr>
  </property>
  <property fmtid="{D5CDD505-2E9C-101B-9397-08002B2CF9AE}" pid="3" name="ConnectionInfosStorage">
    <vt:lpwstr>WorkbookXmlParts</vt:lpwstr>
  </property>
</Properties>
</file>